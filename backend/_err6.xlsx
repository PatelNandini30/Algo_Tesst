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Nandini Patel\Algo test\Multi Expiry\"/>
    </mc:Choice>
  </mc:AlternateContent>
  <bookViews>
    <workbookView xWindow="0" yWindow="0" windowWidth="24000" windowHeight="8610" activeTab="1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externalReferences>
    <externalReference r:id="rId6"/>
  </externalReferences>
  <definedNames>
    <definedName name="_xlnm._FilterDatabase" localSheetId="1" hidden="1">'Trade Sheet'!$A$1:$AZ$563</definedName>
  </definedNames>
  <calcPr calcId="162913"/>
</workbook>
</file>

<file path=xl/calcChain.xml><?xml version="1.0" encoding="utf-8"?>
<calcChain xmlns="http://schemas.openxmlformats.org/spreadsheetml/2006/main">
  <c r="S535" i="2" l="1"/>
  <c r="T563" i="2"/>
  <c r="T561" i="2"/>
  <c r="T559" i="2"/>
  <c r="T557" i="2"/>
  <c r="T555" i="2"/>
  <c r="T553" i="2"/>
  <c r="T551" i="2"/>
  <c r="T549" i="2"/>
  <c r="T547" i="2"/>
  <c r="T545" i="2"/>
  <c r="T543" i="2"/>
  <c r="T541" i="2"/>
  <c r="T539" i="2"/>
  <c r="T537" i="2"/>
  <c r="T535" i="2"/>
  <c r="T533" i="2"/>
  <c r="T531" i="2"/>
  <c r="T529" i="2"/>
  <c r="T527" i="2"/>
  <c r="T525" i="2"/>
  <c r="T523" i="2"/>
  <c r="T521" i="2"/>
  <c r="T519" i="2"/>
  <c r="T517" i="2"/>
  <c r="T515" i="2"/>
  <c r="T513" i="2"/>
  <c r="T511" i="2"/>
  <c r="T509" i="2"/>
  <c r="T507" i="2"/>
  <c r="T505" i="2"/>
  <c r="T503" i="2"/>
  <c r="T501" i="2"/>
  <c r="T499" i="2"/>
  <c r="T497" i="2"/>
  <c r="T495" i="2"/>
  <c r="T493" i="2"/>
  <c r="T491" i="2"/>
  <c r="T489" i="2"/>
  <c r="T487" i="2"/>
  <c r="T485" i="2"/>
  <c r="T483" i="2"/>
  <c r="T481" i="2"/>
  <c r="T479" i="2"/>
  <c r="T477" i="2"/>
  <c r="T475" i="2"/>
  <c r="T473" i="2"/>
  <c r="T471" i="2"/>
  <c r="T469" i="2"/>
  <c r="T467" i="2"/>
  <c r="T465" i="2"/>
  <c r="T463" i="2"/>
  <c r="T461" i="2"/>
  <c r="T459" i="2"/>
  <c r="T457" i="2"/>
  <c r="T455" i="2"/>
  <c r="T453" i="2"/>
  <c r="T451" i="2"/>
  <c r="T449" i="2"/>
  <c r="T447" i="2"/>
  <c r="T445" i="2"/>
  <c r="T443" i="2"/>
  <c r="T441" i="2"/>
  <c r="T439" i="2"/>
  <c r="T437" i="2"/>
  <c r="T435" i="2"/>
  <c r="T433" i="2"/>
  <c r="T431" i="2"/>
  <c r="T429" i="2"/>
  <c r="T427" i="2"/>
  <c r="T425" i="2"/>
  <c r="T423" i="2"/>
  <c r="T421" i="2"/>
  <c r="T419" i="2"/>
  <c r="T417" i="2"/>
  <c r="T415" i="2"/>
  <c r="T413" i="2"/>
  <c r="T411" i="2"/>
  <c r="T409" i="2"/>
  <c r="T407" i="2"/>
  <c r="T405" i="2"/>
  <c r="T403" i="2"/>
  <c r="T401" i="2"/>
  <c r="T399" i="2"/>
  <c r="T397" i="2"/>
  <c r="T395" i="2"/>
  <c r="T393" i="2"/>
  <c r="T391" i="2"/>
  <c r="T389" i="2"/>
  <c r="T387" i="2"/>
  <c r="T385" i="2"/>
  <c r="T383" i="2"/>
  <c r="T381" i="2"/>
  <c r="T379" i="2"/>
  <c r="T377" i="2"/>
  <c r="T375" i="2"/>
  <c r="T373" i="2"/>
  <c r="T371" i="2"/>
  <c r="T369" i="2"/>
  <c r="T367" i="2"/>
  <c r="T365" i="2"/>
  <c r="T363" i="2"/>
  <c r="T361" i="2"/>
  <c r="T359" i="2"/>
  <c r="T357" i="2"/>
  <c r="T355" i="2"/>
  <c r="T353" i="2"/>
  <c r="T351" i="2"/>
  <c r="T349" i="2"/>
  <c r="T347" i="2"/>
  <c r="T345" i="2"/>
  <c r="T343" i="2"/>
  <c r="T341" i="2"/>
  <c r="T339" i="2"/>
  <c r="T337" i="2"/>
  <c r="T335" i="2"/>
  <c r="T333" i="2"/>
  <c r="T331" i="2"/>
  <c r="T329" i="2"/>
  <c r="T327" i="2"/>
  <c r="T325" i="2"/>
  <c r="T323" i="2"/>
  <c r="T321" i="2"/>
  <c r="T319" i="2"/>
  <c r="T317" i="2"/>
  <c r="T315" i="2"/>
  <c r="T313" i="2"/>
  <c r="T311" i="2"/>
  <c r="T309" i="2"/>
  <c r="T307" i="2"/>
  <c r="T305" i="2"/>
  <c r="T303" i="2"/>
  <c r="T301" i="2"/>
  <c r="T299" i="2"/>
  <c r="T297" i="2"/>
  <c r="T295" i="2"/>
  <c r="T293" i="2"/>
  <c r="T291" i="2"/>
  <c r="T289" i="2"/>
  <c r="T287" i="2"/>
  <c r="T285" i="2"/>
  <c r="T283" i="2"/>
  <c r="T281" i="2"/>
  <c r="T279" i="2"/>
  <c r="T277" i="2"/>
  <c r="T275" i="2"/>
  <c r="T273" i="2"/>
  <c r="T271" i="2"/>
  <c r="T269" i="2"/>
  <c r="T267" i="2"/>
  <c r="T265" i="2"/>
  <c r="T263" i="2"/>
  <c r="T261" i="2"/>
  <c r="T259" i="2"/>
  <c r="T257" i="2"/>
  <c r="T255" i="2"/>
  <c r="T253" i="2"/>
  <c r="T251" i="2"/>
  <c r="T249" i="2"/>
  <c r="T247" i="2"/>
  <c r="T245" i="2"/>
  <c r="T243" i="2"/>
  <c r="T241" i="2"/>
  <c r="T239" i="2"/>
  <c r="T237" i="2"/>
  <c r="T235" i="2"/>
  <c r="T233" i="2"/>
  <c r="T231" i="2"/>
  <c r="T229" i="2"/>
  <c r="T227" i="2"/>
  <c r="T225" i="2"/>
  <c r="T223" i="2"/>
  <c r="T221" i="2"/>
  <c r="T219" i="2"/>
  <c r="T217" i="2"/>
  <c r="T215" i="2"/>
  <c r="T213" i="2"/>
  <c r="T211" i="2"/>
  <c r="T209" i="2"/>
  <c r="T207" i="2"/>
  <c r="T205" i="2"/>
  <c r="T203" i="2"/>
  <c r="T201" i="2"/>
  <c r="T199" i="2"/>
  <c r="T197" i="2"/>
  <c r="T195" i="2"/>
  <c r="T193" i="2"/>
  <c r="T191" i="2"/>
  <c r="T189" i="2"/>
  <c r="T187" i="2"/>
  <c r="T185" i="2"/>
  <c r="T183" i="2"/>
  <c r="T181" i="2"/>
  <c r="T179" i="2"/>
  <c r="T177" i="2"/>
  <c r="T175" i="2"/>
  <c r="T173" i="2"/>
  <c r="T171" i="2"/>
  <c r="T169" i="2"/>
  <c r="T167" i="2"/>
  <c r="T165" i="2"/>
  <c r="T163" i="2"/>
  <c r="T161" i="2"/>
  <c r="T159" i="2"/>
  <c r="T157" i="2"/>
  <c r="T155" i="2"/>
  <c r="T153" i="2"/>
  <c r="T151" i="2"/>
  <c r="T149" i="2"/>
  <c r="T147" i="2"/>
  <c r="T145" i="2"/>
  <c r="T143" i="2"/>
  <c r="T141" i="2"/>
  <c r="T139" i="2"/>
  <c r="T137" i="2"/>
  <c r="T135" i="2"/>
  <c r="T133" i="2"/>
  <c r="T131" i="2"/>
  <c r="T129" i="2"/>
  <c r="T127" i="2"/>
  <c r="T125" i="2"/>
  <c r="T123" i="2"/>
  <c r="T121" i="2"/>
  <c r="T119" i="2"/>
  <c r="T117" i="2"/>
  <c r="T115" i="2"/>
  <c r="T113" i="2"/>
  <c r="T111" i="2"/>
  <c r="T109" i="2"/>
  <c r="T107" i="2"/>
  <c r="T105" i="2"/>
  <c r="T103" i="2"/>
  <c r="T101" i="2"/>
  <c r="T99" i="2"/>
  <c r="T97" i="2"/>
  <c r="T95" i="2"/>
  <c r="T93" i="2"/>
  <c r="T91" i="2"/>
  <c r="T89" i="2"/>
  <c r="T87" i="2"/>
  <c r="T85" i="2"/>
  <c r="T83" i="2"/>
  <c r="T81" i="2"/>
  <c r="T79" i="2"/>
  <c r="T77" i="2"/>
  <c r="T75" i="2"/>
  <c r="T73" i="2"/>
  <c r="T71" i="2"/>
  <c r="T69" i="2"/>
  <c r="T67" i="2"/>
  <c r="T65" i="2"/>
  <c r="T63" i="2"/>
  <c r="T61" i="2"/>
  <c r="T59" i="2"/>
  <c r="T57" i="2"/>
  <c r="T55" i="2"/>
  <c r="T53" i="2"/>
  <c r="T51" i="2"/>
  <c r="T49" i="2"/>
  <c r="T47" i="2"/>
  <c r="T45" i="2"/>
  <c r="T43" i="2"/>
  <c r="T41" i="2"/>
  <c r="T39" i="2"/>
  <c r="T37" i="2"/>
  <c r="T35" i="2"/>
  <c r="T33" i="2"/>
  <c r="T31" i="2"/>
  <c r="T29" i="2"/>
  <c r="T27" i="2"/>
  <c r="T25" i="2"/>
  <c r="T23" i="2"/>
  <c r="T21" i="2"/>
  <c r="T19" i="2"/>
  <c r="T17" i="2"/>
  <c r="T15" i="2"/>
  <c r="T13" i="2"/>
  <c r="T11" i="2"/>
  <c r="T9" i="2"/>
  <c r="T7" i="2"/>
  <c r="T5" i="2"/>
  <c r="T3" i="2"/>
  <c r="S563" i="2"/>
  <c r="S561" i="2"/>
  <c r="S559" i="2"/>
  <c r="S557" i="2"/>
  <c r="S555" i="2"/>
  <c r="S553" i="2"/>
  <c r="S551" i="2"/>
  <c r="S549" i="2"/>
  <c r="S547" i="2"/>
  <c r="S545" i="2"/>
  <c r="S543" i="2"/>
  <c r="S541" i="2"/>
  <c r="S539" i="2"/>
  <c r="S537" i="2"/>
  <c r="S533" i="2"/>
  <c r="S531" i="2"/>
  <c r="S529" i="2"/>
  <c r="S527" i="2"/>
  <c r="S525" i="2"/>
  <c r="S523" i="2"/>
  <c r="S521" i="2"/>
  <c r="S519" i="2"/>
  <c r="S517" i="2"/>
  <c r="S515" i="2"/>
  <c r="S513" i="2"/>
  <c r="S511" i="2"/>
  <c r="S509" i="2"/>
  <c r="S507" i="2"/>
  <c r="S505" i="2"/>
  <c r="S503" i="2"/>
  <c r="S501" i="2"/>
  <c r="S499" i="2"/>
  <c r="S497" i="2"/>
  <c r="S495" i="2"/>
  <c r="S493" i="2"/>
  <c r="S491" i="2"/>
  <c r="S489" i="2"/>
  <c r="S487" i="2"/>
  <c r="S485" i="2"/>
  <c r="S483" i="2"/>
  <c r="S481" i="2"/>
  <c r="S479" i="2"/>
  <c r="S477" i="2"/>
  <c r="S475" i="2"/>
  <c r="S473" i="2"/>
  <c r="S471" i="2"/>
  <c r="S469" i="2"/>
  <c r="S467" i="2"/>
  <c r="S465" i="2"/>
  <c r="S463" i="2"/>
  <c r="S461" i="2"/>
  <c r="S459" i="2"/>
  <c r="S457" i="2"/>
  <c r="S455" i="2"/>
  <c r="S453" i="2"/>
  <c r="S451" i="2"/>
  <c r="S449" i="2"/>
  <c r="S447" i="2"/>
  <c r="S445" i="2"/>
  <c r="S443" i="2"/>
  <c r="S441" i="2"/>
  <c r="S439" i="2"/>
  <c r="S437" i="2"/>
  <c r="S435" i="2"/>
  <c r="S433" i="2"/>
  <c r="S431" i="2"/>
  <c r="S429" i="2"/>
  <c r="S427" i="2"/>
  <c r="S425" i="2"/>
  <c r="S423" i="2"/>
  <c r="S421" i="2"/>
  <c r="S419" i="2"/>
  <c r="S417" i="2"/>
  <c r="S415" i="2"/>
  <c r="S413" i="2"/>
  <c r="S411" i="2"/>
  <c r="S409" i="2"/>
  <c r="S407" i="2"/>
  <c r="S405" i="2"/>
  <c r="S403" i="2"/>
  <c r="S401" i="2"/>
  <c r="S399" i="2"/>
  <c r="S397" i="2"/>
  <c r="S395" i="2"/>
  <c r="S393" i="2"/>
  <c r="S391" i="2"/>
  <c r="S389" i="2"/>
  <c r="S387" i="2"/>
  <c r="S385" i="2"/>
  <c r="S383" i="2"/>
  <c r="S381" i="2"/>
  <c r="S379" i="2"/>
  <c r="S377" i="2"/>
  <c r="S375" i="2"/>
  <c r="S373" i="2"/>
  <c r="S371" i="2"/>
  <c r="S369" i="2"/>
  <c r="S367" i="2"/>
  <c r="S365" i="2"/>
  <c r="S363" i="2"/>
  <c r="S361" i="2"/>
  <c r="S359" i="2"/>
  <c r="S357" i="2"/>
  <c r="S355" i="2"/>
  <c r="S353" i="2"/>
  <c r="S351" i="2"/>
  <c r="S349" i="2"/>
  <c r="S347" i="2"/>
  <c r="S345" i="2"/>
  <c r="S343" i="2"/>
  <c r="S341" i="2"/>
  <c r="S339" i="2"/>
  <c r="S337" i="2"/>
  <c r="S335" i="2"/>
  <c r="S333" i="2"/>
  <c r="S331" i="2"/>
  <c r="S329" i="2"/>
  <c r="S327" i="2"/>
  <c r="S325" i="2"/>
  <c r="S323" i="2"/>
  <c r="S321" i="2"/>
  <c r="S319" i="2"/>
  <c r="S317" i="2"/>
  <c r="S315" i="2"/>
  <c r="S313" i="2"/>
  <c r="S311" i="2"/>
  <c r="S309" i="2"/>
  <c r="S307" i="2"/>
  <c r="S305" i="2"/>
  <c r="S303" i="2"/>
  <c r="S301" i="2"/>
  <c r="S299" i="2"/>
  <c r="S297" i="2"/>
  <c r="S295" i="2"/>
  <c r="S293" i="2"/>
  <c r="S291" i="2"/>
  <c r="S289" i="2"/>
  <c r="S287" i="2"/>
  <c r="S285" i="2"/>
  <c r="S283" i="2"/>
  <c r="S281" i="2"/>
  <c r="S279" i="2"/>
  <c r="S277" i="2"/>
  <c r="S275" i="2"/>
  <c r="S273" i="2"/>
  <c r="S271" i="2"/>
  <c r="S269" i="2"/>
  <c r="S267" i="2"/>
  <c r="S265" i="2"/>
  <c r="S263" i="2"/>
  <c r="S261" i="2"/>
  <c r="S259" i="2"/>
  <c r="S257" i="2"/>
  <c r="S255" i="2"/>
  <c r="S253" i="2"/>
  <c r="S251" i="2"/>
  <c r="S249" i="2"/>
  <c r="S247" i="2"/>
  <c r="S245" i="2"/>
  <c r="S243" i="2"/>
  <c r="S241" i="2"/>
  <c r="S239" i="2"/>
  <c r="S237" i="2"/>
  <c r="S235" i="2"/>
  <c r="S233" i="2"/>
  <c r="S231" i="2"/>
  <c r="S229" i="2"/>
  <c r="S227" i="2"/>
  <c r="S225" i="2"/>
  <c r="S223" i="2"/>
  <c r="S221" i="2"/>
  <c r="S219" i="2"/>
  <c r="S217" i="2"/>
  <c r="S215" i="2"/>
  <c r="S213" i="2"/>
  <c r="S211" i="2"/>
  <c r="S209" i="2"/>
  <c r="S207" i="2"/>
  <c r="S205" i="2"/>
  <c r="S203" i="2"/>
  <c r="S201" i="2"/>
  <c r="S199" i="2"/>
  <c r="S197" i="2"/>
  <c r="S195" i="2"/>
  <c r="S193" i="2"/>
  <c r="S191" i="2"/>
  <c r="S189" i="2"/>
  <c r="S187" i="2"/>
  <c r="S185" i="2"/>
  <c r="S183" i="2"/>
  <c r="S181" i="2"/>
  <c r="S179" i="2"/>
  <c r="S177" i="2"/>
  <c r="S175" i="2"/>
  <c r="S173" i="2"/>
  <c r="S171" i="2"/>
  <c r="S169" i="2"/>
  <c r="S167" i="2"/>
  <c r="S165" i="2"/>
  <c r="S163" i="2"/>
  <c r="S161" i="2"/>
  <c r="S159" i="2"/>
  <c r="S157" i="2"/>
  <c r="S155" i="2"/>
  <c r="S153" i="2"/>
  <c r="S151" i="2"/>
  <c r="S149" i="2"/>
  <c r="S147" i="2"/>
  <c r="S145" i="2"/>
  <c r="S143" i="2"/>
  <c r="S141" i="2"/>
  <c r="S139" i="2"/>
  <c r="S137" i="2"/>
  <c r="S135" i="2"/>
  <c r="S133" i="2"/>
  <c r="S131" i="2"/>
  <c r="S129" i="2"/>
  <c r="S127" i="2"/>
  <c r="S125" i="2"/>
  <c r="S123" i="2"/>
  <c r="S121" i="2"/>
  <c r="S119" i="2"/>
  <c r="S117" i="2"/>
  <c r="S115" i="2"/>
  <c r="S113" i="2"/>
  <c r="S111" i="2"/>
  <c r="S109" i="2"/>
  <c r="S107" i="2"/>
  <c r="S105" i="2"/>
  <c r="S103" i="2"/>
  <c r="S101" i="2"/>
  <c r="S99" i="2"/>
  <c r="S97" i="2"/>
  <c r="S95" i="2"/>
  <c r="S93" i="2"/>
  <c r="S91" i="2"/>
  <c r="S89" i="2"/>
  <c r="S87" i="2"/>
  <c r="S85" i="2"/>
  <c r="S83" i="2"/>
  <c r="S81" i="2"/>
  <c r="S79" i="2"/>
  <c r="S77" i="2"/>
  <c r="S75" i="2"/>
  <c r="S73" i="2"/>
  <c r="S71" i="2"/>
  <c r="S69" i="2"/>
  <c r="S67" i="2"/>
  <c r="S65" i="2"/>
  <c r="S63" i="2"/>
  <c r="S61" i="2"/>
  <c r="S59" i="2"/>
  <c r="S57" i="2"/>
  <c r="S55" i="2"/>
  <c r="S53" i="2"/>
  <c r="S51" i="2"/>
  <c r="S49" i="2"/>
  <c r="S47" i="2"/>
  <c r="S45" i="2"/>
  <c r="S43" i="2"/>
  <c r="S41" i="2"/>
  <c r="S39" i="2"/>
  <c r="S37" i="2"/>
  <c r="S35" i="2"/>
  <c r="S33" i="2"/>
  <c r="S31" i="2"/>
  <c r="S29" i="2"/>
  <c r="S27" i="2"/>
  <c r="S25" i="2"/>
  <c r="S23" i="2"/>
  <c r="S21" i="2"/>
  <c r="S19" i="2"/>
  <c r="S17" i="2"/>
  <c r="S15" i="2"/>
  <c r="S13" i="2"/>
  <c r="S11" i="2"/>
  <c r="S9" i="2"/>
  <c r="S7" i="2"/>
  <c r="S5" i="2"/>
  <c r="S3" i="2"/>
  <c r="K5" i="2" a="1"/>
  <c r="K5" i="2" s="1"/>
  <c r="L5" i="2" s="1"/>
  <c r="K3" i="2" a="1"/>
  <c r="K3" i="2" s="1"/>
  <c r="L3" i="2" s="1"/>
  <c r="N6" i="2"/>
  <c r="O6" i="2" s="1"/>
  <c r="P6" i="2" s="1"/>
  <c r="K8" i="2" a="1"/>
  <c r="K8" i="2" s="1"/>
  <c r="L8" i="2" s="1"/>
  <c r="N8" i="2" a="1"/>
  <c r="N8" i="2" s="1"/>
  <c r="O8" i="2" s="1"/>
  <c r="P8" i="2" s="1"/>
  <c r="K9" i="2" a="1"/>
  <c r="K9" i="2" s="1"/>
  <c r="L9" i="2" s="1"/>
  <c r="N9" i="2" a="1"/>
  <c r="N9" i="2" s="1"/>
  <c r="O9" i="2" s="1"/>
  <c r="P9" i="2" s="1"/>
  <c r="K10" i="2" a="1"/>
  <c r="K10" i="2" s="1"/>
  <c r="L10" i="2" s="1"/>
  <c r="N10" i="2" a="1"/>
  <c r="N10" i="2" s="1"/>
  <c r="O10" i="2" s="1"/>
  <c r="P10" i="2" s="1"/>
  <c r="K11" i="2" a="1"/>
  <c r="K11" i="2" s="1"/>
  <c r="L11" i="2" s="1"/>
  <c r="N11" i="2" a="1"/>
  <c r="N11" i="2" s="1"/>
  <c r="O11" i="2"/>
  <c r="P11" i="2" s="1"/>
  <c r="K12" i="2" a="1"/>
  <c r="K12" i="2" s="1"/>
  <c r="L12" i="2" s="1"/>
  <c r="N12" i="2" a="1"/>
  <c r="N12" i="2" s="1"/>
  <c r="O12" i="2" s="1"/>
  <c r="P12" i="2" s="1"/>
  <c r="K13" i="2" a="1"/>
  <c r="K13" i="2" s="1"/>
  <c r="L13" i="2" s="1"/>
  <c r="N13" i="2" a="1"/>
  <c r="N13" i="2" s="1"/>
  <c r="O13" i="2" s="1"/>
  <c r="P13" i="2" s="1"/>
  <c r="K14" i="2" a="1"/>
  <c r="K14" i="2" s="1"/>
  <c r="L14" i="2" s="1"/>
  <c r="N14" i="2" a="1"/>
  <c r="N14" i="2" s="1"/>
  <c r="O14" i="2" s="1"/>
  <c r="P14" i="2" s="1"/>
  <c r="K15" i="2" a="1"/>
  <c r="K15" i="2" s="1"/>
  <c r="L15" i="2" s="1"/>
  <c r="N15" i="2" a="1"/>
  <c r="N15" i="2" s="1"/>
  <c r="O15" i="2" s="1"/>
  <c r="P15" i="2" s="1"/>
  <c r="K16" i="2" a="1"/>
  <c r="K16" i="2" s="1"/>
  <c r="L16" i="2" s="1"/>
  <c r="N16" i="2" a="1"/>
  <c r="N16" i="2" s="1"/>
  <c r="O16" i="2" s="1"/>
  <c r="P16" i="2" s="1"/>
  <c r="K17" i="2" a="1"/>
  <c r="K17" i="2" s="1"/>
  <c r="L17" i="2" s="1"/>
  <c r="N17" i="2" a="1"/>
  <c r="N17" i="2" s="1"/>
  <c r="O17" i="2" s="1"/>
  <c r="P17" i="2" s="1"/>
  <c r="K18" i="2" a="1"/>
  <c r="K18" i="2" s="1"/>
  <c r="L18" i="2" s="1"/>
  <c r="N18" i="2" a="1"/>
  <c r="N18" i="2" s="1"/>
  <c r="O18" i="2" s="1"/>
  <c r="P18" i="2" s="1"/>
  <c r="K19" i="2" a="1"/>
  <c r="K19" i="2" s="1"/>
  <c r="L19" i="2" s="1"/>
  <c r="N19" i="2" a="1"/>
  <c r="N19" i="2" s="1"/>
  <c r="O19" i="2" s="1"/>
  <c r="P19" i="2" s="1"/>
  <c r="K20" i="2" a="1"/>
  <c r="K20" i="2" s="1"/>
  <c r="L20" i="2" s="1"/>
  <c r="N20" i="2" a="1"/>
  <c r="N20" i="2" s="1"/>
  <c r="O20" i="2" s="1"/>
  <c r="P20" i="2" s="1"/>
  <c r="K21" i="2" a="1"/>
  <c r="K21" i="2" s="1"/>
  <c r="L21" i="2" s="1"/>
  <c r="N21" i="2" a="1"/>
  <c r="N21" i="2" s="1"/>
  <c r="O21" i="2" s="1"/>
  <c r="P21" i="2" s="1"/>
  <c r="K22" i="2" a="1"/>
  <c r="K22" i="2" s="1"/>
  <c r="L22" i="2" s="1"/>
  <c r="N22" i="2" a="1"/>
  <c r="N22" i="2" s="1"/>
  <c r="O22" i="2" s="1"/>
  <c r="P22" i="2" s="1"/>
  <c r="K23" i="2" a="1"/>
  <c r="K23" i="2" s="1"/>
  <c r="L23" i="2" s="1"/>
  <c r="N23" i="2" a="1"/>
  <c r="N23" i="2" s="1"/>
  <c r="O23" i="2"/>
  <c r="P23" i="2" s="1"/>
  <c r="K24" i="2" a="1"/>
  <c r="K24" i="2" s="1"/>
  <c r="L24" i="2" s="1"/>
  <c r="N24" i="2" a="1"/>
  <c r="N24" i="2" s="1"/>
  <c r="O24" i="2" s="1"/>
  <c r="P24" i="2" s="1"/>
  <c r="K25" i="2" a="1"/>
  <c r="K25" i="2" s="1"/>
  <c r="L25" i="2" s="1"/>
  <c r="N25" i="2" a="1"/>
  <c r="N25" i="2" s="1"/>
  <c r="O25" i="2" s="1"/>
  <c r="P25" i="2" s="1"/>
  <c r="K26" i="2" a="1"/>
  <c r="K26" i="2" s="1"/>
  <c r="L26" i="2" s="1"/>
  <c r="N26" i="2" a="1"/>
  <c r="N26" i="2" s="1"/>
  <c r="O26" i="2" s="1"/>
  <c r="P26" i="2" s="1"/>
  <c r="K27" i="2" a="1"/>
  <c r="K27" i="2" s="1"/>
  <c r="N27" i="2" a="1"/>
  <c r="N27" i="2" s="1"/>
  <c r="O27" i="2" s="1"/>
  <c r="P27" i="2" s="1"/>
  <c r="K28" i="2" a="1"/>
  <c r="K28" i="2" s="1"/>
  <c r="N28" i="2" a="1"/>
  <c r="N28" i="2" s="1"/>
  <c r="O28" i="2" s="1"/>
  <c r="P28" i="2" s="1"/>
  <c r="K29" i="2" a="1"/>
  <c r="K29" i="2" s="1"/>
  <c r="N29" i="2" a="1"/>
  <c r="N29" i="2" s="1"/>
  <c r="O29" i="2" s="1"/>
  <c r="P29" i="2" s="1"/>
  <c r="K30" i="2" a="1"/>
  <c r="K30" i="2" s="1"/>
  <c r="N30" i="2" a="1"/>
  <c r="N30" i="2" s="1"/>
  <c r="O30" i="2" s="1"/>
  <c r="P30" i="2" s="1"/>
  <c r="K31" i="2" a="1"/>
  <c r="K31" i="2" s="1"/>
  <c r="N31" i="2" a="1"/>
  <c r="N31" i="2" s="1"/>
  <c r="O31" i="2" s="1"/>
  <c r="P31" i="2" s="1"/>
  <c r="K32" i="2" a="1"/>
  <c r="K32" i="2" s="1"/>
  <c r="N32" i="2" a="1"/>
  <c r="N32" i="2" s="1"/>
  <c r="O32" i="2" s="1"/>
  <c r="P32" i="2" s="1"/>
  <c r="K33" i="2" a="1"/>
  <c r="K33" i="2" s="1"/>
  <c r="N33" i="2" a="1"/>
  <c r="N33" i="2" s="1"/>
  <c r="O33" i="2" s="1"/>
  <c r="P33" i="2" s="1"/>
  <c r="K34" i="2" a="1"/>
  <c r="K34" i="2" s="1"/>
  <c r="N34" i="2" a="1"/>
  <c r="N34" i="2" s="1"/>
  <c r="O34" i="2" s="1"/>
  <c r="P34" i="2" s="1"/>
  <c r="K35" i="2" a="1"/>
  <c r="K35" i="2" s="1"/>
  <c r="N35" i="2" a="1"/>
  <c r="N35" i="2" s="1"/>
  <c r="O35" i="2" s="1"/>
  <c r="P35" i="2" s="1"/>
  <c r="K36" i="2" a="1"/>
  <c r="K36" i="2" s="1"/>
  <c r="N36" i="2" a="1"/>
  <c r="N36" i="2" s="1"/>
  <c r="O36" i="2" s="1"/>
  <c r="P36" i="2" s="1"/>
  <c r="K37" i="2" a="1"/>
  <c r="K37" i="2" s="1"/>
  <c r="N37" i="2" a="1"/>
  <c r="N37" i="2" s="1"/>
  <c r="O37" i="2" s="1"/>
  <c r="P37" i="2" s="1"/>
  <c r="K38" i="2" a="1"/>
  <c r="K38" i="2" s="1"/>
  <c r="N38" i="2" a="1"/>
  <c r="N38" i="2" s="1"/>
  <c r="O38" i="2" s="1"/>
  <c r="P38" i="2" s="1"/>
  <c r="K39" i="2" a="1"/>
  <c r="K39" i="2" s="1"/>
  <c r="N39" i="2" a="1"/>
  <c r="N39" i="2" s="1"/>
  <c r="O39" i="2" s="1"/>
  <c r="P39" i="2" s="1"/>
  <c r="K40" i="2" a="1"/>
  <c r="K40" i="2" s="1"/>
  <c r="N40" i="2" a="1"/>
  <c r="N40" i="2" s="1"/>
  <c r="O40" i="2" s="1"/>
  <c r="P40" i="2" s="1"/>
  <c r="K41" i="2" a="1"/>
  <c r="K41" i="2" s="1"/>
  <c r="N41" i="2" a="1"/>
  <c r="N41" i="2" s="1"/>
  <c r="O41" i="2" s="1"/>
  <c r="P41" i="2" s="1"/>
  <c r="K42" i="2" a="1"/>
  <c r="K42" i="2" s="1"/>
  <c r="N42" i="2" a="1"/>
  <c r="N42" i="2" s="1"/>
  <c r="O42" i="2" s="1"/>
  <c r="P42" i="2" s="1"/>
  <c r="K43" i="2" a="1"/>
  <c r="K43" i="2" s="1"/>
  <c r="N43" i="2" a="1"/>
  <c r="N43" i="2" s="1"/>
  <c r="O43" i="2" s="1"/>
  <c r="P43" i="2" s="1"/>
  <c r="K44" i="2" a="1"/>
  <c r="K44" i="2" s="1"/>
  <c r="N44" i="2" a="1"/>
  <c r="N44" i="2" s="1"/>
  <c r="O44" i="2" s="1"/>
  <c r="P44" i="2" s="1"/>
  <c r="K45" i="2" a="1"/>
  <c r="K45" i="2" s="1"/>
  <c r="N45" i="2" a="1"/>
  <c r="N45" i="2" s="1"/>
  <c r="O45" i="2" s="1"/>
  <c r="P45" i="2" s="1"/>
  <c r="K46" i="2" a="1"/>
  <c r="K46" i="2" s="1"/>
  <c r="N46" i="2" a="1"/>
  <c r="N46" i="2" s="1"/>
  <c r="O46" i="2" s="1"/>
  <c r="P46" i="2" s="1"/>
  <c r="K47" i="2" a="1"/>
  <c r="K47" i="2" s="1"/>
  <c r="N47" i="2" a="1"/>
  <c r="N47" i="2" s="1"/>
  <c r="O47" i="2" s="1"/>
  <c r="P47" i="2" s="1"/>
  <c r="K48" i="2" a="1"/>
  <c r="K48" i="2" s="1"/>
  <c r="N48" i="2" a="1"/>
  <c r="N48" i="2" s="1"/>
  <c r="O48" i="2" s="1"/>
  <c r="P48" i="2" s="1"/>
  <c r="K49" i="2" a="1"/>
  <c r="K49" i="2" s="1"/>
  <c r="N49" i="2" a="1"/>
  <c r="N49" i="2" s="1"/>
  <c r="O49" i="2" s="1"/>
  <c r="P49" i="2" s="1"/>
  <c r="K50" i="2" a="1"/>
  <c r="K50" i="2" s="1"/>
  <c r="N50" i="2" a="1"/>
  <c r="N50" i="2" s="1"/>
  <c r="O50" i="2" s="1"/>
  <c r="P50" i="2" s="1"/>
  <c r="K51" i="2" a="1"/>
  <c r="K51" i="2" s="1"/>
  <c r="N51" i="2" a="1"/>
  <c r="N51" i="2" s="1"/>
  <c r="O51" i="2" s="1"/>
  <c r="P51" i="2" s="1"/>
  <c r="K52" i="2" a="1"/>
  <c r="K52" i="2" s="1"/>
  <c r="N52" i="2" a="1"/>
  <c r="N52" i="2" s="1"/>
  <c r="O52" i="2" s="1"/>
  <c r="P52" i="2" s="1"/>
  <c r="K53" i="2" a="1"/>
  <c r="K53" i="2" s="1"/>
  <c r="N53" i="2" a="1"/>
  <c r="N53" i="2" s="1"/>
  <c r="O53" i="2" s="1"/>
  <c r="P53" i="2" s="1"/>
  <c r="K54" i="2" a="1"/>
  <c r="K54" i="2" s="1"/>
  <c r="N54" i="2" a="1"/>
  <c r="N54" i="2" s="1"/>
  <c r="O54" i="2" s="1"/>
  <c r="P54" i="2" s="1"/>
  <c r="K55" i="2" a="1"/>
  <c r="K55" i="2" s="1"/>
  <c r="N55" i="2" a="1"/>
  <c r="N55" i="2" s="1"/>
  <c r="O55" i="2" s="1"/>
  <c r="P55" i="2" s="1"/>
  <c r="K56" i="2" a="1"/>
  <c r="K56" i="2" s="1"/>
  <c r="N56" i="2" a="1"/>
  <c r="N56" i="2" s="1"/>
  <c r="O56" i="2" s="1"/>
  <c r="P56" i="2" s="1"/>
  <c r="K57" i="2" a="1"/>
  <c r="K57" i="2" s="1"/>
  <c r="N57" i="2" a="1"/>
  <c r="N57" i="2" s="1"/>
  <c r="O57" i="2" s="1"/>
  <c r="P57" i="2" s="1"/>
  <c r="K58" i="2" a="1"/>
  <c r="K58" i="2" s="1"/>
  <c r="N58" i="2" a="1"/>
  <c r="N58" i="2" s="1"/>
  <c r="O58" i="2" s="1"/>
  <c r="P58" i="2" s="1"/>
  <c r="K59" i="2" a="1"/>
  <c r="K59" i="2" s="1"/>
  <c r="N59" i="2" a="1"/>
  <c r="N59" i="2" s="1"/>
  <c r="O59" i="2"/>
  <c r="P59" i="2" s="1"/>
  <c r="K60" i="2" a="1"/>
  <c r="K60" i="2" s="1"/>
  <c r="N60" i="2" a="1"/>
  <c r="N60" i="2" s="1"/>
  <c r="O60" i="2" s="1"/>
  <c r="P60" i="2" s="1"/>
  <c r="K61" i="2" a="1"/>
  <c r="K61" i="2" s="1"/>
  <c r="N61" i="2" a="1"/>
  <c r="N61" i="2" s="1"/>
  <c r="O61" i="2" s="1"/>
  <c r="P61" i="2" s="1"/>
  <c r="K62" i="2" a="1"/>
  <c r="K62" i="2" s="1"/>
  <c r="N62" i="2" a="1"/>
  <c r="N62" i="2" s="1"/>
  <c r="O62" i="2" s="1"/>
  <c r="P62" i="2" s="1"/>
  <c r="K63" i="2" a="1"/>
  <c r="K63" i="2" s="1"/>
  <c r="N63" i="2" a="1"/>
  <c r="N63" i="2" s="1"/>
  <c r="O63" i="2" s="1"/>
  <c r="P63" i="2" s="1"/>
  <c r="K64" i="2" a="1"/>
  <c r="K64" i="2" s="1"/>
  <c r="N64" i="2" a="1"/>
  <c r="N64" i="2" s="1"/>
  <c r="O64" i="2" s="1"/>
  <c r="P64" i="2" s="1"/>
  <c r="K65" i="2" a="1"/>
  <c r="K65" i="2" s="1"/>
  <c r="N65" i="2" a="1"/>
  <c r="N65" i="2" s="1"/>
  <c r="O65" i="2" s="1"/>
  <c r="P65" i="2" s="1"/>
  <c r="K66" i="2" a="1"/>
  <c r="K66" i="2" s="1"/>
  <c r="N66" i="2" a="1"/>
  <c r="N66" i="2" s="1"/>
  <c r="O66" i="2" s="1"/>
  <c r="P66" i="2" s="1"/>
  <c r="K67" i="2" a="1"/>
  <c r="K67" i="2" s="1"/>
  <c r="N67" i="2" a="1"/>
  <c r="N67" i="2" s="1"/>
  <c r="O67" i="2" s="1"/>
  <c r="P67" i="2" s="1"/>
  <c r="K68" i="2" a="1"/>
  <c r="K68" i="2" s="1"/>
  <c r="N68" i="2" a="1"/>
  <c r="N68" i="2" s="1"/>
  <c r="O68" i="2" s="1"/>
  <c r="P68" i="2" s="1"/>
  <c r="K69" i="2" a="1"/>
  <c r="K69" i="2" s="1"/>
  <c r="N69" i="2" a="1"/>
  <c r="N69" i="2" s="1"/>
  <c r="O69" i="2" s="1"/>
  <c r="P69" i="2" s="1"/>
  <c r="K70" i="2" a="1"/>
  <c r="K70" i="2" s="1"/>
  <c r="N70" i="2" a="1"/>
  <c r="N70" i="2" s="1"/>
  <c r="O70" i="2" s="1"/>
  <c r="P70" i="2" s="1"/>
  <c r="K71" i="2" a="1"/>
  <c r="K71" i="2" s="1"/>
  <c r="N71" i="2" a="1"/>
  <c r="N71" i="2" s="1"/>
  <c r="O71" i="2" s="1"/>
  <c r="P71" i="2" s="1"/>
  <c r="K72" i="2" a="1"/>
  <c r="K72" i="2" s="1"/>
  <c r="N72" i="2" a="1"/>
  <c r="N72" i="2" s="1"/>
  <c r="O72" i="2" s="1"/>
  <c r="P72" i="2" s="1"/>
  <c r="K73" i="2" a="1"/>
  <c r="K73" i="2" s="1"/>
  <c r="N73" i="2" a="1"/>
  <c r="N73" i="2" s="1"/>
  <c r="O73" i="2" s="1"/>
  <c r="P73" i="2" s="1"/>
  <c r="K74" i="2" a="1"/>
  <c r="K74" i="2" s="1"/>
  <c r="N74" i="2" a="1"/>
  <c r="N74" i="2" s="1"/>
  <c r="O74" i="2" s="1"/>
  <c r="P74" i="2" s="1"/>
  <c r="K75" i="2" a="1"/>
  <c r="K75" i="2" s="1"/>
  <c r="N75" i="2" a="1"/>
  <c r="N75" i="2" s="1"/>
  <c r="O75" i="2" s="1"/>
  <c r="P75" i="2" s="1"/>
  <c r="K76" i="2" a="1"/>
  <c r="K76" i="2" s="1"/>
  <c r="N76" i="2" a="1"/>
  <c r="N76" i="2" s="1"/>
  <c r="O76" i="2" s="1"/>
  <c r="P76" i="2" s="1"/>
  <c r="K77" i="2" a="1"/>
  <c r="K77" i="2" s="1"/>
  <c r="N77" i="2" a="1"/>
  <c r="N77" i="2" s="1"/>
  <c r="O77" i="2" s="1"/>
  <c r="P77" i="2" s="1"/>
  <c r="K78" i="2" a="1"/>
  <c r="K78" i="2" s="1"/>
  <c r="N78" i="2" a="1"/>
  <c r="N78" i="2" s="1"/>
  <c r="O78" i="2" s="1"/>
  <c r="P78" i="2" s="1"/>
  <c r="K79" i="2" a="1"/>
  <c r="K79" i="2" s="1"/>
  <c r="N79" i="2" a="1"/>
  <c r="N79" i="2" s="1"/>
  <c r="O79" i="2" s="1"/>
  <c r="P79" i="2" s="1"/>
  <c r="K80" i="2" a="1"/>
  <c r="K80" i="2" s="1"/>
  <c r="N80" i="2" a="1"/>
  <c r="N80" i="2" s="1"/>
  <c r="O80" i="2" s="1"/>
  <c r="P80" i="2" s="1"/>
  <c r="K81" i="2" a="1"/>
  <c r="K81" i="2" s="1"/>
  <c r="L81" i="2" s="1"/>
  <c r="N81" i="2" a="1"/>
  <c r="N81" i="2" s="1"/>
  <c r="O81" i="2" s="1"/>
  <c r="P81" i="2" s="1"/>
  <c r="K82" i="2" a="1"/>
  <c r="K82" i="2" s="1"/>
  <c r="L82" i="2" s="1"/>
  <c r="N82" i="2" a="1"/>
  <c r="N82" i="2" s="1"/>
  <c r="O82" i="2" s="1"/>
  <c r="P82" i="2" s="1"/>
  <c r="K83" i="2" a="1"/>
  <c r="K83" i="2" s="1"/>
  <c r="L83" i="2" s="1"/>
  <c r="N83" i="2" a="1"/>
  <c r="N83" i="2" s="1"/>
  <c r="O83" i="2" s="1"/>
  <c r="P83" i="2" s="1"/>
  <c r="K84" i="2" a="1"/>
  <c r="K84" i="2" s="1"/>
  <c r="N84" i="2" a="1"/>
  <c r="N84" i="2" s="1"/>
  <c r="O84" i="2" s="1"/>
  <c r="P84" i="2" s="1"/>
  <c r="K85" i="2" a="1"/>
  <c r="K85" i="2" s="1"/>
  <c r="L85" i="2" s="1"/>
  <c r="N85" i="2" a="1"/>
  <c r="N85" i="2" s="1"/>
  <c r="O85" i="2" s="1"/>
  <c r="P85" i="2" s="1"/>
  <c r="K86" i="2" a="1"/>
  <c r="K86" i="2" s="1"/>
  <c r="L86" i="2" s="1"/>
  <c r="N86" i="2" a="1"/>
  <c r="N86" i="2" s="1"/>
  <c r="O86" i="2" s="1"/>
  <c r="P86" i="2" s="1"/>
  <c r="K87" i="2" a="1"/>
  <c r="K87" i="2" s="1"/>
  <c r="L87" i="2" s="1"/>
  <c r="N87" i="2" a="1"/>
  <c r="N87" i="2" s="1"/>
  <c r="O87" i="2" s="1"/>
  <c r="P87" i="2" s="1"/>
  <c r="K88" i="2" a="1"/>
  <c r="K88" i="2" s="1"/>
  <c r="M88" i="2" s="1"/>
  <c r="N88" i="2" a="1"/>
  <c r="N88" i="2" s="1"/>
  <c r="O88" i="2" s="1"/>
  <c r="P88" i="2" s="1"/>
  <c r="K89" i="2" a="1"/>
  <c r="K89" i="2" s="1"/>
  <c r="L89" i="2" s="1"/>
  <c r="N89" i="2" a="1"/>
  <c r="N89" i="2" s="1"/>
  <c r="O89" i="2" s="1"/>
  <c r="P89" i="2" s="1"/>
  <c r="K90" i="2" a="1"/>
  <c r="K90" i="2" s="1"/>
  <c r="L90" i="2" s="1"/>
  <c r="N90" i="2" a="1"/>
  <c r="N90" i="2" s="1"/>
  <c r="O90" i="2" s="1"/>
  <c r="P90" i="2" s="1"/>
  <c r="K91" i="2" a="1"/>
  <c r="K91" i="2" s="1"/>
  <c r="M91" i="2" s="1"/>
  <c r="N91" i="2" a="1"/>
  <c r="N91" i="2" s="1"/>
  <c r="O91" i="2" s="1"/>
  <c r="P91" i="2" s="1"/>
  <c r="K92" i="2" a="1"/>
  <c r="K92" i="2" s="1"/>
  <c r="L92" i="2" s="1"/>
  <c r="N92" i="2" a="1"/>
  <c r="N92" i="2" s="1"/>
  <c r="O92" i="2" s="1"/>
  <c r="P92" i="2" s="1"/>
  <c r="K93" i="2" a="1"/>
  <c r="K93" i="2" s="1"/>
  <c r="N93" i="2" a="1"/>
  <c r="N93" i="2" s="1"/>
  <c r="O93" i="2" s="1"/>
  <c r="P93" i="2" s="1"/>
  <c r="K94" i="2" a="1"/>
  <c r="K94" i="2" s="1"/>
  <c r="N94" i="2" a="1"/>
  <c r="N94" i="2" s="1"/>
  <c r="O94" i="2" s="1"/>
  <c r="P94" i="2" s="1"/>
  <c r="K95" i="2" a="1"/>
  <c r="K95" i="2" s="1"/>
  <c r="N95" i="2" a="1"/>
  <c r="N95" i="2" s="1"/>
  <c r="O95" i="2" s="1"/>
  <c r="P95" i="2" s="1"/>
  <c r="K96" i="2" a="1"/>
  <c r="K96" i="2" s="1"/>
  <c r="L96" i="2" s="1"/>
  <c r="N96" i="2" a="1"/>
  <c r="N96" i="2" s="1"/>
  <c r="O96" i="2" s="1"/>
  <c r="P96" i="2" s="1"/>
  <c r="K97" i="2" a="1"/>
  <c r="K97" i="2" s="1"/>
  <c r="N97" i="2" a="1"/>
  <c r="N97" i="2" s="1"/>
  <c r="O97" i="2" s="1"/>
  <c r="P97" i="2" s="1"/>
  <c r="K98" i="2" a="1"/>
  <c r="K98" i="2" s="1"/>
  <c r="N98" i="2" a="1"/>
  <c r="N98" i="2" s="1"/>
  <c r="O98" i="2" s="1"/>
  <c r="P98" i="2" s="1"/>
  <c r="K99" i="2" a="1"/>
  <c r="K99" i="2" s="1"/>
  <c r="N99" i="2" a="1"/>
  <c r="N99" i="2" s="1"/>
  <c r="O99" i="2" s="1"/>
  <c r="P99" i="2" s="1"/>
  <c r="K100" i="2" a="1"/>
  <c r="K100" i="2" s="1"/>
  <c r="L100" i="2" s="1"/>
  <c r="N100" i="2" a="1"/>
  <c r="N100" i="2" s="1"/>
  <c r="O100" i="2" s="1"/>
  <c r="P100" i="2" s="1"/>
  <c r="K101" i="2" a="1"/>
  <c r="K101" i="2" s="1"/>
  <c r="N101" i="2" a="1"/>
  <c r="N101" i="2" s="1"/>
  <c r="O101" i="2" s="1"/>
  <c r="P101" i="2" s="1"/>
  <c r="K102" i="2" a="1"/>
  <c r="K102" i="2" s="1"/>
  <c r="L102" i="2" s="1"/>
  <c r="N102" i="2" a="1"/>
  <c r="N102" i="2" s="1"/>
  <c r="O102" i="2" s="1"/>
  <c r="P102" i="2" s="1"/>
  <c r="K103" i="2" a="1"/>
  <c r="K103" i="2" s="1"/>
  <c r="N103" i="2" a="1"/>
  <c r="N103" i="2" s="1"/>
  <c r="O103" i="2" s="1"/>
  <c r="P103" i="2" s="1"/>
  <c r="K104" i="2" a="1"/>
  <c r="K104" i="2" s="1"/>
  <c r="L104" i="2" s="1"/>
  <c r="N104" i="2" a="1"/>
  <c r="N104" i="2" s="1"/>
  <c r="O104" i="2" s="1"/>
  <c r="P104" i="2" s="1"/>
  <c r="K105" i="2" a="1"/>
  <c r="K105" i="2" s="1"/>
  <c r="N105" i="2" a="1"/>
  <c r="N105" i="2" s="1"/>
  <c r="O105" i="2" s="1"/>
  <c r="P105" i="2" s="1"/>
  <c r="K106" i="2" a="1"/>
  <c r="K106" i="2" s="1"/>
  <c r="N106" i="2" a="1"/>
  <c r="N106" i="2" s="1"/>
  <c r="O106" i="2" s="1"/>
  <c r="P106" i="2" s="1"/>
  <c r="K107" i="2" a="1"/>
  <c r="K107" i="2" s="1"/>
  <c r="N107" i="2" a="1"/>
  <c r="N107" i="2" s="1"/>
  <c r="O107" i="2" s="1"/>
  <c r="P107" i="2" s="1"/>
  <c r="K108" i="2" a="1"/>
  <c r="K108" i="2" s="1"/>
  <c r="L108" i="2" s="1"/>
  <c r="N108" i="2" a="1"/>
  <c r="N108" i="2" s="1"/>
  <c r="O108" i="2" s="1"/>
  <c r="P108" i="2" s="1"/>
  <c r="K109" i="2" a="1"/>
  <c r="K109" i="2" s="1"/>
  <c r="N109" i="2" a="1"/>
  <c r="N109" i="2" s="1"/>
  <c r="O109" i="2" s="1"/>
  <c r="P109" i="2" s="1"/>
  <c r="K110" i="2" a="1"/>
  <c r="K110" i="2" s="1"/>
  <c r="L110" i="2" s="1"/>
  <c r="N110" i="2" a="1"/>
  <c r="N110" i="2" s="1"/>
  <c r="O110" i="2" s="1"/>
  <c r="P110" i="2" s="1"/>
  <c r="K111" i="2" a="1"/>
  <c r="K111" i="2" s="1"/>
  <c r="N111" i="2" a="1"/>
  <c r="N111" i="2" s="1"/>
  <c r="O111" i="2" s="1"/>
  <c r="P111" i="2" s="1"/>
  <c r="K112" i="2" a="1"/>
  <c r="K112" i="2" s="1"/>
  <c r="L112" i="2" s="1"/>
  <c r="N112" i="2" a="1"/>
  <c r="N112" i="2" s="1"/>
  <c r="O112" i="2" s="1"/>
  <c r="P112" i="2" s="1"/>
  <c r="K113" i="2" a="1"/>
  <c r="K113" i="2" s="1"/>
  <c r="N113" i="2" a="1"/>
  <c r="N113" i="2" s="1"/>
  <c r="O113" i="2" s="1"/>
  <c r="P113" i="2" s="1"/>
  <c r="K114" i="2" a="1"/>
  <c r="K114" i="2" s="1"/>
  <c r="N114" i="2" a="1"/>
  <c r="N114" i="2" s="1"/>
  <c r="O114" i="2" s="1"/>
  <c r="P114" i="2" s="1"/>
  <c r="K115" i="2" a="1"/>
  <c r="K115" i="2" s="1"/>
  <c r="N115" i="2" a="1"/>
  <c r="N115" i="2" s="1"/>
  <c r="O115" i="2" s="1"/>
  <c r="P115" i="2" s="1"/>
  <c r="K116" i="2" a="1"/>
  <c r="K116" i="2" s="1"/>
  <c r="L116" i="2" s="1"/>
  <c r="N116" i="2" a="1"/>
  <c r="N116" i="2" s="1"/>
  <c r="O116" i="2" s="1"/>
  <c r="P116" i="2" s="1"/>
  <c r="K117" i="2" a="1"/>
  <c r="K117" i="2" s="1"/>
  <c r="N117" i="2" a="1"/>
  <c r="N117" i="2" s="1"/>
  <c r="O117" i="2" s="1"/>
  <c r="P117" i="2" s="1"/>
  <c r="K118" i="2" a="1"/>
  <c r="K118" i="2" s="1"/>
  <c r="L118" i="2" s="1"/>
  <c r="N118" i="2" a="1"/>
  <c r="N118" i="2" s="1"/>
  <c r="O118" i="2" s="1"/>
  <c r="P118" i="2" s="1"/>
  <c r="K119" i="2" a="1"/>
  <c r="K119" i="2" s="1"/>
  <c r="N119" i="2" a="1"/>
  <c r="N119" i="2" s="1"/>
  <c r="O119" i="2" s="1"/>
  <c r="P119" i="2" s="1"/>
  <c r="K120" i="2" a="1"/>
  <c r="K120" i="2" s="1"/>
  <c r="L120" i="2" s="1"/>
  <c r="N120" i="2" a="1"/>
  <c r="N120" i="2" s="1"/>
  <c r="O120" i="2" s="1"/>
  <c r="P120" i="2" s="1"/>
  <c r="K121" i="2" a="1"/>
  <c r="K121" i="2" s="1"/>
  <c r="N121" i="2" a="1"/>
  <c r="N121" i="2" s="1"/>
  <c r="O121" i="2" s="1"/>
  <c r="P121" i="2" s="1"/>
  <c r="K122" i="2" a="1"/>
  <c r="K122" i="2" s="1"/>
  <c r="N122" i="2" a="1"/>
  <c r="N122" i="2" s="1"/>
  <c r="O122" i="2" s="1"/>
  <c r="P122" i="2" s="1"/>
  <c r="K123" i="2" a="1"/>
  <c r="K123" i="2" s="1"/>
  <c r="N123" i="2" a="1"/>
  <c r="N123" i="2" s="1"/>
  <c r="O123" i="2" s="1"/>
  <c r="P123" i="2" s="1"/>
  <c r="K124" i="2" a="1"/>
  <c r="K124" i="2" s="1"/>
  <c r="L124" i="2" s="1"/>
  <c r="N124" i="2" a="1"/>
  <c r="N124" i="2" s="1"/>
  <c r="O124" i="2" s="1"/>
  <c r="P124" i="2" s="1"/>
  <c r="K125" i="2" a="1"/>
  <c r="K125" i="2" s="1"/>
  <c r="N125" i="2" a="1"/>
  <c r="N125" i="2" s="1"/>
  <c r="O125" i="2" s="1"/>
  <c r="P125" i="2" s="1"/>
  <c r="K126" i="2" a="1"/>
  <c r="K126" i="2" s="1"/>
  <c r="L126" i="2" s="1"/>
  <c r="N126" i="2" a="1"/>
  <c r="N126" i="2" s="1"/>
  <c r="O126" i="2" s="1"/>
  <c r="P126" i="2" s="1"/>
  <c r="K127" i="2" a="1"/>
  <c r="K127" i="2" s="1"/>
  <c r="N127" i="2" a="1"/>
  <c r="N127" i="2" s="1"/>
  <c r="O127" i="2" s="1"/>
  <c r="P127" i="2" s="1"/>
  <c r="K128" i="2" a="1"/>
  <c r="K128" i="2" s="1"/>
  <c r="L128" i="2" s="1"/>
  <c r="N128" i="2" a="1"/>
  <c r="N128" i="2" s="1"/>
  <c r="O128" i="2" s="1"/>
  <c r="P128" i="2" s="1"/>
  <c r="K129" i="2" a="1"/>
  <c r="K129" i="2" s="1"/>
  <c r="M129" i="2" s="1"/>
  <c r="N129" i="2" a="1"/>
  <c r="N129" i="2" s="1"/>
  <c r="O129" i="2" s="1"/>
  <c r="P129" i="2" s="1"/>
  <c r="K130" i="2" a="1"/>
  <c r="K130" i="2" s="1"/>
  <c r="N130" i="2" a="1"/>
  <c r="N130" i="2" s="1"/>
  <c r="O130" i="2" s="1"/>
  <c r="P130" i="2" s="1"/>
  <c r="K131" i="2" a="1"/>
  <c r="K131" i="2" s="1"/>
  <c r="N131" i="2" a="1"/>
  <c r="N131" i="2" s="1"/>
  <c r="O131" i="2" s="1"/>
  <c r="P131" i="2" s="1"/>
  <c r="K132" i="2" a="1"/>
  <c r="K132" i="2" s="1"/>
  <c r="N132" i="2" a="1"/>
  <c r="N132" i="2" s="1"/>
  <c r="O132" i="2" s="1"/>
  <c r="P132" i="2" s="1"/>
  <c r="K133" i="2" a="1"/>
  <c r="K133" i="2" s="1"/>
  <c r="M133" i="2" s="1"/>
  <c r="N133" i="2" a="1"/>
  <c r="N133" i="2" s="1"/>
  <c r="O133" i="2" s="1"/>
  <c r="P133" i="2" s="1"/>
  <c r="K134" i="2" a="1"/>
  <c r="K134" i="2" s="1"/>
  <c r="N134" i="2" a="1"/>
  <c r="N134" i="2" s="1"/>
  <c r="O134" i="2" s="1"/>
  <c r="P134" i="2" s="1"/>
  <c r="K135" i="2" a="1"/>
  <c r="K135" i="2" s="1"/>
  <c r="N135" i="2" a="1"/>
  <c r="N135" i="2" s="1"/>
  <c r="O135" i="2" s="1"/>
  <c r="P135" i="2" s="1"/>
  <c r="K136" i="2" a="1"/>
  <c r="K136" i="2" s="1"/>
  <c r="N136" i="2" a="1"/>
  <c r="N136" i="2" s="1"/>
  <c r="O136" i="2" s="1"/>
  <c r="P136" i="2" s="1"/>
  <c r="K137" i="2" a="1"/>
  <c r="K137" i="2" s="1"/>
  <c r="M137" i="2" s="1"/>
  <c r="N137" i="2" a="1"/>
  <c r="N137" i="2" s="1"/>
  <c r="O137" i="2" s="1"/>
  <c r="P137" i="2" s="1"/>
  <c r="K138" i="2" a="1"/>
  <c r="K138" i="2" s="1"/>
  <c r="L138" i="2" s="1"/>
  <c r="N138" i="2" a="1"/>
  <c r="N138" i="2" s="1"/>
  <c r="O138" i="2" s="1"/>
  <c r="P138" i="2" s="1"/>
  <c r="K139" i="2" a="1"/>
  <c r="K139" i="2" s="1"/>
  <c r="N139" i="2" a="1"/>
  <c r="N139" i="2" s="1"/>
  <c r="O139" i="2" s="1"/>
  <c r="P139" i="2" s="1"/>
  <c r="K140" i="2" a="1"/>
  <c r="K140" i="2" s="1"/>
  <c r="M140" i="2" s="1"/>
  <c r="N140" i="2" a="1"/>
  <c r="N140" i="2" s="1"/>
  <c r="O140" i="2" s="1"/>
  <c r="P140" i="2" s="1"/>
  <c r="K141" i="2" a="1"/>
  <c r="K141" i="2" s="1"/>
  <c r="L141" i="2" s="1"/>
  <c r="N141" i="2" a="1"/>
  <c r="N141" i="2" s="1"/>
  <c r="O141" i="2" s="1"/>
  <c r="P141" i="2" s="1"/>
  <c r="K142" i="2" a="1"/>
  <c r="K142" i="2" s="1"/>
  <c r="L142" i="2" s="1"/>
  <c r="N142" i="2" a="1"/>
  <c r="N142" i="2" s="1"/>
  <c r="O142" i="2" s="1"/>
  <c r="P142" i="2" s="1"/>
  <c r="K143" i="2" a="1"/>
  <c r="K143" i="2" s="1"/>
  <c r="M143" i="2" s="1"/>
  <c r="N143" i="2" a="1"/>
  <c r="N143" i="2" s="1"/>
  <c r="O143" i="2" s="1"/>
  <c r="P143" i="2" s="1"/>
  <c r="K144" i="2" a="1"/>
  <c r="K144" i="2" s="1"/>
  <c r="L144" i="2" s="1"/>
  <c r="N144" i="2" a="1"/>
  <c r="N144" i="2" s="1"/>
  <c r="O144" i="2" s="1"/>
  <c r="P144" i="2" s="1"/>
  <c r="K145" i="2" a="1"/>
  <c r="K145" i="2" s="1"/>
  <c r="M145" i="2" s="1"/>
  <c r="N145" i="2" a="1"/>
  <c r="N145" i="2" s="1"/>
  <c r="O145" i="2" s="1"/>
  <c r="P145" i="2" s="1"/>
  <c r="K146" i="2" a="1"/>
  <c r="K146" i="2" s="1"/>
  <c r="L146" i="2" s="1"/>
  <c r="N146" i="2" a="1"/>
  <c r="N146" i="2" s="1"/>
  <c r="O146" i="2" s="1"/>
  <c r="P146" i="2" s="1"/>
  <c r="K147" i="2" a="1"/>
  <c r="K147" i="2" s="1"/>
  <c r="N147" i="2" a="1"/>
  <c r="N147" i="2" s="1"/>
  <c r="O147" i="2" s="1"/>
  <c r="P147" i="2" s="1"/>
  <c r="K148" i="2" a="1"/>
  <c r="K148" i="2" s="1"/>
  <c r="N148" i="2" a="1"/>
  <c r="N148" i="2" s="1"/>
  <c r="O148" i="2" s="1"/>
  <c r="P148" i="2" s="1"/>
  <c r="K149" i="2" a="1"/>
  <c r="K149" i="2" s="1"/>
  <c r="N149" i="2" a="1"/>
  <c r="N149" i="2" s="1"/>
  <c r="O149" i="2" s="1"/>
  <c r="P149" i="2" s="1"/>
  <c r="K150" i="2" a="1"/>
  <c r="K150" i="2" s="1"/>
  <c r="L150" i="2" s="1"/>
  <c r="N150" i="2" a="1"/>
  <c r="N150" i="2" s="1"/>
  <c r="O150" i="2" s="1"/>
  <c r="P150" i="2" s="1"/>
  <c r="K151" i="2" a="1"/>
  <c r="K151" i="2" s="1"/>
  <c r="L151" i="2" s="1"/>
  <c r="N151" i="2" a="1"/>
  <c r="N151" i="2" s="1"/>
  <c r="O151" i="2" s="1"/>
  <c r="P151" i="2" s="1"/>
  <c r="K152" i="2" a="1"/>
  <c r="K152" i="2" s="1"/>
  <c r="N152" i="2" a="1"/>
  <c r="N152" i="2" s="1"/>
  <c r="O152" i="2" s="1"/>
  <c r="P152" i="2" s="1"/>
  <c r="K153" i="2" a="1"/>
  <c r="K153" i="2" s="1"/>
  <c r="L153" i="2" s="1"/>
  <c r="N153" i="2" a="1"/>
  <c r="N153" i="2" s="1"/>
  <c r="O153" i="2" s="1"/>
  <c r="P153" i="2" s="1"/>
  <c r="K154" i="2" a="1"/>
  <c r="K154" i="2" s="1"/>
  <c r="L154" i="2" s="1"/>
  <c r="N154" i="2" a="1"/>
  <c r="N154" i="2" s="1"/>
  <c r="O154" i="2" s="1"/>
  <c r="P154" i="2" s="1"/>
  <c r="K155" i="2" a="1"/>
  <c r="K155" i="2" s="1"/>
  <c r="N155" i="2" a="1"/>
  <c r="N155" i="2" s="1"/>
  <c r="O155" i="2" s="1"/>
  <c r="P155" i="2" s="1"/>
  <c r="K156" i="2" a="1"/>
  <c r="K156" i="2" s="1"/>
  <c r="N156" i="2" a="1"/>
  <c r="N156" i="2" s="1"/>
  <c r="O156" i="2" s="1"/>
  <c r="P156" i="2" s="1"/>
  <c r="K157" i="2" a="1"/>
  <c r="K157" i="2" s="1"/>
  <c r="N157" i="2" a="1"/>
  <c r="N157" i="2" s="1"/>
  <c r="O157" i="2" s="1"/>
  <c r="P157" i="2" s="1"/>
  <c r="K158" i="2" a="1"/>
  <c r="K158" i="2" s="1"/>
  <c r="L158" i="2" s="1"/>
  <c r="N158" i="2" a="1"/>
  <c r="N158" i="2" s="1"/>
  <c r="O158" i="2" s="1"/>
  <c r="P158" i="2" s="1"/>
  <c r="K159" i="2" a="1"/>
  <c r="K159" i="2" s="1"/>
  <c r="N159" i="2" a="1"/>
  <c r="N159" i="2" s="1"/>
  <c r="O159" i="2" s="1"/>
  <c r="P159" i="2" s="1"/>
  <c r="K160" i="2" a="1"/>
  <c r="K160" i="2" s="1"/>
  <c r="N160" i="2" a="1"/>
  <c r="N160" i="2" s="1"/>
  <c r="O160" i="2" s="1"/>
  <c r="P160" i="2" s="1"/>
  <c r="K161" i="2" a="1"/>
  <c r="K161" i="2" s="1"/>
  <c r="M161" i="2" s="1"/>
  <c r="N161" i="2" a="1"/>
  <c r="N161" i="2" s="1"/>
  <c r="O161" i="2" s="1"/>
  <c r="P161" i="2" s="1"/>
  <c r="K162" i="2" a="1"/>
  <c r="K162" i="2" s="1"/>
  <c r="N162" i="2" a="1"/>
  <c r="N162" i="2" s="1"/>
  <c r="O162" i="2" s="1"/>
  <c r="P162" i="2" s="1"/>
  <c r="K163" i="2" a="1"/>
  <c r="K163" i="2" s="1"/>
  <c r="L163" i="2" s="1"/>
  <c r="N163" i="2" a="1"/>
  <c r="N163" i="2" s="1"/>
  <c r="O163" i="2" s="1"/>
  <c r="P163" i="2" s="1"/>
  <c r="K164" i="2" a="1"/>
  <c r="K164" i="2" s="1"/>
  <c r="N164" i="2" a="1"/>
  <c r="N164" i="2" s="1"/>
  <c r="O164" i="2" s="1"/>
  <c r="P164" i="2" s="1"/>
  <c r="K165" i="2" a="1"/>
  <c r="K165" i="2" s="1"/>
  <c r="L165" i="2" s="1"/>
  <c r="N165" i="2" a="1"/>
  <c r="N165" i="2"/>
  <c r="O165" i="2" s="1"/>
  <c r="P165" i="2" s="1"/>
  <c r="K166" i="2" a="1"/>
  <c r="K166" i="2" s="1"/>
  <c r="N166" i="2" a="1"/>
  <c r="N166" i="2" s="1"/>
  <c r="O166" i="2" s="1"/>
  <c r="P166" i="2" s="1"/>
  <c r="K167" i="2" a="1"/>
  <c r="K167" i="2" s="1"/>
  <c r="N167" i="2" a="1"/>
  <c r="N167" i="2" s="1"/>
  <c r="O167" i="2" s="1"/>
  <c r="P167" i="2" s="1"/>
  <c r="K168" i="2" a="1"/>
  <c r="K168" i="2" s="1"/>
  <c r="N168" i="2" a="1"/>
  <c r="N168" i="2" s="1"/>
  <c r="O168" i="2" s="1"/>
  <c r="P168" i="2" s="1"/>
  <c r="K169" i="2" a="1"/>
  <c r="K169" i="2" s="1"/>
  <c r="M169" i="2" s="1"/>
  <c r="N169" i="2" a="1"/>
  <c r="N169" i="2" s="1"/>
  <c r="O169" i="2" s="1"/>
  <c r="P169" i="2" s="1"/>
  <c r="K170" i="2" a="1"/>
  <c r="K170" i="2" s="1"/>
  <c r="N170" i="2" a="1"/>
  <c r="N170" i="2" s="1"/>
  <c r="O170" i="2" s="1"/>
  <c r="P170" i="2" s="1"/>
  <c r="K171" i="2" a="1"/>
  <c r="K171" i="2" s="1"/>
  <c r="L171" i="2" s="1"/>
  <c r="N171" i="2" a="1"/>
  <c r="N171" i="2" s="1"/>
  <c r="O171" i="2" s="1"/>
  <c r="P171" i="2" s="1"/>
  <c r="K172" i="2" a="1"/>
  <c r="K172" i="2" s="1"/>
  <c r="N172" i="2" a="1"/>
  <c r="N172" i="2" s="1"/>
  <c r="O172" i="2" s="1"/>
  <c r="P172" i="2" s="1"/>
  <c r="K173" i="2" a="1"/>
  <c r="K173" i="2" s="1"/>
  <c r="N173" i="2" a="1"/>
  <c r="N173" i="2" s="1"/>
  <c r="O173" i="2" s="1"/>
  <c r="P173" i="2" s="1"/>
  <c r="K174" i="2" a="1"/>
  <c r="K174" i="2" s="1"/>
  <c r="M174" i="2" s="1"/>
  <c r="N174" i="2" a="1"/>
  <c r="N174" i="2" s="1"/>
  <c r="O174" i="2" s="1"/>
  <c r="P174" i="2" s="1"/>
  <c r="K175" i="2" a="1"/>
  <c r="K175" i="2" s="1"/>
  <c r="L175" i="2" s="1"/>
  <c r="N175" i="2" a="1"/>
  <c r="N175" i="2" s="1"/>
  <c r="O175" i="2" s="1"/>
  <c r="P175" i="2" s="1"/>
  <c r="K176" i="2" a="1"/>
  <c r="K176" i="2" s="1"/>
  <c r="N176" i="2" a="1"/>
  <c r="N176" i="2" s="1"/>
  <c r="O176" i="2" s="1"/>
  <c r="P176" i="2" s="1"/>
  <c r="K177" i="2" a="1"/>
  <c r="K177" i="2" s="1"/>
  <c r="M177" i="2" s="1"/>
  <c r="N177" i="2" a="1"/>
  <c r="N177" i="2" s="1"/>
  <c r="O177" i="2" s="1"/>
  <c r="P177" i="2" s="1"/>
  <c r="K178" i="2" a="1"/>
  <c r="K178" i="2" s="1"/>
  <c r="N178" i="2" a="1"/>
  <c r="N178" i="2" s="1"/>
  <c r="O178" i="2" s="1"/>
  <c r="P178" i="2" s="1"/>
  <c r="K179" i="2" a="1"/>
  <c r="K179" i="2" s="1"/>
  <c r="N179" i="2" a="1"/>
  <c r="N179" i="2" s="1"/>
  <c r="O179" i="2" s="1"/>
  <c r="P179" i="2" s="1"/>
  <c r="K180" i="2" a="1"/>
  <c r="K180" i="2" s="1"/>
  <c r="M180" i="2" s="1"/>
  <c r="N180" i="2" a="1"/>
  <c r="N180" i="2" s="1"/>
  <c r="O180" i="2" s="1"/>
  <c r="P180" i="2" s="1"/>
  <c r="K181" i="2" a="1"/>
  <c r="K181" i="2" s="1"/>
  <c r="L181" i="2" s="1"/>
  <c r="N181" i="2" a="1"/>
  <c r="N181" i="2" s="1"/>
  <c r="O181" i="2" s="1"/>
  <c r="P181" i="2" s="1"/>
  <c r="K182" i="2" a="1"/>
  <c r="K182" i="2" s="1"/>
  <c r="M182" i="2" s="1"/>
  <c r="N182" i="2" a="1"/>
  <c r="N182" i="2" s="1"/>
  <c r="O182" i="2" s="1"/>
  <c r="P182" i="2" s="1"/>
  <c r="K183" i="2" a="1"/>
  <c r="K183" i="2" s="1"/>
  <c r="L183" i="2" s="1"/>
  <c r="N183" i="2" a="1"/>
  <c r="N183" i="2" s="1"/>
  <c r="O183" i="2" s="1"/>
  <c r="P183" i="2" s="1"/>
  <c r="K184" i="2" a="1"/>
  <c r="K184" i="2" s="1"/>
  <c r="N184" i="2" a="1"/>
  <c r="N184" i="2" s="1"/>
  <c r="O184" i="2" s="1"/>
  <c r="P184" i="2" s="1"/>
  <c r="K185" i="2" a="1"/>
  <c r="K185" i="2" s="1"/>
  <c r="N185" i="2" a="1"/>
  <c r="N185" i="2" s="1"/>
  <c r="O185" i="2" s="1"/>
  <c r="P185" i="2" s="1"/>
  <c r="K186" i="2" a="1"/>
  <c r="K186" i="2" s="1"/>
  <c r="N186" i="2" a="1"/>
  <c r="N186" i="2" s="1"/>
  <c r="O186" i="2" s="1"/>
  <c r="P186" i="2" s="1"/>
  <c r="K187" i="2" a="1"/>
  <c r="K187" i="2" s="1"/>
  <c r="N187" i="2" a="1"/>
  <c r="N187" i="2" s="1"/>
  <c r="O187" i="2" s="1"/>
  <c r="P187" i="2" s="1"/>
  <c r="K188" i="2" a="1"/>
  <c r="K188" i="2" s="1"/>
  <c r="L188" i="2" s="1"/>
  <c r="N188" i="2" a="1"/>
  <c r="N188" i="2" s="1"/>
  <c r="O188" i="2" s="1"/>
  <c r="P188" i="2" s="1"/>
  <c r="K189" i="2" a="1"/>
  <c r="K189" i="2" s="1"/>
  <c r="N189" i="2" a="1"/>
  <c r="N189" i="2" s="1"/>
  <c r="O189" i="2" s="1"/>
  <c r="P189" i="2" s="1"/>
  <c r="K190" i="2" a="1"/>
  <c r="K190" i="2" s="1"/>
  <c r="M190" i="2" s="1"/>
  <c r="N190" i="2" a="1"/>
  <c r="N190" i="2" s="1"/>
  <c r="O190" i="2" s="1"/>
  <c r="P190" i="2" s="1"/>
  <c r="K191" i="2" a="1"/>
  <c r="K191" i="2" s="1"/>
  <c r="N191" i="2" a="1"/>
  <c r="N191" i="2" s="1"/>
  <c r="O191" i="2" s="1"/>
  <c r="P191" i="2" s="1"/>
  <c r="K192" i="2" a="1"/>
  <c r="K192" i="2" s="1"/>
  <c r="N192" i="2" a="1"/>
  <c r="N192" i="2" s="1"/>
  <c r="O192" i="2" s="1"/>
  <c r="P192" i="2" s="1"/>
  <c r="K193" i="2" a="1"/>
  <c r="K193" i="2" s="1"/>
  <c r="N193" i="2" a="1"/>
  <c r="N193" i="2" s="1"/>
  <c r="O193" i="2" s="1"/>
  <c r="P193" i="2" s="1"/>
  <c r="K194" i="2" a="1"/>
  <c r="K194" i="2" s="1"/>
  <c r="N194" i="2" a="1"/>
  <c r="N194" i="2" s="1"/>
  <c r="O194" i="2" s="1"/>
  <c r="P194" i="2" s="1"/>
  <c r="K195" i="2" a="1"/>
  <c r="K195" i="2" s="1"/>
  <c r="L195" i="2" s="1"/>
  <c r="N195" i="2" a="1"/>
  <c r="N195" i="2" s="1"/>
  <c r="O195" i="2" s="1"/>
  <c r="P195" i="2" s="1"/>
  <c r="K196" i="2" a="1"/>
  <c r="K196" i="2" s="1"/>
  <c r="L196" i="2" s="1"/>
  <c r="N196" i="2" a="1"/>
  <c r="N196" i="2" s="1"/>
  <c r="O196" i="2" s="1"/>
  <c r="P196" i="2" s="1"/>
  <c r="K197" i="2" a="1"/>
  <c r="K197" i="2" s="1"/>
  <c r="N197" i="2" a="1"/>
  <c r="N197" i="2" s="1"/>
  <c r="O197" i="2" s="1"/>
  <c r="P197" i="2" s="1"/>
  <c r="K198" i="2" a="1"/>
  <c r="K198" i="2" s="1"/>
  <c r="L198" i="2" s="1"/>
  <c r="N198" i="2" a="1"/>
  <c r="N198" i="2" s="1"/>
  <c r="O198" i="2" s="1"/>
  <c r="P198" i="2" s="1"/>
  <c r="K199" i="2" a="1"/>
  <c r="K199" i="2" s="1"/>
  <c r="N199" i="2" a="1"/>
  <c r="N199" i="2" s="1"/>
  <c r="O199" i="2" s="1"/>
  <c r="P199" i="2" s="1"/>
  <c r="K200" i="2" a="1"/>
  <c r="K200" i="2" s="1"/>
  <c r="N200" i="2" a="1"/>
  <c r="N200" i="2" s="1"/>
  <c r="O200" i="2" s="1"/>
  <c r="P200" i="2" s="1"/>
  <c r="K201" i="2" a="1"/>
  <c r="K201" i="2" s="1"/>
  <c r="N201" i="2" a="1"/>
  <c r="N201" i="2" s="1"/>
  <c r="O201" i="2" s="1"/>
  <c r="P201" i="2" s="1"/>
  <c r="K202" i="2" a="1"/>
  <c r="K202" i="2" s="1"/>
  <c r="L202" i="2" s="1"/>
  <c r="N202" i="2" a="1"/>
  <c r="N202" i="2" s="1"/>
  <c r="O202" i="2" s="1"/>
  <c r="P202" i="2" s="1"/>
  <c r="K203" i="2" a="1"/>
  <c r="K203" i="2" s="1"/>
  <c r="N203" i="2" a="1"/>
  <c r="N203" i="2" s="1"/>
  <c r="O203" i="2" s="1"/>
  <c r="P203" i="2" s="1"/>
  <c r="K204" i="2" a="1"/>
  <c r="K204" i="2" s="1"/>
  <c r="L204" i="2" s="1"/>
  <c r="N204" i="2" a="1"/>
  <c r="N204" i="2" s="1"/>
  <c r="O204" i="2" s="1"/>
  <c r="P204" i="2" s="1"/>
  <c r="K205" i="2" a="1"/>
  <c r="K205" i="2" s="1"/>
  <c r="N205" i="2" a="1"/>
  <c r="N205" i="2" s="1"/>
  <c r="O205" i="2" s="1"/>
  <c r="P205" i="2" s="1"/>
  <c r="K206" i="2" a="1"/>
  <c r="K206" i="2" s="1"/>
  <c r="L206" i="2" s="1"/>
  <c r="N206" i="2" a="1"/>
  <c r="N206" i="2" s="1"/>
  <c r="O206" i="2" s="1"/>
  <c r="P206" i="2" s="1"/>
  <c r="K207" i="2" a="1"/>
  <c r="K207" i="2" s="1"/>
  <c r="N207" i="2" a="1"/>
  <c r="N207" i="2" s="1"/>
  <c r="O207" i="2" s="1"/>
  <c r="P207" i="2" s="1"/>
  <c r="K208" i="2" a="1"/>
  <c r="K208" i="2" s="1"/>
  <c r="N208" i="2" a="1"/>
  <c r="N208" i="2" s="1"/>
  <c r="O208" i="2" s="1"/>
  <c r="P208" i="2" s="1"/>
  <c r="K209" i="2" a="1"/>
  <c r="K209" i="2" s="1"/>
  <c r="N209" i="2" a="1"/>
  <c r="N209" i="2" s="1"/>
  <c r="O209" i="2" s="1"/>
  <c r="P209" i="2" s="1"/>
  <c r="K210" i="2" a="1"/>
  <c r="K210" i="2" s="1"/>
  <c r="L210" i="2" s="1"/>
  <c r="N210" i="2" a="1"/>
  <c r="N210" i="2" s="1"/>
  <c r="O210" i="2" s="1"/>
  <c r="P210" i="2" s="1"/>
  <c r="K211" i="2" a="1"/>
  <c r="K211" i="2" s="1"/>
  <c r="N211" i="2" a="1"/>
  <c r="N211" i="2" s="1"/>
  <c r="O211" i="2" s="1"/>
  <c r="P211" i="2" s="1"/>
  <c r="K212" i="2" a="1"/>
  <c r="K212" i="2" s="1"/>
  <c r="L212" i="2" s="1"/>
  <c r="N212" i="2" a="1"/>
  <c r="N212" i="2" s="1"/>
  <c r="O212" i="2" s="1"/>
  <c r="P212" i="2" s="1"/>
  <c r="K213" i="2" a="1"/>
  <c r="K213" i="2" s="1"/>
  <c r="N213" i="2" a="1"/>
  <c r="N213" i="2" s="1"/>
  <c r="O213" i="2" s="1"/>
  <c r="P213" i="2" s="1"/>
  <c r="K214" i="2" a="1"/>
  <c r="K214" i="2" s="1"/>
  <c r="L214" i="2" s="1"/>
  <c r="N214" i="2" a="1"/>
  <c r="N214" i="2" s="1"/>
  <c r="O214" i="2" s="1"/>
  <c r="P214" i="2" s="1"/>
  <c r="K215" i="2" a="1"/>
  <c r="K215" i="2" s="1"/>
  <c r="N215" i="2" a="1"/>
  <c r="N215" i="2" s="1"/>
  <c r="O215" i="2" s="1"/>
  <c r="P215" i="2" s="1"/>
  <c r="K216" i="2" a="1"/>
  <c r="K216" i="2" s="1"/>
  <c r="N216" i="2" a="1"/>
  <c r="N216" i="2" s="1"/>
  <c r="O216" i="2" s="1"/>
  <c r="P216" i="2" s="1"/>
  <c r="K217" i="2" a="1"/>
  <c r="K217" i="2" s="1"/>
  <c r="N217" i="2" a="1"/>
  <c r="N217" i="2" s="1"/>
  <c r="O217" i="2" s="1"/>
  <c r="P217" i="2" s="1"/>
  <c r="K218" i="2" a="1"/>
  <c r="K218" i="2" s="1"/>
  <c r="L218" i="2" s="1"/>
  <c r="N218" i="2" a="1"/>
  <c r="N218" i="2" s="1"/>
  <c r="O218" i="2" s="1"/>
  <c r="P218" i="2" s="1"/>
  <c r="K219" i="2" a="1"/>
  <c r="K219" i="2" s="1"/>
  <c r="N219" i="2" a="1"/>
  <c r="N219" i="2" s="1"/>
  <c r="O219" i="2" s="1"/>
  <c r="P219" i="2" s="1"/>
  <c r="K220" i="2" a="1"/>
  <c r="K220" i="2" s="1"/>
  <c r="L220" i="2" s="1"/>
  <c r="N220" i="2" a="1"/>
  <c r="N220" i="2" s="1"/>
  <c r="O220" i="2" s="1"/>
  <c r="P220" i="2" s="1"/>
  <c r="K221" i="2" a="1"/>
  <c r="K221" i="2" s="1"/>
  <c r="N221" i="2" a="1"/>
  <c r="N221" i="2" s="1"/>
  <c r="O221" i="2" s="1"/>
  <c r="P221" i="2" s="1"/>
  <c r="K222" i="2" a="1"/>
  <c r="K222" i="2" s="1"/>
  <c r="L222" i="2" s="1"/>
  <c r="N222" i="2" a="1"/>
  <c r="N222" i="2" s="1"/>
  <c r="O222" i="2" s="1"/>
  <c r="P222" i="2" s="1"/>
  <c r="K223" i="2" a="1"/>
  <c r="K223" i="2" s="1"/>
  <c r="N223" i="2" a="1"/>
  <c r="N223" i="2" s="1"/>
  <c r="O223" i="2" s="1"/>
  <c r="P223" i="2" s="1"/>
  <c r="K224" i="2" a="1"/>
  <c r="K224" i="2" s="1"/>
  <c r="N224" i="2" a="1"/>
  <c r="N224" i="2" s="1"/>
  <c r="O224" i="2" s="1"/>
  <c r="P224" i="2" s="1"/>
  <c r="K225" i="2" a="1"/>
  <c r="K225" i="2" s="1"/>
  <c r="N225" i="2" a="1"/>
  <c r="N225" i="2" s="1"/>
  <c r="O225" i="2" s="1"/>
  <c r="P225" i="2" s="1"/>
  <c r="K226" i="2" a="1"/>
  <c r="K226" i="2" s="1"/>
  <c r="L226" i="2" s="1"/>
  <c r="N226" i="2" a="1"/>
  <c r="N226" i="2" s="1"/>
  <c r="O226" i="2" s="1"/>
  <c r="P226" i="2" s="1"/>
  <c r="K227" i="2" a="1"/>
  <c r="K227" i="2" s="1"/>
  <c r="N227" i="2" a="1"/>
  <c r="N227" i="2" s="1"/>
  <c r="O227" i="2" s="1"/>
  <c r="P227" i="2" s="1"/>
  <c r="K228" i="2" a="1"/>
  <c r="K228" i="2" s="1"/>
  <c r="L228" i="2" s="1"/>
  <c r="N228" i="2" a="1"/>
  <c r="N228" i="2" s="1"/>
  <c r="O228" i="2" s="1"/>
  <c r="P228" i="2" s="1"/>
  <c r="K229" i="2" a="1"/>
  <c r="K229" i="2" s="1"/>
  <c r="N229" i="2" a="1"/>
  <c r="N229" i="2" s="1"/>
  <c r="O229" i="2" s="1"/>
  <c r="P229" i="2" s="1"/>
  <c r="K230" i="2" a="1"/>
  <c r="K230" i="2" s="1"/>
  <c r="L230" i="2" s="1"/>
  <c r="N230" i="2" a="1"/>
  <c r="N230" i="2" s="1"/>
  <c r="O230" i="2" s="1"/>
  <c r="P230" i="2" s="1"/>
  <c r="K231" i="2" a="1"/>
  <c r="K231" i="2" s="1"/>
  <c r="N231" i="2" a="1"/>
  <c r="N231" i="2" s="1"/>
  <c r="O231" i="2" s="1"/>
  <c r="P231" i="2" s="1"/>
  <c r="K232" i="2" a="1"/>
  <c r="K232" i="2" s="1"/>
  <c r="N232" i="2" a="1"/>
  <c r="N232" i="2" s="1"/>
  <c r="O232" i="2" s="1"/>
  <c r="P232" i="2" s="1"/>
  <c r="K233" i="2" a="1"/>
  <c r="K233" i="2" s="1"/>
  <c r="N233" i="2" a="1"/>
  <c r="N233" i="2" s="1"/>
  <c r="O233" i="2" s="1"/>
  <c r="P233" i="2" s="1"/>
  <c r="K234" i="2" a="1"/>
  <c r="K234" i="2" s="1"/>
  <c r="L234" i="2" s="1"/>
  <c r="N234" i="2" a="1"/>
  <c r="N234" i="2" s="1"/>
  <c r="O234" i="2" s="1"/>
  <c r="P234" i="2" s="1"/>
  <c r="K235" i="2" a="1"/>
  <c r="K235" i="2" s="1"/>
  <c r="N235" i="2" a="1"/>
  <c r="N235" i="2" s="1"/>
  <c r="O235" i="2" s="1"/>
  <c r="P235" i="2" s="1"/>
  <c r="K236" i="2" a="1"/>
  <c r="K236" i="2" s="1"/>
  <c r="L236" i="2" s="1"/>
  <c r="N236" i="2" a="1"/>
  <c r="N236" i="2" s="1"/>
  <c r="O236" i="2" s="1"/>
  <c r="P236" i="2" s="1"/>
  <c r="K237" i="2" a="1"/>
  <c r="K237" i="2" s="1"/>
  <c r="N237" i="2" a="1"/>
  <c r="N237" i="2" s="1"/>
  <c r="O237" i="2" s="1"/>
  <c r="P237" i="2" s="1"/>
  <c r="K238" i="2" a="1"/>
  <c r="K238" i="2" s="1"/>
  <c r="L238" i="2" s="1"/>
  <c r="N238" i="2" a="1"/>
  <c r="N238" i="2" s="1"/>
  <c r="O238" i="2" s="1"/>
  <c r="P238" i="2" s="1"/>
  <c r="K239" i="2" a="1"/>
  <c r="K239" i="2" s="1"/>
  <c r="N239" i="2" a="1"/>
  <c r="N239" i="2" s="1"/>
  <c r="O239" i="2" s="1"/>
  <c r="P239" i="2" s="1"/>
  <c r="K240" i="2" a="1"/>
  <c r="K240" i="2" s="1"/>
  <c r="N240" i="2" a="1"/>
  <c r="N240" i="2" s="1"/>
  <c r="O240" i="2" s="1"/>
  <c r="P240" i="2" s="1"/>
  <c r="K241" i="2" a="1"/>
  <c r="K241" i="2" s="1"/>
  <c r="N241" i="2" a="1"/>
  <c r="N241" i="2" s="1"/>
  <c r="O241" i="2" s="1"/>
  <c r="P241" i="2" s="1"/>
  <c r="K242" i="2" a="1"/>
  <c r="K242" i="2" s="1"/>
  <c r="L242" i="2" s="1"/>
  <c r="N242" i="2" a="1"/>
  <c r="N242" i="2" s="1"/>
  <c r="O242" i="2" s="1"/>
  <c r="P242" i="2" s="1"/>
  <c r="K243" i="2" a="1"/>
  <c r="K243" i="2" s="1"/>
  <c r="N243" i="2" a="1"/>
  <c r="N243" i="2" s="1"/>
  <c r="O243" i="2" s="1"/>
  <c r="P243" i="2" s="1"/>
  <c r="K244" i="2" a="1"/>
  <c r="K244" i="2" s="1"/>
  <c r="L244" i="2" s="1"/>
  <c r="N244" i="2" a="1"/>
  <c r="N244" i="2" s="1"/>
  <c r="O244" i="2" s="1"/>
  <c r="P244" i="2" s="1"/>
  <c r="K245" i="2" a="1"/>
  <c r="K245" i="2" s="1"/>
  <c r="N245" i="2" a="1"/>
  <c r="N245" i="2" s="1"/>
  <c r="O245" i="2" s="1"/>
  <c r="P245" i="2" s="1"/>
  <c r="K246" i="2" a="1"/>
  <c r="K246" i="2" s="1"/>
  <c r="L246" i="2" s="1"/>
  <c r="N246" i="2" a="1"/>
  <c r="N246" i="2" s="1"/>
  <c r="O246" i="2" s="1"/>
  <c r="P246" i="2" s="1"/>
  <c r="K247" i="2" a="1"/>
  <c r="K247" i="2" s="1"/>
  <c r="N247" i="2" a="1"/>
  <c r="N247" i="2" s="1"/>
  <c r="O247" i="2" s="1"/>
  <c r="P247" i="2" s="1"/>
  <c r="K248" i="2" a="1"/>
  <c r="K248" i="2" s="1"/>
  <c r="N248" i="2" a="1"/>
  <c r="N248" i="2" s="1"/>
  <c r="O248" i="2" s="1"/>
  <c r="P248" i="2" s="1"/>
  <c r="K249" i="2" a="1"/>
  <c r="K249" i="2" s="1"/>
  <c r="N249" i="2" a="1"/>
  <c r="N249" i="2" s="1"/>
  <c r="O249" i="2" s="1"/>
  <c r="P249" i="2" s="1"/>
  <c r="K250" i="2" a="1"/>
  <c r="K250" i="2" s="1"/>
  <c r="L250" i="2" s="1"/>
  <c r="N250" i="2" a="1"/>
  <c r="N250" i="2" s="1"/>
  <c r="O250" i="2" s="1"/>
  <c r="P250" i="2" s="1"/>
  <c r="K251" i="2" a="1"/>
  <c r="K251" i="2" s="1"/>
  <c r="N251" i="2" a="1"/>
  <c r="N251" i="2" s="1"/>
  <c r="O251" i="2" s="1"/>
  <c r="P251" i="2" s="1"/>
  <c r="K252" i="2" a="1"/>
  <c r="K252" i="2" s="1"/>
  <c r="L252" i="2" s="1"/>
  <c r="N252" i="2" a="1"/>
  <c r="N252" i="2" s="1"/>
  <c r="O252" i="2" s="1"/>
  <c r="P252" i="2" s="1"/>
  <c r="K253" i="2" a="1"/>
  <c r="K253" i="2" s="1"/>
  <c r="N253" i="2" a="1"/>
  <c r="N253" i="2" s="1"/>
  <c r="O253" i="2" s="1"/>
  <c r="P253" i="2" s="1"/>
  <c r="K254" i="2" a="1"/>
  <c r="K254" i="2" s="1"/>
  <c r="L254" i="2" s="1"/>
  <c r="N254" i="2" a="1"/>
  <c r="N254" i="2" s="1"/>
  <c r="O254" i="2" s="1"/>
  <c r="P254" i="2" s="1"/>
  <c r="K255" i="2" a="1"/>
  <c r="K255" i="2" s="1"/>
  <c r="N255" i="2" a="1"/>
  <c r="N255" i="2" s="1"/>
  <c r="O255" i="2" s="1"/>
  <c r="P255" i="2" s="1"/>
  <c r="K256" i="2" a="1"/>
  <c r="K256" i="2" s="1"/>
  <c r="N256" i="2" a="1"/>
  <c r="N256" i="2" s="1"/>
  <c r="O256" i="2" s="1"/>
  <c r="P256" i="2" s="1"/>
  <c r="K257" i="2" a="1"/>
  <c r="K257" i="2" s="1"/>
  <c r="N257" i="2" a="1"/>
  <c r="N257" i="2" s="1"/>
  <c r="O257" i="2" s="1"/>
  <c r="P257" i="2" s="1"/>
  <c r="K258" i="2" a="1"/>
  <c r="K258" i="2" s="1"/>
  <c r="L258" i="2" s="1"/>
  <c r="N258" i="2" a="1"/>
  <c r="N258" i="2" s="1"/>
  <c r="O258" i="2" s="1"/>
  <c r="P258" i="2" s="1"/>
  <c r="K259" i="2" a="1"/>
  <c r="K259" i="2" s="1"/>
  <c r="N259" i="2" a="1"/>
  <c r="N259" i="2" s="1"/>
  <c r="O259" i="2" s="1"/>
  <c r="P259" i="2" s="1"/>
  <c r="K260" i="2" a="1"/>
  <c r="K260" i="2" s="1"/>
  <c r="L260" i="2" s="1"/>
  <c r="N260" i="2" a="1"/>
  <c r="N260" i="2" s="1"/>
  <c r="O260" i="2" s="1"/>
  <c r="P260" i="2" s="1"/>
  <c r="K261" i="2" a="1"/>
  <c r="K261" i="2" s="1"/>
  <c r="N261" i="2" a="1"/>
  <c r="N261" i="2" s="1"/>
  <c r="O261" i="2" s="1"/>
  <c r="P261" i="2" s="1"/>
  <c r="K262" i="2" a="1"/>
  <c r="K262" i="2" s="1"/>
  <c r="L262" i="2" s="1"/>
  <c r="N262" i="2" a="1"/>
  <c r="N262" i="2" s="1"/>
  <c r="O262" i="2" s="1"/>
  <c r="P262" i="2" s="1"/>
  <c r="K263" i="2" a="1"/>
  <c r="K263" i="2" s="1"/>
  <c r="N263" i="2" a="1"/>
  <c r="N263" i="2" s="1"/>
  <c r="O263" i="2" s="1"/>
  <c r="P263" i="2" s="1"/>
  <c r="K264" i="2" a="1"/>
  <c r="K264" i="2" s="1"/>
  <c r="N264" i="2" a="1"/>
  <c r="N264" i="2" s="1"/>
  <c r="O264" i="2" s="1"/>
  <c r="P264" i="2" s="1"/>
  <c r="K265" i="2" a="1"/>
  <c r="K265" i="2" s="1"/>
  <c r="N265" i="2" a="1"/>
  <c r="N265" i="2" s="1"/>
  <c r="O265" i="2" s="1"/>
  <c r="P265" i="2" s="1"/>
  <c r="K266" i="2" a="1"/>
  <c r="K266" i="2" s="1"/>
  <c r="L266" i="2" s="1"/>
  <c r="N266" i="2" a="1"/>
  <c r="N266" i="2" s="1"/>
  <c r="O266" i="2" s="1"/>
  <c r="P266" i="2" s="1"/>
  <c r="K267" i="2" a="1"/>
  <c r="K267" i="2" s="1"/>
  <c r="N267" i="2" a="1"/>
  <c r="N267" i="2" s="1"/>
  <c r="O267" i="2" s="1"/>
  <c r="P267" i="2" s="1"/>
  <c r="K268" i="2" a="1"/>
  <c r="K268" i="2" s="1"/>
  <c r="L268" i="2" s="1"/>
  <c r="N268" i="2" a="1"/>
  <c r="N268" i="2" s="1"/>
  <c r="O268" i="2" s="1"/>
  <c r="P268" i="2" s="1"/>
  <c r="K269" i="2" a="1"/>
  <c r="K269" i="2" s="1"/>
  <c r="N269" i="2" a="1"/>
  <c r="N269" i="2" s="1"/>
  <c r="O269" i="2" s="1"/>
  <c r="P269" i="2" s="1"/>
  <c r="K270" i="2" a="1"/>
  <c r="K270" i="2" s="1"/>
  <c r="L270" i="2" s="1"/>
  <c r="N270" i="2" a="1"/>
  <c r="N270" i="2" s="1"/>
  <c r="O270" i="2" s="1"/>
  <c r="P270" i="2" s="1"/>
  <c r="K271" i="2" a="1"/>
  <c r="K271" i="2" s="1"/>
  <c r="N271" i="2" a="1"/>
  <c r="N271" i="2" s="1"/>
  <c r="O271" i="2" s="1"/>
  <c r="P271" i="2" s="1"/>
  <c r="K272" i="2" a="1"/>
  <c r="K272" i="2" s="1"/>
  <c r="N272" i="2" a="1"/>
  <c r="N272" i="2" s="1"/>
  <c r="O272" i="2" s="1"/>
  <c r="P272" i="2" s="1"/>
  <c r="K273" i="2" a="1"/>
  <c r="K273" i="2" s="1"/>
  <c r="N273" i="2" a="1"/>
  <c r="N273" i="2" s="1"/>
  <c r="O273" i="2" s="1"/>
  <c r="P273" i="2" s="1"/>
  <c r="K274" i="2" a="1"/>
  <c r="K274" i="2" s="1"/>
  <c r="L274" i="2" s="1"/>
  <c r="N274" i="2" a="1"/>
  <c r="N274" i="2" s="1"/>
  <c r="O274" i="2" s="1"/>
  <c r="P274" i="2" s="1"/>
  <c r="K275" i="2" a="1"/>
  <c r="K275" i="2" s="1"/>
  <c r="N275" i="2" a="1"/>
  <c r="N275" i="2" s="1"/>
  <c r="O275" i="2" s="1"/>
  <c r="P275" i="2" s="1"/>
  <c r="K276" i="2" a="1"/>
  <c r="K276" i="2" s="1"/>
  <c r="L276" i="2" s="1"/>
  <c r="N276" i="2" a="1"/>
  <c r="N276" i="2" s="1"/>
  <c r="O276" i="2" s="1"/>
  <c r="P276" i="2" s="1"/>
  <c r="K277" i="2" a="1"/>
  <c r="K277" i="2" s="1"/>
  <c r="N277" i="2" a="1"/>
  <c r="N277" i="2" s="1"/>
  <c r="O277" i="2" s="1"/>
  <c r="P277" i="2" s="1"/>
  <c r="K278" i="2" a="1"/>
  <c r="K278" i="2" s="1"/>
  <c r="L278" i="2" s="1"/>
  <c r="N278" i="2" a="1"/>
  <c r="N278" i="2" s="1"/>
  <c r="O278" i="2" s="1"/>
  <c r="P278" i="2" s="1"/>
  <c r="K279" i="2" a="1"/>
  <c r="K279" i="2" s="1"/>
  <c r="N279" i="2" a="1"/>
  <c r="N279" i="2" s="1"/>
  <c r="O279" i="2" s="1"/>
  <c r="P279" i="2" s="1"/>
  <c r="K280" i="2" a="1"/>
  <c r="K280" i="2" s="1"/>
  <c r="N280" i="2" a="1"/>
  <c r="N280" i="2" s="1"/>
  <c r="O280" i="2" s="1"/>
  <c r="P280" i="2" s="1"/>
  <c r="K281" i="2" a="1"/>
  <c r="K281" i="2" s="1"/>
  <c r="N281" i="2" a="1"/>
  <c r="N281" i="2" s="1"/>
  <c r="O281" i="2" s="1"/>
  <c r="P281" i="2" s="1"/>
  <c r="K282" i="2" a="1"/>
  <c r="K282" i="2" s="1"/>
  <c r="L282" i="2" s="1"/>
  <c r="N282" i="2" a="1"/>
  <c r="N282" i="2" s="1"/>
  <c r="O282" i="2" s="1"/>
  <c r="P282" i="2" s="1"/>
  <c r="K283" i="2" a="1"/>
  <c r="K283" i="2" s="1"/>
  <c r="N283" i="2" a="1"/>
  <c r="N283" i="2" s="1"/>
  <c r="O283" i="2" s="1"/>
  <c r="P283" i="2" s="1"/>
  <c r="K284" i="2" a="1"/>
  <c r="K284" i="2" s="1"/>
  <c r="L284" i="2" s="1"/>
  <c r="N284" i="2" a="1"/>
  <c r="N284" i="2" s="1"/>
  <c r="O284" i="2" s="1"/>
  <c r="P284" i="2" s="1"/>
  <c r="K285" i="2" a="1"/>
  <c r="K285" i="2" s="1"/>
  <c r="N285" i="2" a="1"/>
  <c r="N285" i="2" s="1"/>
  <c r="O285" i="2" s="1"/>
  <c r="P285" i="2" s="1"/>
  <c r="K286" i="2" a="1"/>
  <c r="K286" i="2" s="1"/>
  <c r="L286" i="2" s="1"/>
  <c r="N286" i="2" a="1"/>
  <c r="N286" i="2" s="1"/>
  <c r="O286" i="2" s="1"/>
  <c r="P286" i="2" s="1"/>
  <c r="K287" i="2" a="1"/>
  <c r="K287" i="2" s="1"/>
  <c r="N287" i="2" a="1"/>
  <c r="N287" i="2" s="1"/>
  <c r="O287" i="2" s="1"/>
  <c r="P287" i="2" s="1"/>
  <c r="K288" i="2" a="1"/>
  <c r="K288" i="2" s="1"/>
  <c r="N288" i="2" a="1"/>
  <c r="N288" i="2" s="1"/>
  <c r="O288" i="2" s="1"/>
  <c r="P288" i="2" s="1"/>
  <c r="K289" i="2" a="1"/>
  <c r="K289" i="2" s="1"/>
  <c r="N289" i="2" a="1"/>
  <c r="N289" i="2" s="1"/>
  <c r="O289" i="2" s="1"/>
  <c r="P289" i="2" s="1"/>
  <c r="K290" i="2" a="1"/>
  <c r="K290" i="2" s="1"/>
  <c r="L290" i="2" s="1"/>
  <c r="N290" i="2" a="1"/>
  <c r="N290" i="2" s="1"/>
  <c r="O290" i="2" s="1"/>
  <c r="P290" i="2" s="1"/>
  <c r="K291" i="2" a="1"/>
  <c r="K291" i="2" s="1"/>
  <c r="N291" i="2" a="1"/>
  <c r="N291" i="2" s="1"/>
  <c r="O291" i="2" s="1"/>
  <c r="P291" i="2" s="1"/>
  <c r="K292" i="2" a="1"/>
  <c r="K292" i="2" s="1"/>
  <c r="L292" i="2" s="1"/>
  <c r="N292" i="2" a="1"/>
  <c r="N292" i="2" s="1"/>
  <c r="O292" i="2" s="1"/>
  <c r="P292" i="2" s="1"/>
  <c r="K293" i="2" a="1"/>
  <c r="K293" i="2" s="1"/>
  <c r="N293" i="2" a="1"/>
  <c r="N293" i="2" s="1"/>
  <c r="O293" i="2" s="1"/>
  <c r="P293" i="2" s="1"/>
  <c r="K294" i="2" a="1"/>
  <c r="K294" i="2" s="1"/>
  <c r="L294" i="2" s="1"/>
  <c r="N294" i="2" a="1"/>
  <c r="N294" i="2" s="1"/>
  <c r="O294" i="2" s="1"/>
  <c r="P294" i="2" s="1"/>
  <c r="K295" i="2" a="1"/>
  <c r="K295" i="2" s="1"/>
  <c r="N295" i="2" a="1"/>
  <c r="N295" i="2" s="1"/>
  <c r="O295" i="2" s="1"/>
  <c r="P295" i="2" s="1"/>
  <c r="K296" i="2" a="1"/>
  <c r="K296" i="2" s="1"/>
  <c r="N296" i="2" a="1"/>
  <c r="N296" i="2" s="1"/>
  <c r="O296" i="2" s="1"/>
  <c r="P296" i="2" s="1"/>
  <c r="K297" i="2" a="1"/>
  <c r="K297" i="2" s="1"/>
  <c r="N297" i="2" a="1"/>
  <c r="N297" i="2" s="1"/>
  <c r="O297" i="2" s="1"/>
  <c r="P297" i="2" s="1"/>
  <c r="K298" i="2" a="1"/>
  <c r="K298" i="2" s="1"/>
  <c r="L298" i="2" s="1"/>
  <c r="N298" i="2" a="1"/>
  <c r="N298" i="2" s="1"/>
  <c r="O298" i="2" s="1"/>
  <c r="P298" i="2" s="1"/>
  <c r="K299" i="2" a="1"/>
  <c r="K299" i="2" s="1"/>
  <c r="N299" i="2" a="1"/>
  <c r="N299" i="2" s="1"/>
  <c r="O299" i="2" s="1"/>
  <c r="P299" i="2" s="1"/>
  <c r="K300" i="2" a="1"/>
  <c r="K300" i="2" s="1"/>
  <c r="L300" i="2" s="1"/>
  <c r="N300" i="2" a="1"/>
  <c r="N300" i="2" s="1"/>
  <c r="O300" i="2" s="1"/>
  <c r="P300" i="2" s="1"/>
  <c r="K301" i="2" a="1"/>
  <c r="K301" i="2" s="1"/>
  <c r="N301" i="2" a="1"/>
  <c r="N301" i="2" s="1"/>
  <c r="O301" i="2" s="1"/>
  <c r="P301" i="2" s="1"/>
  <c r="K302" i="2" a="1"/>
  <c r="K302" i="2" s="1"/>
  <c r="N302" i="2" a="1"/>
  <c r="N302" i="2" s="1"/>
  <c r="O302" i="2" s="1"/>
  <c r="P302" i="2" s="1"/>
  <c r="K303" i="2" a="1"/>
  <c r="K303" i="2" s="1"/>
  <c r="L303" i="2" s="1"/>
  <c r="N303" i="2" a="1"/>
  <c r="N303" i="2" s="1"/>
  <c r="O303" i="2" s="1"/>
  <c r="P303" i="2" s="1"/>
  <c r="K304" i="2" a="1"/>
  <c r="K304" i="2" s="1"/>
  <c r="N304" i="2" a="1"/>
  <c r="N304" i="2" s="1"/>
  <c r="O304" i="2" s="1"/>
  <c r="P304" i="2" s="1"/>
  <c r="K305" i="2" a="1"/>
  <c r="K305" i="2" s="1"/>
  <c r="N305" i="2" a="1"/>
  <c r="N305" i="2" s="1"/>
  <c r="O305" i="2" s="1"/>
  <c r="P305" i="2" s="1"/>
  <c r="K306" i="2" a="1"/>
  <c r="K306" i="2" s="1"/>
  <c r="N306" i="2" a="1"/>
  <c r="N306" i="2" s="1"/>
  <c r="O306" i="2" s="1"/>
  <c r="P306" i="2" s="1"/>
  <c r="K307" i="2" a="1"/>
  <c r="K307" i="2" s="1"/>
  <c r="L307" i="2" s="1"/>
  <c r="N307" i="2" a="1"/>
  <c r="N307" i="2" s="1"/>
  <c r="O307" i="2" s="1"/>
  <c r="P307" i="2" s="1"/>
  <c r="K308" i="2" a="1"/>
  <c r="K308" i="2" s="1"/>
  <c r="L308" i="2" s="1"/>
  <c r="N308" i="2" a="1"/>
  <c r="N308" i="2" s="1"/>
  <c r="O308" i="2" s="1"/>
  <c r="P308" i="2" s="1"/>
  <c r="K309" i="2" a="1"/>
  <c r="K309" i="2" s="1"/>
  <c r="N309" i="2" a="1"/>
  <c r="N309" i="2" s="1"/>
  <c r="O309" i="2" s="1"/>
  <c r="P309" i="2" s="1"/>
  <c r="K310" i="2" a="1"/>
  <c r="K310" i="2" s="1"/>
  <c r="N310" i="2" a="1"/>
  <c r="N310" i="2" s="1"/>
  <c r="O310" i="2" s="1"/>
  <c r="P310" i="2" s="1"/>
  <c r="K311" i="2" a="1"/>
  <c r="K311" i="2" s="1"/>
  <c r="L311" i="2" s="1"/>
  <c r="N311" i="2" a="1"/>
  <c r="N311" i="2" s="1"/>
  <c r="O311" i="2" s="1"/>
  <c r="P311" i="2" s="1"/>
  <c r="K312" i="2" a="1"/>
  <c r="K312" i="2" s="1"/>
  <c r="N312" i="2" a="1"/>
  <c r="N312" i="2" s="1"/>
  <c r="O312" i="2" s="1"/>
  <c r="P312" i="2" s="1"/>
  <c r="K313" i="2" a="1"/>
  <c r="K313" i="2" s="1"/>
  <c r="N313" i="2" a="1"/>
  <c r="N313" i="2" s="1"/>
  <c r="O313" i="2" s="1"/>
  <c r="P313" i="2" s="1"/>
  <c r="K314" i="2" a="1"/>
  <c r="K314" i="2" s="1"/>
  <c r="N314" i="2" a="1"/>
  <c r="N314" i="2" s="1"/>
  <c r="O314" i="2" s="1"/>
  <c r="P314" i="2" s="1"/>
  <c r="K315" i="2" a="1"/>
  <c r="K315" i="2" s="1"/>
  <c r="L315" i="2" s="1"/>
  <c r="N315" i="2" a="1"/>
  <c r="N315" i="2" s="1"/>
  <c r="O315" i="2" s="1"/>
  <c r="P315" i="2" s="1"/>
  <c r="K316" i="2" a="1"/>
  <c r="K316" i="2" s="1"/>
  <c r="N316" i="2" a="1"/>
  <c r="N316" i="2" s="1"/>
  <c r="O316" i="2" s="1"/>
  <c r="P316" i="2" s="1"/>
  <c r="K317" i="2" a="1"/>
  <c r="K317" i="2" s="1"/>
  <c r="N317" i="2" a="1"/>
  <c r="N317" i="2" s="1"/>
  <c r="O317" i="2" s="1"/>
  <c r="P317" i="2" s="1"/>
  <c r="K318" i="2" a="1"/>
  <c r="K318" i="2" s="1"/>
  <c r="N318" i="2" a="1"/>
  <c r="N318" i="2" s="1"/>
  <c r="O318" i="2" s="1"/>
  <c r="P318" i="2" s="1"/>
  <c r="K319" i="2" a="1"/>
  <c r="K319" i="2" s="1"/>
  <c r="N319" i="2" a="1"/>
  <c r="N319" i="2" s="1"/>
  <c r="O319" i="2" s="1"/>
  <c r="P319" i="2" s="1"/>
  <c r="K320" i="2" a="1"/>
  <c r="K320" i="2" s="1"/>
  <c r="L320" i="2" s="1"/>
  <c r="N320" i="2" a="1"/>
  <c r="N320" i="2" s="1"/>
  <c r="O320" i="2" s="1"/>
  <c r="P320" i="2" s="1"/>
  <c r="K321" i="2" a="1"/>
  <c r="K321" i="2" s="1"/>
  <c r="L321" i="2" s="1"/>
  <c r="N321" i="2" a="1"/>
  <c r="N321" i="2" s="1"/>
  <c r="O321" i="2" s="1"/>
  <c r="P321" i="2" s="1"/>
  <c r="K322" i="2" a="1"/>
  <c r="K322" i="2" s="1"/>
  <c r="L322" i="2" s="1"/>
  <c r="N322" i="2" a="1"/>
  <c r="N322" i="2" s="1"/>
  <c r="O322" i="2" s="1"/>
  <c r="P322" i="2" s="1"/>
  <c r="K323" i="2" a="1"/>
  <c r="K323" i="2" s="1"/>
  <c r="N323" i="2" a="1"/>
  <c r="N323" i="2" s="1"/>
  <c r="O323" i="2" s="1"/>
  <c r="P323" i="2" s="1"/>
  <c r="K324" i="2" a="1"/>
  <c r="K324" i="2" s="1"/>
  <c r="N324" i="2" a="1"/>
  <c r="N324" i="2" s="1"/>
  <c r="O324" i="2" s="1"/>
  <c r="P324" i="2" s="1"/>
  <c r="K325" i="2" a="1"/>
  <c r="K325" i="2" s="1"/>
  <c r="N325" i="2" a="1"/>
  <c r="N325" i="2" s="1"/>
  <c r="O325" i="2" s="1"/>
  <c r="P325" i="2" s="1"/>
  <c r="K326" i="2" a="1"/>
  <c r="K326" i="2" s="1"/>
  <c r="N326" i="2" a="1"/>
  <c r="N326" i="2" s="1"/>
  <c r="O326" i="2" s="1"/>
  <c r="P326" i="2" s="1"/>
  <c r="K327" i="2" a="1"/>
  <c r="K327" i="2" s="1"/>
  <c r="N327" i="2" a="1"/>
  <c r="N327" i="2" s="1"/>
  <c r="O327" i="2" s="1"/>
  <c r="P327" i="2" s="1"/>
  <c r="K328" i="2" a="1"/>
  <c r="K328" i="2" s="1"/>
  <c r="L328" i="2" s="1"/>
  <c r="N328" i="2" a="1"/>
  <c r="N328" i="2" s="1"/>
  <c r="O328" i="2" s="1"/>
  <c r="P328" i="2" s="1"/>
  <c r="K329" i="2" a="1"/>
  <c r="K329" i="2" s="1"/>
  <c r="L329" i="2" s="1"/>
  <c r="N329" i="2" a="1"/>
  <c r="N329" i="2" s="1"/>
  <c r="O329" i="2" s="1"/>
  <c r="P329" i="2" s="1"/>
  <c r="K330" i="2" a="1"/>
  <c r="K330" i="2" s="1"/>
  <c r="N330" i="2" a="1"/>
  <c r="N330" i="2" s="1"/>
  <c r="O330" i="2" s="1"/>
  <c r="P330" i="2" s="1"/>
  <c r="K331" i="2" a="1"/>
  <c r="K331" i="2" s="1"/>
  <c r="L331" i="2" s="1"/>
  <c r="N331" i="2" a="1"/>
  <c r="N331" i="2" s="1"/>
  <c r="O331" i="2" s="1"/>
  <c r="P331" i="2" s="1"/>
  <c r="K332" i="2" a="1"/>
  <c r="K332" i="2" s="1"/>
  <c r="N332" i="2" a="1"/>
  <c r="N332" i="2" s="1"/>
  <c r="O332" i="2" s="1"/>
  <c r="P332" i="2" s="1"/>
  <c r="K333" i="2" a="1"/>
  <c r="K333" i="2" s="1"/>
  <c r="L333" i="2" s="1"/>
  <c r="N333" i="2" a="1"/>
  <c r="N333" i="2" s="1"/>
  <c r="O333" i="2" s="1"/>
  <c r="P333" i="2" s="1"/>
  <c r="K334" i="2" a="1"/>
  <c r="K334" i="2" s="1"/>
  <c r="N334" i="2" a="1"/>
  <c r="N334" i="2" s="1"/>
  <c r="O334" i="2" s="1"/>
  <c r="P334" i="2" s="1"/>
  <c r="K335" i="2" a="1"/>
  <c r="K335" i="2" s="1"/>
  <c r="L335" i="2" s="1"/>
  <c r="N335" i="2" a="1"/>
  <c r="N335" i="2" s="1"/>
  <c r="O335" i="2" s="1"/>
  <c r="P335" i="2" s="1"/>
  <c r="K336" i="2" a="1"/>
  <c r="K336" i="2" s="1"/>
  <c r="N336" i="2" a="1"/>
  <c r="N336" i="2" s="1"/>
  <c r="O336" i="2" s="1"/>
  <c r="P336" i="2" s="1"/>
  <c r="K337" i="2" a="1"/>
  <c r="K337" i="2" s="1"/>
  <c r="N337" i="2" a="1"/>
  <c r="N337" i="2" s="1"/>
  <c r="O337" i="2" s="1"/>
  <c r="P337" i="2" s="1"/>
  <c r="K338" i="2" a="1"/>
  <c r="K338" i="2" s="1"/>
  <c r="N338" i="2" a="1"/>
  <c r="N338" i="2" s="1"/>
  <c r="O338" i="2" s="1"/>
  <c r="P338" i="2" s="1"/>
  <c r="K339" i="2" a="1"/>
  <c r="K339" i="2" s="1"/>
  <c r="L339" i="2" s="1"/>
  <c r="N339" i="2" a="1"/>
  <c r="N339" i="2" s="1"/>
  <c r="O339" i="2" s="1"/>
  <c r="P339" i="2" s="1"/>
  <c r="K340" i="2" a="1"/>
  <c r="K340" i="2" s="1"/>
  <c r="N340" i="2" a="1"/>
  <c r="N340" i="2" s="1"/>
  <c r="O340" i="2" s="1"/>
  <c r="P340" i="2" s="1"/>
  <c r="K341" i="2" a="1"/>
  <c r="K341" i="2" s="1"/>
  <c r="L341" i="2" s="1"/>
  <c r="N341" i="2" a="1"/>
  <c r="N341" i="2" s="1"/>
  <c r="O341" i="2" s="1"/>
  <c r="P341" i="2" s="1"/>
  <c r="K342" i="2" a="1"/>
  <c r="K342" i="2" s="1"/>
  <c r="N342" i="2" a="1"/>
  <c r="N342" i="2" s="1"/>
  <c r="O342" i="2" s="1"/>
  <c r="P342" i="2" s="1"/>
  <c r="K343" i="2" a="1"/>
  <c r="K343" i="2" s="1"/>
  <c r="L343" i="2" s="1"/>
  <c r="N343" i="2" a="1"/>
  <c r="N343" i="2" s="1"/>
  <c r="O343" i="2" s="1"/>
  <c r="P343" i="2" s="1"/>
  <c r="K344" i="2" a="1"/>
  <c r="K344" i="2" s="1"/>
  <c r="N344" i="2" a="1"/>
  <c r="N344" i="2" s="1"/>
  <c r="O344" i="2" s="1"/>
  <c r="P344" i="2" s="1"/>
  <c r="K345" i="2" a="1"/>
  <c r="K345" i="2" s="1"/>
  <c r="N345" i="2" a="1"/>
  <c r="N345" i="2" s="1"/>
  <c r="O345" i="2" s="1"/>
  <c r="P345" i="2" s="1"/>
  <c r="K346" i="2" a="1"/>
  <c r="K346" i="2" s="1"/>
  <c r="N346" i="2" a="1"/>
  <c r="N346" i="2" s="1"/>
  <c r="O346" i="2" s="1"/>
  <c r="P346" i="2" s="1"/>
  <c r="K347" i="2" a="1"/>
  <c r="K347" i="2" s="1"/>
  <c r="L347" i="2" s="1"/>
  <c r="N347" i="2" a="1"/>
  <c r="N347" i="2" s="1"/>
  <c r="O347" i="2" s="1"/>
  <c r="P347" i="2" s="1"/>
  <c r="K348" i="2" a="1"/>
  <c r="K348" i="2" s="1"/>
  <c r="N348" i="2" a="1"/>
  <c r="N348" i="2" s="1"/>
  <c r="O348" i="2" s="1"/>
  <c r="P348" i="2" s="1"/>
  <c r="K349" i="2" a="1"/>
  <c r="K349" i="2" s="1"/>
  <c r="L349" i="2" s="1"/>
  <c r="N349" i="2" a="1"/>
  <c r="N349" i="2" s="1"/>
  <c r="O349" i="2" s="1"/>
  <c r="P349" i="2" s="1"/>
  <c r="K350" i="2" a="1"/>
  <c r="K350" i="2" s="1"/>
  <c r="N350" i="2" a="1"/>
  <c r="N350" i="2" s="1"/>
  <c r="O350" i="2" s="1"/>
  <c r="P350" i="2" s="1"/>
  <c r="K351" i="2" a="1"/>
  <c r="K351" i="2" s="1"/>
  <c r="L351" i="2" s="1"/>
  <c r="N351" i="2" a="1"/>
  <c r="N351" i="2" s="1"/>
  <c r="O351" i="2" s="1"/>
  <c r="P351" i="2" s="1"/>
  <c r="K352" i="2" a="1"/>
  <c r="K352" i="2" s="1"/>
  <c r="L352" i="2" s="1"/>
  <c r="N352" i="2" a="1"/>
  <c r="N352" i="2" s="1"/>
  <c r="O352" i="2" s="1"/>
  <c r="P352" i="2" s="1"/>
  <c r="K353" i="2" a="1"/>
  <c r="K353" i="2" s="1"/>
  <c r="N353" i="2" a="1"/>
  <c r="N353" i="2" s="1"/>
  <c r="O353" i="2" s="1"/>
  <c r="P353" i="2" s="1"/>
  <c r="K354" i="2" a="1"/>
  <c r="K354" i="2" s="1"/>
  <c r="N354" i="2" a="1"/>
  <c r="N354" i="2" s="1"/>
  <c r="O354" i="2" s="1"/>
  <c r="P354" i="2" s="1"/>
  <c r="K355" i="2" a="1"/>
  <c r="K355" i="2" s="1"/>
  <c r="L355" i="2" s="1"/>
  <c r="N355" i="2" a="1"/>
  <c r="N355" i="2" s="1"/>
  <c r="O355" i="2" s="1"/>
  <c r="P355" i="2" s="1"/>
  <c r="K356" i="2" a="1"/>
  <c r="K356" i="2" s="1"/>
  <c r="N356" i="2" a="1"/>
  <c r="N356" i="2" s="1"/>
  <c r="O356" i="2" s="1"/>
  <c r="P356" i="2" s="1"/>
  <c r="K357" i="2" a="1"/>
  <c r="K357" i="2" s="1"/>
  <c r="L357" i="2" s="1"/>
  <c r="N357" i="2" a="1"/>
  <c r="N357" i="2" s="1"/>
  <c r="O357" i="2" s="1"/>
  <c r="P357" i="2" s="1"/>
  <c r="K358" i="2" a="1"/>
  <c r="K358" i="2" s="1"/>
  <c r="N358" i="2" a="1"/>
  <c r="N358" i="2" s="1"/>
  <c r="O358" i="2" s="1"/>
  <c r="P358" i="2" s="1"/>
  <c r="K359" i="2" a="1"/>
  <c r="K359" i="2" s="1"/>
  <c r="L359" i="2" s="1"/>
  <c r="N359" i="2" a="1"/>
  <c r="N359" i="2" s="1"/>
  <c r="O359" i="2" s="1"/>
  <c r="P359" i="2" s="1"/>
  <c r="K360" i="2" a="1"/>
  <c r="K360" i="2" s="1"/>
  <c r="N360" i="2" a="1"/>
  <c r="N360" i="2" s="1"/>
  <c r="O360" i="2" s="1"/>
  <c r="P360" i="2" s="1"/>
  <c r="K361" i="2" a="1"/>
  <c r="K361" i="2" s="1"/>
  <c r="N361" i="2" a="1"/>
  <c r="N361" i="2" s="1"/>
  <c r="O361" i="2" s="1"/>
  <c r="P361" i="2" s="1"/>
  <c r="K362" i="2" a="1"/>
  <c r="K362" i="2" s="1"/>
  <c r="N362" i="2" a="1"/>
  <c r="N362" i="2" s="1"/>
  <c r="O362" i="2" s="1"/>
  <c r="P362" i="2" s="1"/>
  <c r="K363" i="2" a="1"/>
  <c r="K363" i="2" s="1"/>
  <c r="L363" i="2" s="1"/>
  <c r="N363" i="2" a="1"/>
  <c r="N363" i="2" s="1"/>
  <c r="O363" i="2" s="1"/>
  <c r="P363" i="2" s="1"/>
  <c r="K364" i="2" a="1"/>
  <c r="K364" i="2" s="1"/>
  <c r="N364" i="2" a="1"/>
  <c r="N364" i="2" s="1"/>
  <c r="O364" i="2" s="1"/>
  <c r="P364" i="2" s="1"/>
  <c r="K365" i="2" a="1"/>
  <c r="K365" i="2" s="1"/>
  <c r="L365" i="2" s="1"/>
  <c r="N365" i="2" a="1"/>
  <c r="N365" i="2" s="1"/>
  <c r="O365" i="2" s="1"/>
  <c r="P365" i="2" s="1"/>
  <c r="K366" i="2" a="1"/>
  <c r="K366" i="2" s="1"/>
  <c r="N366" i="2" a="1"/>
  <c r="N366" i="2" s="1"/>
  <c r="O366" i="2" s="1"/>
  <c r="P366" i="2" s="1"/>
  <c r="K367" i="2" a="1"/>
  <c r="K367" i="2" s="1"/>
  <c r="L367" i="2" s="1"/>
  <c r="N367" i="2" a="1"/>
  <c r="N367" i="2" s="1"/>
  <c r="O367" i="2" s="1"/>
  <c r="P367" i="2" s="1"/>
  <c r="K368" i="2" a="1"/>
  <c r="K368" i="2" s="1"/>
  <c r="N368" i="2" a="1"/>
  <c r="N368" i="2" s="1"/>
  <c r="O368" i="2" s="1"/>
  <c r="P368" i="2" s="1"/>
  <c r="K369" i="2" a="1"/>
  <c r="K369" i="2" s="1"/>
  <c r="N369" i="2" a="1"/>
  <c r="N369" i="2" s="1"/>
  <c r="O369" i="2" s="1"/>
  <c r="P369" i="2" s="1"/>
  <c r="K370" i="2" a="1"/>
  <c r="K370" i="2" s="1"/>
  <c r="N370" i="2" a="1"/>
  <c r="N370" i="2" s="1"/>
  <c r="O370" i="2" s="1"/>
  <c r="P370" i="2" s="1"/>
  <c r="K371" i="2" a="1"/>
  <c r="K371" i="2" s="1"/>
  <c r="L371" i="2" s="1"/>
  <c r="N371" i="2" a="1"/>
  <c r="N371" i="2" s="1"/>
  <c r="O371" i="2" s="1"/>
  <c r="P371" i="2" s="1"/>
  <c r="K372" i="2" a="1"/>
  <c r="K372" i="2" s="1"/>
  <c r="N372" i="2" a="1"/>
  <c r="N372" i="2" s="1"/>
  <c r="O372" i="2" s="1"/>
  <c r="P372" i="2" s="1"/>
  <c r="K373" i="2" a="1"/>
  <c r="K373" i="2" s="1"/>
  <c r="L373" i="2" s="1"/>
  <c r="N373" i="2" a="1"/>
  <c r="N373" i="2" s="1"/>
  <c r="O373" i="2" s="1"/>
  <c r="P373" i="2" s="1"/>
  <c r="K374" i="2" a="1"/>
  <c r="K374" i="2" s="1"/>
  <c r="N374" i="2" a="1"/>
  <c r="N374" i="2" s="1"/>
  <c r="O374" i="2" s="1"/>
  <c r="P374" i="2" s="1"/>
  <c r="K375" i="2" a="1"/>
  <c r="K375" i="2" s="1"/>
  <c r="L375" i="2" s="1"/>
  <c r="N375" i="2" a="1"/>
  <c r="N375" i="2" s="1"/>
  <c r="O375" i="2" s="1"/>
  <c r="P375" i="2" s="1"/>
  <c r="K376" i="2" a="1"/>
  <c r="K376" i="2" s="1"/>
  <c r="N376" i="2" a="1"/>
  <c r="N376" i="2" s="1"/>
  <c r="O376" i="2" s="1"/>
  <c r="P376" i="2" s="1"/>
  <c r="K377" i="2" a="1"/>
  <c r="K377" i="2" s="1"/>
  <c r="N377" i="2" a="1"/>
  <c r="N377" i="2" s="1"/>
  <c r="O377" i="2" s="1"/>
  <c r="P377" i="2" s="1"/>
  <c r="K378" i="2" a="1"/>
  <c r="K378" i="2" s="1"/>
  <c r="N378" i="2" a="1"/>
  <c r="N378" i="2" s="1"/>
  <c r="O378" i="2" s="1"/>
  <c r="P378" i="2" s="1"/>
  <c r="K379" i="2" a="1"/>
  <c r="K379" i="2" s="1"/>
  <c r="L379" i="2" s="1"/>
  <c r="N379" i="2" a="1"/>
  <c r="N379" i="2" s="1"/>
  <c r="O379" i="2" s="1"/>
  <c r="P379" i="2" s="1"/>
  <c r="K380" i="2" a="1"/>
  <c r="K380" i="2" s="1"/>
  <c r="N380" i="2" a="1"/>
  <c r="N380" i="2" s="1"/>
  <c r="O380" i="2" s="1"/>
  <c r="P380" i="2" s="1"/>
  <c r="K381" i="2" a="1"/>
  <c r="K381" i="2" s="1"/>
  <c r="L381" i="2" s="1"/>
  <c r="N381" i="2" a="1"/>
  <c r="N381" i="2" s="1"/>
  <c r="O381" i="2" s="1"/>
  <c r="P381" i="2" s="1"/>
  <c r="K382" i="2" a="1"/>
  <c r="K382" i="2" s="1"/>
  <c r="N382" i="2" a="1"/>
  <c r="N382" i="2" s="1"/>
  <c r="O382" i="2" s="1"/>
  <c r="P382" i="2" s="1"/>
  <c r="K383" i="2" a="1"/>
  <c r="K383" i="2" s="1"/>
  <c r="L383" i="2" s="1"/>
  <c r="N383" i="2" a="1"/>
  <c r="N383" i="2" s="1"/>
  <c r="O383" i="2" s="1"/>
  <c r="P383" i="2" s="1"/>
  <c r="K384" i="2" a="1"/>
  <c r="K384" i="2" s="1"/>
  <c r="L384" i="2" s="1"/>
  <c r="N384" i="2" a="1"/>
  <c r="N384" i="2" s="1"/>
  <c r="O384" i="2" s="1"/>
  <c r="P384" i="2" s="1"/>
  <c r="K385" i="2" a="1"/>
  <c r="K385" i="2" s="1"/>
  <c r="N385" i="2" a="1"/>
  <c r="N385" i="2" s="1"/>
  <c r="O385" i="2" s="1"/>
  <c r="P385" i="2" s="1"/>
  <c r="K386" i="2" a="1"/>
  <c r="K386" i="2" s="1"/>
  <c r="N386" i="2" a="1"/>
  <c r="N386" i="2" s="1"/>
  <c r="O386" i="2" s="1"/>
  <c r="P386" i="2" s="1"/>
  <c r="K387" i="2" a="1"/>
  <c r="K387" i="2" s="1"/>
  <c r="L387" i="2" s="1"/>
  <c r="N387" i="2" a="1"/>
  <c r="N387" i="2" s="1"/>
  <c r="O387" i="2" s="1"/>
  <c r="P387" i="2" s="1"/>
  <c r="K388" i="2" a="1"/>
  <c r="K388" i="2" s="1"/>
  <c r="N388" i="2" a="1"/>
  <c r="N388" i="2" s="1"/>
  <c r="O388" i="2" s="1"/>
  <c r="P388" i="2" s="1"/>
  <c r="K389" i="2" a="1"/>
  <c r="K389" i="2" s="1"/>
  <c r="L389" i="2" s="1"/>
  <c r="N389" i="2" a="1"/>
  <c r="N389" i="2" s="1"/>
  <c r="O389" i="2" s="1"/>
  <c r="P389" i="2" s="1"/>
  <c r="K390" i="2" a="1"/>
  <c r="K390" i="2" s="1"/>
  <c r="N390" i="2" a="1"/>
  <c r="N390" i="2" s="1"/>
  <c r="O390" i="2" s="1"/>
  <c r="P390" i="2" s="1"/>
  <c r="K391" i="2" a="1"/>
  <c r="K391" i="2" s="1"/>
  <c r="L391" i="2" s="1"/>
  <c r="N391" i="2" a="1"/>
  <c r="N391" i="2" s="1"/>
  <c r="O391" i="2" s="1"/>
  <c r="P391" i="2" s="1"/>
  <c r="K392" i="2" a="1"/>
  <c r="K392" i="2" s="1"/>
  <c r="L392" i="2" s="1"/>
  <c r="N392" i="2" a="1"/>
  <c r="N392" i="2" s="1"/>
  <c r="O392" i="2" s="1"/>
  <c r="P392" i="2" s="1"/>
  <c r="K393" i="2" a="1"/>
  <c r="K393" i="2" s="1"/>
  <c r="N393" i="2" a="1"/>
  <c r="N393" i="2" s="1"/>
  <c r="O393" i="2" s="1"/>
  <c r="P393" i="2" s="1"/>
  <c r="K394" i="2" a="1"/>
  <c r="K394" i="2" s="1"/>
  <c r="N394" i="2" a="1"/>
  <c r="N394" i="2" s="1"/>
  <c r="O394" i="2" s="1"/>
  <c r="P394" i="2" s="1"/>
  <c r="K395" i="2" a="1"/>
  <c r="K395" i="2" s="1"/>
  <c r="L395" i="2" s="1"/>
  <c r="N395" i="2" a="1"/>
  <c r="N395" i="2" s="1"/>
  <c r="O395" i="2" s="1"/>
  <c r="P395" i="2" s="1"/>
  <c r="K396" i="2" a="1"/>
  <c r="K396" i="2" s="1"/>
  <c r="N396" i="2" a="1"/>
  <c r="N396" i="2" s="1"/>
  <c r="O396" i="2" s="1"/>
  <c r="P396" i="2" s="1"/>
  <c r="K397" i="2" a="1"/>
  <c r="K397" i="2" s="1"/>
  <c r="L397" i="2" s="1"/>
  <c r="N397" i="2" a="1"/>
  <c r="N397" i="2" s="1"/>
  <c r="O397" i="2" s="1"/>
  <c r="P397" i="2" s="1"/>
  <c r="K398" i="2" a="1"/>
  <c r="K398" i="2" s="1"/>
  <c r="N398" i="2" a="1"/>
  <c r="N398" i="2" s="1"/>
  <c r="O398" i="2" s="1"/>
  <c r="P398" i="2" s="1"/>
  <c r="K399" i="2" a="1"/>
  <c r="K399" i="2" s="1"/>
  <c r="L399" i="2" s="1"/>
  <c r="N399" i="2" a="1"/>
  <c r="N399" i="2" s="1"/>
  <c r="O399" i="2" s="1"/>
  <c r="P399" i="2" s="1"/>
  <c r="K400" i="2" a="1"/>
  <c r="K400" i="2" s="1"/>
  <c r="N400" i="2" a="1"/>
  <c r="N400" i="2" s="1"/>
  <c r="O400" i="2" s="1"/>
  <c r="P400" i="2" s="1"/>
  <c r="K401" i="2" a="1"/>
  <c r="K401" i="2" s="1"/>
  <c r="N401" i="2" a="1"/>
  <c r="N401" i="2" s="1"/>
  <c r="O401" i="2" s="1"/>
  <c r="P401" i="2" s="1"/>
  <c r="K402" i="2" a="1"/>
  <c r="K402" i="2" s="1"/>
  <c r="N402" i="2" a="1"/>
  <c r="N402" i="2" s="1"/>
  <c r="O402" i="2" s="1"/>
  <c r="P402" i="2" s="1"/>
  <c r="K403" i="2" a="1"/>
  <c r="K403" i="2" s="1"/>
  <c r="L403" i="2" s="1"/>
  <c r="N403" i="2" a="1"/>
  <c r="N403" i="2" s="1"/>
  <c r="O403" i="2" s="1"/>
  <c r="P403" i="2" s="1"/>
  <c r="K404" i="2" a="1"/>
  <c r="K404" i="2" s="1"/>
  <c r="N404" i="2" a="1"/>
  <c r="N404" i="2" s="1"/>
  <c r="O404" i="2" s="1"/>
  <c r="P404" i="2" s="1"/>
  <c r="K405" i="2" a="1"/>
  <c r="K405" i="2" s="1"/>
  <c r="L405" i="2" s="1"/>
  <c r="N405" i="2" a="1"/>
  <c r="N405" i="2" s="1"/>
  <c r="O405" i="2" s="1"/>
  <c r="P405" i="2" s="1"/>
  <c r="K406" i="2" a="1"/>
  <c r="K406" i="2" s="1"/>
  <c r="N406" i="2" a="1"/>
  <c r="N406" i="2" s="1"/>
  <c r="O406" i="2" s="1"/>
  <c r="P406" i="2" s="1"/>
  <c r="K407" i="2" a="1"/>
  <c r="K407" i="2" s="1"/>
  <c r="L407" i="2" s="1"/>
  <c r="N407" i="2" a="1"/>
  <c r="N407" i="2" s="1"/>
  <c r="O407" i="2" s="1"/>
  <c r="P407" i="2" s="1"/>
  <c r="K408" i="2" a="1"/>
  <c r="K408" i="2" s="1"/>
  <c r="N408" i="2" a="1"/>
  <c r="N408" i="2" s="1"/>
  <c r="O408" i="2" s="1"/>
  <c r="P408" i="2" s="1"/>
  <c r="K409" i="2" a="1"/>
  <c r="K409" i="2" s="1"/>
  <c r="N409" i="2" a="1"/>
  <c r="N409" i="2" s="1"/>
  <c r="O409" i="2" s="1"/>
  <c r="P409" i="2" s="1"/>
  <c r="K410" i="2" a="1"/>
  <c r="K410" i="2" s="1"/>
  <c r="N410" i="2" a="1"/>
  <c r="N410" i="2" s="1"/>
  <c r="O410" i="2" s="1"/>
  <c r="P410" i="2" s="1"/>
  <c r="K411" i="2" a="1"/>
  <c r="K411" i="2" s="1"/>
  <c r="L411" i="2" s="1"/>
  <c r="N411" i="2" a="1"/>
  <c r="N411" i="2" s="1"/>
  <c r="O411" i="2" s="1"/>
  <c r="P411" i="2" s="1"/>
  <c r="K412" i="2" a="1"/>
  <c r="K412" i="2" s="1"/>
  <c r="N412" i="2" a="1"/>
  <c r="N412" i="2" s="1"/>
  <c r="O412" i="2" s="1"/>
  <c r="P412" i="2" s="1"/>
  <c r="K413" i="2" a="1"/>
  <c r="K413" i="2" s="1"/>
  <c r="L413" i="2" s="1"/>
  <c r="N413" i="2" a="1"/>
  <c r="N413" i="2" s="1"/>
  <c r="O413" i="2" s="1"/>
  <c r="P413" i="2" s="1"/>
  <c r="K414" i="2" a="1"/>
  <c r="K414" i="2" s="1"/>
  <c r="N414" i="2" a="1"/>
  <c r="N414" i="2" s="1"/>
  <c r="O414" i="2" s="1"/>
  <c r="P414" i="2" s="1"/>
  <c r="K415" i="2" a="1"/>
  <c r="K415" i="2" s="1"/>
  <c r="L415" i="2" s="1"/>
  <c r="N415" i="2" a="1"/>
  <c r="N415" i="2" s="1"/>
  <c r="O415" i="2" s="1"/>
  <c r="P415" i="2" s="1"/>
  <c r="K416" i="2" a="1"/>
  <c r="K416" i="2" s="1"/>
  <c r="L416" i="2" s="1"/>
  <c r="N416" i="2" a="1"/>
  <c r="N416" i="2" s="1"/>
  <c r="O416" i="2" s="1"/>
  <c r="P416" i="2" s="1"/>
  <c r="K417" i="2" a="1"/>
  <c r="K417" i="2" s="1"/>
  <c r="N417" i="2" a="1"/>
  <c r="N417" i="2" s="1"/>
  <c r="O417" i="2" s="1"/>
  <c r="P417" i="2" s="1"/>
  <c r="K418" i="2" a="1"/>
  <c r="K418" i="2" s="1"/>
  <c r="N418" i="2" a="1"/>
  <c r="N418" i="2" s="1"/>
  <c r="O418" i="2" s="1"/>
  <c r="P418" i="2" s="1"/>
  <c r="K419" i="2" a="1"/>
  <c r="K419" i="2" s="1"/>
  <c r="L419" i="2" s="1"/>
  <c r="N419" i="2" a="1"/>
  <c r="N419" i="2" s="1"/>
  <c r="O419" i="2" s="1"/>
  <c r="P419" i="2" s="1"/>
  <c r="K420" i="2" a="1"/>
  <c r="K420" i="2" s="1"/>
  <c r="N420" i="2" a="1"/>
  <c r="N420" i="2" s="1"/>
  <c r="O420" i="2" s="1"/>
  <c r="P420" i="2" s="1"/>
  <c r="K421" i="2" a="1"/>
  <c r="K421" i="2" s="1"/>
  <c r="L421" i="2" s="1"/>
  <c r="N421" i="2" a="1"/>
  <c r="N421" i="2" s="1"/>
  <c r="O421" i="2" s="1"/>
  <c r="P421" i="2" s="1"/>
  <c r="K422" i="2" a="1"/>
  <c r="K422" i="2" s="1"/>
  <c r="N422" i="2" a="1"/>
  <c r="N422" i="2" s="1"/>
  <c r="O422" i="2" s="1"/>
  <c r="P422" i="2" s="1"/>
  <c r="K423" i="2" a="1"/>
  <c r="K423" i="2" s="1"/>
  <c r="L423" i="2" s="1"/>
  <c r="N423" i="2" a="1"/>
  <c r="N423" i="2" s="1"/>
  <c r="O423" i="2" s="1"/>
  <c r="P423" i="2" s="1"/>
  <c r="K424" i="2" a="1"/>
  <c r="K424" i="2" s="1"/>
  <c r="L424" i="2" s="1"/>
  <c r="N424" i="2" a="1"/>
  <c r="N424" i="2" s="1"/>
  <c r="O424" i="2" s="1"/>
  <c r="P424" i="2" s="1"/>
  <c r="K425" i="2" a="1"/>
  <c r="K425" i="2" s="1"/>
  <c r="N425" i="2" a="1"/>
  <c r="N425" i="2" s="1"/>
  <c r="O425" i="2" s="1"/>
  <c r="P425" i="2" s="1"/>
  <c r="K426" i="2" a="1"/>
  <c r="K426" i="2" s="1"/>
  <c r="N426" i="2" a="1"/>
  <c r="N426" i="2" s="1"/>
  <c r="O426" i="2" s="1"/>
  <c r="P426" i="2" s="1"/>
  <c r="K427" i="2" a="1"/>
  <c r="K427" i="2" s="1"/>
  <c r="L427" i="2" s="1"/>
  <c r="N427" i="2" a="1"/>
  <c r="N427" i="2" s="1"/>
  <c r="O427" i="2" s="1"/>
  <c r="P427" i="2" s="1"/>
  <c r="K428" i="2" a="1"/>
  <c r="K428" i="2" s="1"/>
  <c r="N428" i="2" a="1"/>
  <c r="N428" i="2" s="1"/>
  <c r="O428" i="2" s="1"/>
  <c r="P428" i="2" s="1"/>
  <c r="K429" i="2" a="1"/>
  <c r="K429" i="2" s="1"/>
  <c r="L429" i="2" s="1"/>
  <c r="N429" i="2" a="1"/>
  <c r="N429" i="2" s="1"/>
  <c r="O429" i="2" s="1"/>
  <c r="P429" i="2" s="1"/>
  <c r="K430" i="2" a="1"/>
  <c r="K430" i="2" s="1"/>
  <c r="N430" i="2" a="1"/>
  <c r="N430" i="2" s="1"/>
  <c r="O430" i="2" s="1"/>
  <c r="P430" i="2" s="1"/>
  <c r="K431" i="2" a="1"/>
  <c r="K431" i="2" s="1"/>
  <c r="L431" i="2" s="1"/>
  <c r="N431" i="2" a="1"/>
  <c r="N431" i="2" s="1"/>
  <c r="O431" i="2" s="1"/>
  <c r="P431" i="2" s="1"/>
  <c r="K432" i="2" a="1"/>
  <c r="K432" i="2" s="1"/>
  <c r="L432" i="2" s="1"/>
  <c r="N432" i="2" a="1"/>
  <c r="N432" i="2" s="1"/>
  <c r="O432" i="2" s="1"/>
  <c r="P432" i="2" s="1"/>
  <c r="K433" i="2" a="1"/>
  <c r="K433" i="2" s="1"/>
  <c r="N433" i="2" a="1"/>
  <c r="N433" i="2" s="1"/>
  <c r="O433" i="2" s="1"/>
  <c r="P433" i="2" s="1"/>
  <c r="K434" i="2" a="1"/>
  <c r="K434" i="2" s="1"/>
  <c r="N434" i="2" a="1"/>
  <c r="N434" i="2" s="1"/>
  <c r="O434" i="2" s="1"/>
  <c r="P434" i="2" s="1"/>
  <c r="K435" i="2" a="1"/>
  <c r="K435" i="2" s="1"/>
  <c r="N435" i="2" a="1"/>
  <c r="N435" i="2" s="1"/>
  <c r="O435" i="2" s="1"/>
  <c r="P435" i="2" s="1"/>
  <c r="K436" i="2" a="1"/>
  <c r="K436" i="2" s="1"/>
  <c r="L436" i="2" s="1"/>
  <c r="N436" i="2" a="1"/>
  <c r="N436" i="2" s="1"/>
  <c r="O436" i="2" s="1"/>
  <c r="P436" i="2" s="1"/>
  <c r="K437" i="2" a="1"/>
  <c r="K437" i="2" s="1"/>
  <c r="L437" i="2" s="1"/>
  <c r="N437" i="2" a="1"/>
  <c r="N437" i="2" s="1"/>
  <c r="O437" i="2" s="1"/>
  <c r="P437" i="2" s="1"/>
  <c r="K438" i="2" a="1"/>
  <c r="K438" i="2" s="1"/>
  <c r="N438" i="2" a="1"/>
  <c r="N438" i="2" s="1"/>
  <c r="O438" i="2" s="1"/>
  <c r="P438" i="2" s="1"/>
  <c r="K439" i="2" a="1"/>
  <c r="K439" i="2" s="1"/>
  <c r="N439" i="2" a="1"/>
  <c r="N439" i="2" s="1"/>
  <c r="O439" i="2" s="1"/>
  <c r="P439" i="2" s="1"/>
  <c r="K440" i="2" a="1"/>
  <c r="K440" i="2" s="1"/>
  <c r="N440" i="2" a="1"/>
  <c r="N440" i="2" s="1"/>
  <c r="O440" i="2" s="1"/>
  <c r="P440" i="2" s="1"/>
  <c r="K441" i="2" a="1"/>
  <c r="K441" i="2" s="1"/>
  <c r="N441" i="2" a="1"/>
  <c r="N441" i="2" s="1"/>
  <c r="O441" i="2" s="1"/>
  <c r="P441" i="2" s="1"/>
  <c r="K442" i="2" a="1"/>
  <c r="K442" i="2" s="1"/>
  <c r="N442" i="2" a="1"/>
  <c r="N442" i="2" s="1"/>
  <c r="O442" i="2" s="1"/>
  <c r="P442" i="2" s="1"/>
  <c r="K443" i="2" a="1"/>
  <c r="K443" i="2" s="1"/>
  <c r="N443" i="2" a="1"/>
  <c r="N443" i="2" s="1"/>
  <c r="O443" i="2" s="1"/>
  <c r="P443" i="2" s="1"/>
  <c r="K444" i="2" a="1"/>
  <c r="K444" i="2" s="1"/>
  <c r="L444" i="2" s="1"/>
  <c r="N444" i="2" a="1"/>
  <c r="N444" i="2" s="1"/>
  <c r="O444" i="2" s="1"/>
  <c r="P444" i="2" s="1"/>
  <c r="K445" i="2" a="1"/>
  <c r="K445" i="2" s="1"/>
  <c r="L445" i="2" s="1"/>
  <c r="N445" i="2" a="1"/>
  <c r="N445" i="2" s="1"/>
  <c r="O445" i="2" s="1"/>
  <c r="P445" i="2" s="1"/>
  <c r="K446" i="2" a="1"/>
  <c r="K446" i="2" s="1"/>
  <c r="N446" i="2" a="1"/>
  <c r="N446" i="2" s="1"/>
  <c r="O446" i="2" s="1"/>
  <c r="P446" i="2" s="1"/>
  <c r="K447" i="2" a="1"/>
  <c r="K447" i="2" s="1"/>
  <c r="N447" i="2" a="1"/>
  <c r="N447" i="2" s="1"/>
  <c r="O447" i="2" s="1"/>
  <c r="P447" i="2" s="1"/>
  <c r="K448" i="2" a="1"/>
  <c r="K448" i="2" s="1"/>
  <c r="L448" i="2" s="1"/>
  <c r="N448" i="2" a="1"/>
  <c r="N448" i="2" s="1"/>
  <c r="O448" i="2" s="1"/>
  <c r="P448" i="2" s="1"/>
  <c r="K449" i="2" a="1"/>
  <c r="K449" i="2" s="1"/>
  <c r="L449" i="2" s="1"/>
  <c r="N449" i="2" a="1"/>
  <c r="N449" i="2" s="1"/>
  <c r="O449" i="2" s="1"/>
  <c r="P449" i="2" s="1"/>
  <c r="K450" i="2" a="1"/>
  <c r="K450" i="2" s="1"/>
  <c r="N450" i="2" a="1"/>
  <c r="N450" i="2" s="1"/>
  <c r="O450" i="2" s="1"/>
  <c r="P450" i="2" s="1"/>
  <c r="K451" i="2" a="1"/>
  <c r="K451" i="2" s="1"/>
  <c r="N451" i="2" a="1"/>
  <c r="N451" i="2" s="1"/>
  <c r="O451" i="2" s="1"/>
  <c r="P451" i="2" s="1"/>
  <c r="K452" i="2" a="1"/>
  <c r="K452" i="2" s="1"/>
  <c r="L452" i="2" s="1"/>
  <c r="N452" i="2" a="1"/>
  <c r="N452" i="2" s="1"/>
  <c r="O452" i="2" s="1"/>
  <c r="P452" i="2" s="1"/>
  <c r="K453" i="2" a="1"/>
  <c r="K453" i="2" s="1"/>
  <c r="N453" i="2" a="1"/>
  <c r="N453" i="2" s="1"/>
  <c r="O453" i="2" s="1"/>
  <c r="P453" i="2" s="1"/>
  <c r="K454" i="2" a="1"/>
  <c r="K454" i="2" s="1"/>
  <c r="L454" i="2" s="1"/>
  <c r="N454" i="2" a="1"/>
  <c r="N454" i="2" s="1"/>
  <c r="O454" i="2" s="1"/>
  <c r="P454" i="2" s="1"/>
  <c r="K455" i="2" a="1"/>
  <c r="K455" i="2" s="1"/>
  <c r="N455" i="2" a="1"/>
  <c r="N455" i="2" s="1"/>
  <c r="O455" i="2" s="1"/>
  <c r="P455" i="2" s="1"/>
  <c r="K456" i="2" a="1"/>
  <c r="K456" i="2" s="1"/>
  <c r="N456" i="2" a="1"/>
  <c r="N456" i="2" s="1"/>
  <c r="O456" i="2" s="1"/>
  <c r="P456" i="2" s="1"/>
  <c r="K457" i="2" a="1"/>
  <c r="K457" i="2" s="1"/>
  <c r="L457" i="2" s="1"/>
  <c r="N457" i="2" a="1"/>
  <c r="N457" i="2" s="1"/>
  <c r="O457" i="2" s="1"/>
  <c r="P457" i="2" s="1"/>
  <c r="K458" i="2" a="1"/>
  <c r="K458" i="2" s="1"/>
  <c r="N458" i="2" a="1"/>
  <c r="N458" i="2" s="1"/>
  <c r="O458" i="2" s="1"/>
  <c r="P458" i="2" s="1"/>
  <c r="K459" i="2" a="1"/>
  <c r="K459" i="2" s="1"/>
  <c r="L459" i="2" s="1"/>
  <c r="N459" i="2" a="1"/>
  <c r="N459" i="2" s="1"/>
  <c r="O459" i="2"/>
  <c r="P459" i="2" s="1"/>
  <c r="K460" i="2" a="1"/>
  <c r="K460" i="2" s="1"/>
  <c r="L460" i="2" s="1"/>
  <c r="M460" i="2"/>
  <c r="N460" i="2" a="1"/>
  <c r="N460" i="2" s="1"/>
  <c r="O460" i="2" s="1"/>
  <c r="P460" i="2" s="1"/>
  <c r="K461" i="2" a="1"/>
  <c r="K461" i="2" s="1"/>
  <c r="N461" i="2" a="1"/>
  <c r="N461" i="2" s="1"/>
  <c r="O461" i="2" s="1"/>
  <c r="P461" i="2" s="1"/>
  <c r="K462" i="2" a="1"/>
  <c r="K462" i="2" s="1"/>
  <c r="N462" i="2" a="1"/>
  <c r="N462" i="2"/>
  <c r="O462" i="2" s="1"/>
  <c r="P462" i="2" s="1"/>
  <c r="K463" i="2" a="1"/>
  <c r="K463" i="2" s="1"/>
  <c r="L463" i="2" s="1"/>
  <c r="N463" i="2" a="1"/>
  <c r="N463" i="2" s="1"/>
  <c r="O463" i="2" s="1"/>
  <c r="P463" i="2" s="1"/>
  <c r="K464" i="2" a="1"/>
  <c r="K464" i="2" s="1"/>
  <c r="N464" i="2" a="1"/>
  <c r="N464" i="2" s="1"/>
  <c r="O464" i="2" s="1"/>
  <c r="P464" i="2" s="1"/>
  <c r="K465" i="2" a="1"/>
  <c r="K465" i="2" s="1"/>
  <c r="N465" i="2" a="1"/>
  <c r="N465" i="2" s="1"/>
  <c r="O465" i="2" s="1"/>
  <c r="P465" i="2" s="1"/>
  <c r="K466" i="2" a="1"/>
  <c r="K466" i="2" s="1"/>
  <c r="L466" i="2" s="1"/>
  <c r="N466" i="2" a="1"/>
  <c r="N466" i="2" s="1"/>
  <c r="O466" i="2" s="1"/>
  <c r="P466" i="2" s="1"/>
  <c r="K467" i="2" a="1"/>
  <c r="K467" i="2" s="1"/>
  <c r="N467" i="2" a="1"/>
  <c r="N467" i="2" s="1"/>
  <c r="O467" i="2" s="1"/>
  <c r="P467" i="2" s="1"/>
  <c r="K468" i="2" a="1"/>
  <c r="K468" i="2" s="1"/>
  <c r="L468" i="2" s="1"/>
  <c r="N468" i="2" a="1"/>
  <c r="N468" i="2" s="1"/>
  <c r="O468" i="2" s="1"/>
  <c r="P468" i="2" s="1"/>
  <c r="K469" i="2" a="1"/>
  <c r="K469" i="2" s="1"/>
  <c r="N469" i="2" a="1"/>
  <c r="N469" i="2" s="1"/>
  <c r="O469" i="2" s="1"/>
  <c r="P469" i="2" s="1"/>
  <c r="K470" i="2" a="1"/>
  <c r="K470" i="2" s="1"/>
  <c r="N470" i="2" a="1"/>
  <c r="N470" i="2" s="1"/>
  <c r="O470" i="2" s="1"/>
  <c r="P470" i="2" s="1"/>
  <c r="K471" i="2" a="1"/>
  <c r="K471" i="2" s="1"/>
  <c r="N471" i="2" a="1"/>
  <c r="N471" i="2" s="1"/>
  <c r="O471" i="2" s="1"/>
  <c r="P471" i="2" s="1"/>
  <c r="K472" i="2" a="1"/>
  <c r="K472" i="2" s="1"/>
  <c r="L472" i="2" s="1"/>
  <c r="N472" i="2" a="1"/>
  <c r="N472" i="2" s="1"/>
  <c r="O472" i="2" s="1"/>
  <c r="P472" i="2" s="1"/>
  <c r="K473" i="2" a="1"/>
  <c r="K473" i="2" s="1"/>
  <c r="N473" i="2" a="1"/>
  <c r="N473" i="2" s="1"/>
  <c r="O473" i="2" s="1"/>
  <c r="P473" i="2" s="1"/>
  <c r="K474" i="2" a="1"/>
  <c r="K474" i="2" s="1"/>
  <c r="L474" i="2" s="1"/>
  <c r="N474" i="2" a="1"/>
  <c r="N474" i="2" s="1"/>
  <c r="O474" i="2" s="1"/>
  <c r="P474" i="2" s="1"/>
  <c r="K475" i="2" a="1"/>
  <c r="K475" i="2" s="1"/>
  <c r="N475" i="2" a="1"/>
  <c r="N475" i="2" s="1"/>
  <c r="O475" i="2" s="1"/>
  <c r="P475" i="2" s="1"/>
  <c r="K476" i="2" a="1"/>
  <c r="K476" i="2" s="1"/>
  <c r="N476" i="2" a="1"/>
  <c r="N476" i="2" s="1"/>
  <c r="O476" i="2" s="1"/>
  <c r="P476" i="2" s="1"/>
  <c r="K477" i="2" a="1"/>
  <c r="K477" i="2" s="1"/>
  <c r="L477" i="2" s="1"/>
  <c r="N477" i="2" a="1"/>
  <c r="N477" i="2" s="1"/>
  <c r="O477" i="2" s="1"/>
  <c r="P477" i="2" s="1"/>
  <c r="K478" i="2" a="1"/>
  <c r="K478" i="2" s="1"/>
  <c r="N478" i="2" a="1"/>
  <c r="N478" i="2" s="1"/>
  <c r="O478" i="2" s="1"/>
  <c r="P478" i="2" s="1"/>
  <c r="K479" i="2" a="1"/>
  <c r="K479" i="2" s="1"/>
  <c r="N479" i="2" a="1"/>
  <c r="N479" i="2" s="1"/>
  <c r="O479" i="2" s="1"/>
  <c r="P479" i="2" s="1"/>
  <c r="K480" i="2" a="1"/>
  <c r="K480" i="2" s="1"/>
  <c r="N480" i="2" a="1"/>
  <c r="N480" i="2" s="1"/>
  <c r="O480" i="2" s="1"/>
  <c r="P480" i="2" s="1"/>
  <c r="K481" i="2" a="1"/>
  <c r="K481" i="2" s="1"/>
  <c r="L481" i="2" s="1"/>
  <c r="N481" i="2" a="1"/>
  <c r="N481" i="2" s="1"/>
  <c r="O481" i="2" s="1"/>
  <c r="P481" i="2" s="1"/>
  <c r="K482" i="2" a="1"/>
  <c r="K482" i="2" s="1"/>
  <c r="N482" i="2" a="1"/>
  <c r="N482" i="2" s="1"/>
  <c r="O482" i="2" s="1"/>
  <c r="P482" i="2" s="1"/>
  <c r="K483" i="2" a="1"/>
  <c r="K483" i="2" s="1"/>
  <c r="L483" i="2" s="1"/>
  <c r="N483" i="2" a="1"/>
  <c r="N483" i="2" s="1"/>
  <c r="O483" i="2" s="1"/>
  <c r="P483" i="2" s="1"/>
  <c r="K484" i="2" a="1"/>
  <c r="K484" i="2" s="1"/>
  <c r="N484" i="2" a="1"/>
  <c r="N484" i="2" s="1"/>
  <c r="O484" i="2" s="1"/>
  <c r="P484" i="2" s="1"/>
  <c r="K485" i="2" a="1"/>
  <c r="K485" i="2" s="1"/>
  <c r="N485" i="2" a="1"/>
  <c r="N485" i="2" s="1"/>
  <c r="O485" i="2" s="1"/>
  <c r="P485" i="2" s="1"/>
  <c r="K486" i="2" a="1"/>
  <c r="K486" i="2" s="1"/>
  <c r="L486" i="2" s="1"/>
  <c r="N486" i="2" a="1"/>
  <c r="N486" i="2" s="1"/>
  <c r="O486" i="2" s="1"/>
  <c r="P486" i="2" s="1"/>
  <c r="K487" i="2" a="1"/>
  <c r="K487" i="2" s="1"/>
  <c r="L487" i="2" s="1"/>
  <c r="N487" i="2" a="1"/>
  <c r="N487" i="2" s="1"/>
  <c r="O487" i="2" s="1"/>
  <c r="P487" i="2" s="1"/>
  <c r="K488" i="2" a="1"/>
  <c r="K488" i="2" s="1"/>
  <c r="N488" i="2" a="1"/>
  <c r="N488" i="2" s="1"/>
  <c r="O488" i="2" s="1"/>
  <c r="P488" i="2" s="1"/>
  <c r="K489" i="2" a="1"/>
  <c r="K489" i="2" s="1"/>
  <c r="N489" i="2" a="1"/>
  <c r="N489" i="2" s="1"/>
  <c r="O489" i="2" s="1"/>
  <c r="P489" i="2" s="1"/>
  <c r="K490" i="2" a="1"/>
  <c r="K490" i="2" s="1"/>
  <c r="L490" i="2" s="1"/>
  <c r="N490" i="2" a="1"/>
  <c r="N490" i="2" s="1"/>
  <c r="O490" i="2" s="1"/>
  <c r="P490" i="2" s="1"/>
  <c r="K491" i="2" a="1"/>
  <c r="K491" i="2" s="1"/>
  <c r="L491" i="2" s="1"/>
  <c r="N491" i="2" a="1"/>
  <c r="N491" i="2" s="1"/>
  <c r="O491" i="2" s="1"/>
  <c r="P491" i="2" s="1"/>
  <c r="K492" i="2" a="1"/>
  <c r="K492" i="2" s="1"/>
  <c r="L492" i="2" s="1"/>
  <c r="N492" i="2" a="1"/>
  <c r="N492" i="2" s="1"/>
  <c r="O492" i="2" s="1"/>
  <c r="P492" i="2" s="1"/>
  <c r="K493" i="2" a="1"/>
  <c r="K493" i="2" s="1"/>
  <c r="N493" i="2" a="1"/>
  <c r="N493" i="2" s="1"/>
  <c r="O493" i="2" s="1"/>
  <c r="P493" i="2" s="1"/>
  <c r="K494" i="2" a="1"/>
  <c r="K494" i="2" s="1"/>
  <c r="L494" i="2" s="1"/>
  <c r="N494" i="2" a="1"/>
  <c r="N494" i="2" s="1"/>
  <c r="O494" i="2" s="1"/>
  <c r="P494" i="2" s="1"/>
  <c r="K495" i="2" a="1"/>
  <c r="K495" i="2" s="1"/>
  <c r="N495" i="2" a="1"/>
  <c r="N495" i="2" s="1"/>
  <c r="O495" i="2" s="1"/>
  <c r="P495" i="2" s="1"/>
  <c r="K496" i="2" a="1"/>
  <c r="K496" i="2" s="1"/>
  <c r="L496" i="2" s="1"/>
  <c r="N496" i="2" a="1"/>
  <c r="N496" i="2" s="1"/>
  <c r="O496" i="2" s="1"/>
  <c r="P496" i="2" s="1"/>
  <c r="K497" i="2" a="1"/>
  <c r="K497" i="2" s="1"/>
  <c r="N497" i="2" a="1"/>
  <c r="N497" i="2" s="1"/>
  <c r="O497" i="2" s="1"/>
  <c r="P497" i="2" s="1"/>
  <c r="K498" i="2" a="1"/>
  <c r="K498" i="2" s="1"/>
  <c r="L498" i="2" s="1"/>
  <c r="N498" i="2" a="1"/>
  <c r="N498" i="2" s="1"/>
  <c r="O498" i="2" s="1"/>
  <c r="P498" i="2" s="1"/>
  <c r="K499" i="2" a="1"/>
  <c r="K499" i="2" s="1"/>
  <c r="M499" i="2" s="1"/>
  <c r="N499" i="2" a="1"/>
  <c r="N499" i="2" s="1"/>
  <c r="O499" i="2" s="1"/>
  <c r="P499" i="2" s="1"/>
  <c r="K500" i="2" a="1"/>
  <c r="K500" i="2" s="1"/>
  <c r="M500" i="2" s="1"/>
  <c r="N500" i="2" a="1"/>
  <c r="N500" i="2" s="1"/>
  <c r="O500" i="2" s="1"/>
  <c r="P500" i="2" s="1"/>
  <c r="K501" i="2" a="1"/>
  <c r="K501" i="2" s="1"/>
  <c r="M501" i="2" s="1"/>
  <c r="N501" i="2" a="1"/>
  <c r="N501" i="2" s="1"/>
  <c r="O501" i="2" s="1"/>
  <c r="P501" i="2" s="1"/>
  <c r="K502" i="2" a="1"/>
  <c r="K502" i="2" s="1"/>
  <c r="M502" i="2" s="1"/>
  <c r="N502" i="2" a="1"/>
  <c r="N502" i="2" s="1"/>
  <c r="O502" i="2" s="1"/>
  <c r="P502" i="2" s="1"/>
  <c r="K503" i="2" a="1"/>
  <c r="K503" i="2" s="1"/>
  <c r="M503" i="2" s="1"/>
  <c r="N503" i="2" a="1"/>
  <c r="N503" i="2" s="1"/>
  <c r="O503" i="2" s="1"/>
  <c r="P503" i="2" s="1"/>
  <c r="K504" i="2" a="1"/>
  <c r="K504" i="2" s="1"/>
  <c r="L504" i="2" s="1"/>
  <c r="N504" i="2" a="1"/>
  <c r="N504" i="2" s="1"/>
  <c r="O504" i="2" s="1"/>
  <c r="P504" i="2" s="1"/>
  <c r="K505" i="2" a="1"/>
  <c r="K505" i="2" s="1"/>
  <c r="N505" i="2" a="1"/>
  <c r="N505" i="2" s="1"/>
  <c r="O505" i="2" s="1"/>
  <c r="P505" i="2" s="1"/>
  <c r="K506" i="2" a="1"/>
  <c r="K506" i="2" s="1"/>
  <c r="L506" i="2" s="1"/>
  <c r="N506" i="2" a="1"/>
  <c r="N506" i="2" s="1"/>
  <c r="O506" i="2" s="1"/>
  <c r="P506" i="2" s="1"/>
  <c r="K507" i="2" a="1"/>
  <c r="K507" i="2" s="1"/>
  <c r="N507" i="2" a="1"/>
  <c r="N507" i="2" s="1"/>
  <c r="O507" i="2" s="1"/>
  <c r="P507" i="2" s="1"/>
  <c r="K508" i="2" a="1"/>
  <c r="K508" i="2" s="1"/>
  <c r="M508" i="2" s="1"/>
  <c r="N508" i="2" a="1"/>
  <c r="N508" i="2" s="1"/>
  <c r="O508" i="2" s="1"/>
  <c r="P508" i="2" s="1"/>
  <c r="K509" i="2" a="1"/>
  <c r="K509" i="2" s="1"/>
  <c r="M509" i="2" s="1"/>
  <c r="N509" i="2" a="1"/>
  <c r="N509" i="2" s="1"/>
  <c r="O509" i="2" s="1"/>
  <c r="P509" i="2" s="1"/>
  <c r="K510" i="2" a="1"/>
  <c r="K510" i="2" s="1"/>
  <c r="N510" i="2" a="1"/>
  <c r="N510" i="2" s="1"/>
  <c r="O510" i="2" s="1"/>
  <c r="P510" i="2" s="1"/>
  <c r="K511" i="2" a="1"/>
  <c r="K511" i="2" s="1"/>
  <c r="N511" i="2" a="1"/>
  <c r="N511" i="2" s="1"/>
  <c r="O511" i="2" s="1"/>
  <c r="P511" i="2" s="1"/>
  <c r="K512" i="2" a="1"/>
  <c r="K512" i="2" s="1"/>
  <c r="M512" i="2" s="1"/>
  <c r="L512" i="2"/>
  <c r="N512" i="2" a="1"/>
  <c r="N512" i="2" s="1"/>
  <c r="O512" i="2" s="1"/>
  <c r="P512" i="2" s="1"/>
  <c r="K513" i="2" a="1"/>
  <c r="K513" i="2" s="1"/>
  <c r="N513" i="2" a="1"/>
  <c r="N513" i="2" s="1"/>
  <c r="O513" i="2" s="1"/>
  <c r="P513" i="2" s="1"/>
  <c r="K514" i="2" a="1"/>
  <c r="K514" i="2" s="1"/>
  <c r="N514" i="2" a="1"/>
  <c r="N514" i="2" s="1"/>
  <c r="O514" i="2" s="1"/>
  <c r="P514" i="2" s="1"/>
  <c r="K515" i="2" a="1"/>
  <c r="K515" i="2" s="1"/>
  <c r="N515" i="2" a="1"/>
  <c r="N515" i="2" s="1"/>
  <c r="O515" i="2" s="1"/>
  <c r="P515" i="2" s="1"/>
  <c r="K516" i="2" a="1"/>
  <c r="K516" i="2" s="1"/>
  <c r="L516" i="2" s="1"/>
  <c r="N516" i="2" a="1"/>
  <c r="N516" i="2" s="1"/>
  <c r="O516" i="2"/>
  <c r="P516" i="2" s="1"/>
  <c r="K517" i="2" a="1"/>
  <c r="K517" i="2" s="1"/>
  <c r="N517" i="2" a="1"/>
  <c r="N517" i="2" s="1"/>
  <c r="O517" i="2" s="1"/>
  <c r="P517" i="2" s="1"/>
  <c r="K518" i="2" a="1"/>
  <c r="K518" i="2" s="1"/>
  <c r="N518" i="2" a="1"/>
  <c r="N518" i="2" s="1"/>
  <c r="O518" i="2" s="1"/>
  <c r="P518" i="2" s="1"/>
  <c r="K519" i="2" a="1"/>
  <c r="K519" i="2"/>
  <c r="L519" i="2" s="1"/>
  <c r="N519" i="2" a="1"/>
  <c r="N519" i="2" s="1"/>
  <c r="O519" i="2"/>
  <c r="P519" i="2" s="1"/>
  <c r="K520" i="2" a="1"/>
  <c r="K520" i="2" s="1"/>
  <c r="L520" i="2" s="1"/>
  <c r="N520" i="2" a="1"/>
  <c r="N520" i="2" s="1"/>
  <c r="O520" i="2" s="1"/>
  <c r="P520" i="2" s="1"/>
  <c r="K521" i="2" a="1"/>
  <c r="K521" i="2" s="1"/>
  <c r="N521" i="2" a="1"/>
  <c r="N521" i="2" s="1"/>
  <c r="O521" i="2" s="1"/>
  <c r="P521" i="2" s="1"/>
  <c r="K522" i="2" a="1"/>
  <c r="K522" i="2"/>
  <c r="L522" i="2" s="1"/>
  <c r="N522" i="2" a="1"/>
  <c r="N522" i="2" s="1"/>
  <c r="O522" i="2" s="1"/>
  <c r="P522" i="2" s="1"/>
  <c r="K523" i="2" a="1"/>
  <c r="K523" i="2" s="1"/>
  <c r="L523" i="2" s="1"/>
  <c r="N523" i="2" a="1"/>
  <c r="N523" i="2" s="1"/>
  <c r="O523" i="2" s="1"/>
  <c r="P523" i="2" s="1"/>
  <c r="K524" i="2" a="1"/>
  <c r="K524" i="2" s="1"/>
  <c r="L524" i="2" s="1"/>
  <c r="N524" i="2" a="1"/>
  <c r="N524" i="2" s="1"/>
  <c r="O524" i="2" s="1"/>
  <c r="P524" i="2" s="1"/>
  <c r="K525" i="2" a="1"/>
  <c r="K525" i="2" s="1"/>
  <c r="M525" i="2" s="1"/>
  <c r="N525" i="2" a="1"/>
  <c r="N525" i="2" s="1"/>
  <c r="O525" i="2" s="1"/>
  <c r="P525" i="2" s="1"/>
  <c r="K526" i="2" a="1"/>
  <c r="K526" i="2" s="1"/>
  <c r="L526" i="2" s="1"/>
  <c r="N526" i="2" a="1"/>
  <c r="N526" i="2" s="1"/>
  <c r="O526" i="2" s="1"/>
  <c r="P526" i="2" s="1"/>
  <c r="K527" i="2" a="1"/>
  <c r="K527" i="2" s="1"/>
  <c r="L527" i="2" s="1"/>
  <c r="N527" i="2" a="1"/>
  <c r="N527" i="2" s="1"/>
  <c r="O527" i="2" s="1"/>
  <c r="P527" i="2" s="1"/>
  <c r="K528" i="2" a="1"/>
  <c r="K528" i="2" s="1"/>
  <c r="M528" i="2" s="1"/>
  <c r="N528" i="2" a="1"/>
  <c r="N528" i="2" s="1"/>
  <c r="O528" i="2" s="1"/>
  <c r="P528" i="2" s="1"/>
  <c r="K529" i="2" a="1"/>
  <c r="K529" i="2" s="1"/>
  <c r="M529" i="2" s="1"/>
  <c r="N529" i="2" a="1"/>
  <c r="N529" i="2" s="1"/>
  <c r="O529" i="2"/>
  <c r="P529" i="2" s="1"/>
  <c r="K530" i="2" a="1"/>
  <c r="K530" i="2" s="1"/>
  <c r="L530" i="2" s="1"/>
  <c r="N530" i="2" a="1"/>
  <c r="N530" i="2" s="1"/>
  <c r="O530" i="2" s="1"/>
  <c r="P530" i="2" s="1"/>
  <c r="K531" i="2" a="1"/>
  <c r="K531" i="2" s="1"/>
  <c r="N531" i="2" a="1"/>
  <c r="N531" i="2" s="1"/>
  <c r="O531" i="2" s="1"/>
  <c r="P531" i="2" s="1"/>
  <c r="K532" i="2" a="1"/>
  <c r="K532" i="2" s="1"/>
  <c r="M532" i="2" s="1"/>
  <c r="N532" i="2" a="1"/>
  <c r="N532" i="2" s="1"/>
  <c r="O532" i="2" s="1"/>
  <c r="P532" i="2" s="1"/>
  <c r="K533" i="2" a="1"/>
  <c r="K533" i="2" s="1"/>
  <c r="M533" i="2" s="1"/>
  <c r="N533" i="2" a="1"/>
  <c r="N533" i="2" s="1"/>
  <c r="O533" i="2" s="1"/>
  <c r="P533" i="2" s="1"/>
  <c r="K534" i="2" a="1"/>
  <c r="K534" i="2" s="1"/>
  <c r="N534" i="2" a="1"/>
  <c r="N534" i="2" s="1"/>
  <c r="O534" i="2" s="1"/>
  <c r="P534" i="2" s="1"/>
  <c r="K535" i="2" a="1"/>
  <c r="K535" i="2" s="1"/>
  <c r="N535" i="2" a="1"/>
  <c r="N535" i="2" s="1"/>
  <c r="O535" i="2" s="1"/>
  <c r="P535" i="2" s="1"/>
  <c r="K536" i="2" a="1"/>
  <c r="K536" i="2" s="1"/>
  <c r="L536" i="2" s="1"/>
  <c r="N536" i="2" a="1"/>
  <c r="N536" i="2" s="1"/>
  <c r="O536" i="2" s="1"/>
  <c r="P536" i="2" s="1"/>
  <c r="K537" i="2" a="1"/>
  <c r="K537" i="2" s="1"/>
  <c r="N537" i="2" a="1"/>
  <c r="N537" i="2" s="1"/>
  <c r="O537" i="2" s="1"/>
  <c r="P537" i="2" s="1"/>
  <c r="K538" i="2" a="1"/>
  <c r="K538" i="2" s="1"/>
  <c r="M538" i="2" s="1"/>
  <c r="N538" i="2" a="1"/>
  <c r="N538" i="2" s="1"/>
  <c r="O538" i="2" s="1"/>
  <c r="P538" i="2" s="1"/>
  <c r="K539" i="2" a="1"/>
  <c r="K539" i="2" s="1"/>
  <c r="N539" i="2" a="1"/>
  <c r="N539" i="2" s="1"/>
  <c r="O539" i="2" s="1"/>
  <c r="P539" i="2" s="1"/>
  <c r="K540" i="2" a="1"/>
  <c r="K540" i="2" s="1"/>
  <c r="M540" i="2" s="1"/>
  <c r="N540" i="2" a="1"/>
  <c r="N540" i="2" s="1"/>
  <c r="O540" i="2" s="1"/>
  <c r="P540" i="2" s="1"/>
  <c r="K541" i="2" a="1"/>
  <c r="K541" i="2" s="1"/>
  <c r="N541" i="2" a="1"/>
  <c r="N541" i="2" s="1"/>
  <c r="O541" i="2" s="1"/>
  <c r="P541" i="2" s="1"/>
  <c r="K542" i="2" a="1"/>
  <c r="K542" i="2" s="1"/>
  <c r="N542" i="2" a="1"/>
  <c r="N542" i="2" s="1"/>
  <c r="O542" i="2" s="1"/>
  <c r="P542" i="2" s="1"/>
  <c r="K543" i="2" a="1"/>
  <c r="K543" i="2" s="1"/>
  <c r="N543" i="2" a="1"/>
  <c r="N543" i="2" s="1"/>
  <c r="O543" i="2" s="1"/>
  <c r="P543" i="2" s="1"/>
  <c r="K544" i="2" a="1"/>
  <c r="K544" i="2" s="1"/>
  <c r="L544" i="2" s="1"/>
  <c r="N544" i="2" a="1"/>
  <c r="N544" i="2" s="1"/>
  <c r="O544" i="2" s="1"/>
  <c r="P544" i="2" s="1"/>
  <c r="K545" i="2" a="1"/>
  <c r="K545" i="2" s="1"/>
  <c r="N545" i="2" a="1"/>
  <c r="N545" i="2" s="1"/>
  <c r="O545" i="2" s="1"/>
  <c r="P545" i="2" s="1"/>
  <c r="K546" i="2" a="1"/>
  <c r="K546" i="2" s="1"/>
  <c r="N546" i="2" a="1"/>
  <c r="N546" i="2" s="1"/>
  <c r="O546" i="2" s="1"/>
  <c r="P546" i="2" s="1"/>
  <c r="K547" i="2" a="1"/>
  <c r="K547" i="2" s="1"/>
  <c r="N547" i="2" a="1"/>
  <c r="N547" i="2" s="1"/>
  <c r="O547" i="2" s="1"/>
  <c r="P547" i="2" s="1"/>
  <c r="K548" i="2" a="1"/>
  <c r="K548" i="2" s="1"/>
  <c r="L548" i="2" s="1"/>
  <c r="N548" i="2" a="1"/>
  <c r="N548" i="2" s="1"/>
  <c r="O548" i="2" s="1"/>
  <c r="P548" i="2" s="1"/>
  <c r="K549" i="2" a="1"/>
  <c r="K549" i="2" s="1"/>
  <c r="N549" i="2" a="1"/>
  <c r="N549" i="2" s="1"/>
  <c r="O549" i="2" s="1"/>
  <c r="P549" i="2" s="1"/>
  <c r="K550" i="2" a="1"/>
  <c r="K550" i="2" s="1"/>
  <c r="N550" i="2" a="1"/>
  <c r="N550" i="2" s="1"/>
  <c r="O550" i="2" s="1"/>
  <c r="P550" i="2" s="1"/>
  <c r="K551" i="2" a="1"/>
  <c r="K551" i="2" s="1"/>
  <c r="N551" i="2" a="1"/>
  <c r="N551" i="2" s="1"/>
  <c r="O551" i="2" s="1"/>
  <c r="P551" i="2" s="1"/>
  <c r="K552" i="2" a="1"/>
  <c r="K552" i="2" s="1"/>
  <c r="L552" i="2" s="1"/>
  <c r="N552" i="2" a="1"/>
  <c r="N552" i="2" s="1"/>
  <c r="O552" i="2" s="1"/>
  <c r="P552" i="2" s="1"/>
  <c r="K553" i="2" a="1"/>
  <c r="K553" i="2" s="1"/>
  <c r="L553" i="2" s="1"/>
  <c r="N553" i="2" a="1"/>
  <c r="N553" i="2" s="1"/>
  <c r="O553" i="2" s="1"/>
  <c r="P553" i="2" s="1"/>
  <c r="K554" i="2" a="1"/>
  <c r="K554" i="2" s="1"/>
  <c r="N554" i="2" a="1"/>
  <c r="N554" i="2" s="1"/>
  <c r="O554" i="2" s="1"/>
  <c r="P554" i="2" s="1"/>
  <c r="K555" i="2" a="1"/>
  <c r="K555" i="2" s="1"/>
  <c r="N555" i="2" a="1"/>
  <c r="N555" i="2" s="1"/>
  <c r="O555" i="2" s="1"/>
  <c r="P555" i="2" s="1"/>
  <c r="K556" i="2" a="1"/>
  <c r="K556" i="2" s="1"/>
  <c r="L556" i="2" s="1"/>
  <c r="N556" i="2" a="1"/>
  <c r="N556" i="2" s="1"/>
  <c r="O556" i="2" s="1"/>
  <c r="P556" i="2" s="1"/>
  <c r="K557" i="2" a="1"/>
  <c r="K557" i="2" s="1"/>
  <c r="L557" i="2" s="1"/>
  <c r="N557" i="2" a="1"/>
  <c r="N557" i="2" s="1"/>
  <c r="O557" i="2" s="1"/>
  <c r="P557" i="2" s="1"/>
  <c r="K558" i="2" a="1"/>
  <c r="K558" i="2" s="1"/>
  <c r="N558" i="2" a="1"/>
  <c r="N558" i="2" s="1"/>
  <c r="O558" i="2" s="1"/>
  <c r="P558" i="2" s="1"/>
  <c r="K559" i="2" a="1"/>
  <c r="K559" i="2" s="1"/>
  <c r="N559" i="2" a="1"/>
  <c r="N559" i="2" s="1"/>
  <c r="O559" i="2" s="1"/>
  <c r="P559" i="2" s="1"/>
  <c r="K560" i="2" a="1"/>
  <c r="K560" i="2" s="1"/>
  <c r="M560" i="2" s="1"/>
  <c r="N560" i="2" a="1"/>
  <c r="N560" i="2" s="1"/>
  <c r="O560" i="2" s="1"/>
  <c r="P560" i="2" s="1"/>
  <c r="K561" i="2" a="1"/>
  <c r="K561" i="2" s="1"/>
  <c r="L561" i="2" s="1"/>
  <c r="N561" i="2" a="1"/>
  <c r="N561" i="2" s="1"/>
  <c r="O561" i="2" s="1"/>
  <c r="P561" i="2" s="1"/>
  <c r="K562" i="2" a="1"/>
  <c r="K562" i="2" s="1"/>
  <c r="N562" i="2" a="1"/>
  <c r="N562" i="2" s="1"/>
  <c r="O562" i="2" s="1"/>
  <c r="P562" i="2" s="1"/>
  <c r="K563" i="2" a="1"/>
  <c r="K563" i="2" s="1"/>
  <c r="N563" i="2" a="1"/>
  <c r="N563" i="2" s="1"/>
  <c r="O563" i="2" s="1"/>
  <c r="P563" i="2" s="1"/>
  <c r="N7" i="2" a="1"/>
  <c r="N7" i="2" s="1"/>
  <c r="O7" i="2" s="1"/>
  <c r="P7" i="2" s="1"/>
  <c r="K7" i="2" a="1"/>
  <c r="K7" i="2" s="1"/>
  <c r="L7" i="2" s="1"/>
  <c r="K6" i="2" a="1"/>
  <c r="K6" i="2" s="1"/>
  <c r="L6" i="2" s="1"/>
  <c r="N5" i="2" a="1"/>
  <c r="N5" i="2" s="1"/>
  <c r="O5" i="2" s="1"/>
  <c r="P5" i="2" s="1"/>
  <c r="N4" i="2" a="1"/>
  <c r="N4" i="2" s="1"/>
  <c r="O4" i="2" s="1"/>
  <c r="P4" i="2" s="1"/>
  <c r="K4" i="2" a="1"/>
  <c r="K4" i="2" s="1"/>
  <c r="L4" i="2" s="1"/>
  <c r="N3" i="2" a="1"/>
  <c r="N3" i="2" s="1"/>
  <c r="O3" i="2" s="1"/>
  <c r="P3" i="2" s="1"/>
  <c r="N2" i="2" a="1"/>
  <c r="N2" i="2" s="1"/>
  <c r="O2" i="2" s="1"/>
  <c r="P2" i="2" s="1"/>
  <c r="K2" i="2" a="1"/>
  <c r="K2" i="2" s="1"/>
  <c r="L2" i="2" s="1"/>
  <c r="M154" i="2" l="1"/>
  <c r="L538" i="2"/>
  <c r="M506" i="2"/>
  <c r="M449" i="2"/>
  <c r="L500" i="2"/>
  <c r="M472" i="2"/>
  <c r="L479" i="2"/>
  <c r="M479" i="2"/>
  <c r="M534" i="2"/>
  <c r="L534" i="2"/>
  <c r="M488" i="2"/>
  <c r="L488" i="2"/>
  <c r="L558" i="2"/>
  <c r="M558" i="2"/>
  <c r="M121" i="2"/>
  <c r="L121" i="2"/>
  <c r="L562" i="2"/>
  <c r="M562" i="2"/>
  <c r="M535" i="2"/>
  <c r="L535" i="2"/>
  <c r="M541" i="2"/>
  <c r="L541" i="2"/>
  <c r="M531" i="2"/>
  <c r="L531" i="2"/>
  <c r="M492" i="2"/>
  <c r="L503" i="2"/>
  <c r="L499" i="2"/>
  <c r="M328" i="2"/>
  <c r="M102" i="2"/>
  <c r="L528" i="2"/>
  <c r="M477" i="2"/>
  <c r="L88" i="2"/>
  <c r="M544" i="2"/>
  <c r="L532" i="2"/>
  <c r="L509" i="2"/>
  <c r="L502" i="2"/>
  <c r="M481" i="2"/>
  <c r="M457" i="2"/>
  <c r="M424" i="2"/>
  <c r="M352" i="2"/>
  <c r="M311" i="2"/>
  <c r="M307" i="2"/>
  <c r="M138" i="2"/>
  <c r="L559" i="2"/>
  <c r="M559" i="2"/>
  <c r="L551" i="2"/>
  <c r="M551" i="2"/>
  <c r="L563" i="2"/>
  <c r="M563" i="2"/>
  <c r="L554" i="2"/>
  <c r="M554" i="2"/>
  <c r="L542" i="2"/>
  <c r="M542" i="2"/>
  <c r="M537" i="2"/>
  <c r="L537" i="2"/>
  <c r="M547" i="2"/>
  <c r="L547" i="2"/>
  <c r="M549" i="2"/>
  <c r="L549" i="2"/>
  <c r="M545" i="2"/>
  <c r="L545" i="2"/>
  <c r="L539" i="2"/>
  <c r="M539" i="2"/>
  <c r="M513" i="2"/>
  <c r="L513" i="2"/>
  <c r="L510" i="2"/>
  <c r="M510" i="2"/>
  <c r="M505" i="2"/>
  <c r="L505" i="2"/>
  <c r="L507" i="2"/>
  <c r="M507" i="2"/>
  <c r="L555" i="2"/>
  <c r="M555" i="2"/>
  <c r="L493" i="2"/>
  <c r="M493" i="2"/>
  <c r="L489" i="2"/>
  <c r="M489" i="2"/>
  <c r="L515" i="2"/>
  <c r="M515" i="2"/>
  <c r="M521" i="2"/>
  <c r="L521" i="2"/>
  <c r="L518" i="2"/>
  <c r="M518" i="2"/>
  <c r="L495" i="2"/>
  <c r="M495" i="2"/>
  <c r="M514" i="2"/>
  <c r="L514" i="2"/>
  <c r="M543" i="2"/>
  <c r="L543" i="2"/>
  <c r="L550" i="2"/>
  <c r="M550" i="2"/>
  <c r="M546" i="2"/>
  <c r="L546" i="2"/>
  <c r="M517" i="2"/>
  <c r="L517" i="2"/>
  <c r="M511" i="2"/>
  <c r="L511" i="2"/>
  <c r="L497" i="2"/>
  <c r="M497" i="2"/>
  <c r="L480" i="2"/>
  <c r="M480" i="2"/>
  <c r="M561" i="2"/>
  <c r="M553" i="2"/>
  <c r="L540" i="2"/>
  <c r="M526" i="2"/>
  <c r="M523" i="2"/>
  <c r="M520" i="2"/>
  <c r="L508" i="2"/>
  <c r="M494" i="2"/>
  <c r="M491" i="2"/>
  <c r="L325" i="2"/>
  <c r="M325" i="2"/>
  <c r="L189" i="2"/>
  <c r="M189" i="2"/>
  <c r="M557" i="2"/>
  <c r="L529" i="2"/>
  <c r="M483" i="2"/>
  <c r="L440" i="2"/>
  <c r="M440" i="2"/>
  <c r="L400" i="2"/>
  <c r="M400" i="2"/>
  <c r="L344" i="2"/>
  <c r="M344" i="2"/>
  <c r="M113" i="2"/>
  <c r="L113" i="2"/>
  <c r="L485" i="2"/>
  <c r="M485" i="2"/>
  <c r="L456" i="2"/>
  <c r="M456" i="2"/>
  <c r="M185" i="2"/>
  <c r="L185" i="2"/>
  <c r="M530" i="2"/>
  <c r="M527" i="2"/>
  <c r="M524" i="2"/>
  <c r="M498" i="2"/>
  <c r="L465" i="2"/>
  <c r="M465" i="2"/>
  <c r="L368" i="2"/>
  <c r="M368" i="2"/>
  <c r="L94" i="2"/>
  <c r="M94" i="2"/>
  <c r="M536" i="2"/>
  <c r="L533" i="2"/>
  <c r="M504" i="2"/>
  <c r="L501" i="2"/>
  <c r="M486" i="2"/>
  <c r="L471" i="2"/>
  <c r="M471" i="2"/>
  <c r="M448" i="2"/>
  <c r="M392" i="2"/>
  <c r="L314" i="2"/>
  <c r="M314" i="2"/>
  <c r="M187" i="2"/>
  <c r="L187" i="2"/>
  <c r="M97" i="2"/>
  <c r="L97" i="2"/>
  <c r="M556" i="2"/>
  <c r="M552" i="2"/>
  <c r="M548" i="2"/>
  <c r="M522" i="2"/>
  <c r="M519" i="2"/>
  <c r="M516" i="2"/>
  <c r="M496" i="2"/>
  <c r="M432" i="2"/>
  <c r="L408" i="2"/>
  <c r="M408" i="2"/>
  <c r="L336" i="2"/>
  <c r="M336" i="2"/>
  <c r="L560" i="2"/>
  <c r="L525" i="2"/>
  <c r="M490" i="2"/>
  <c r="M487" i="2"/>
  <c r="L360" i="2"/>
  <c r="M360" i="2"/>
  <c r="L134" i="2"/>
  <c r="M134" i="2"/>
  <c r="L467" i="2"/>
  <c r="M467" i="2"/>
  <c r="L376" i="2"/>
  <c r="M376" i="2"/>
  <c r="L306" i="2"/>
  <c r="M306" i="2"/>
  <c r="M105" i="2"/>
  <c r="L105" i="2"/>
  <c r="M181" i="2"/>
  <c r="M151" i="2"/>
  <c r="L140" i="2"/>
  <c r="M126" i="2"/>
  <c r="L91" i="2"/>
  <c r="M196" i="2"/>
  <c r="M183" i="2"/>
  <c r="M141" i="2"/>
  <c r="M416" i="2"/>
  <c r="M384" i="2"/>
  <c r="L137" i="2"/>
  <c r="M118" i="2"/>
  <c r="M87" i="2"/>
  <c r="L190" i="2"/>
  <c r="M144" i="2"/>
  <c r="L129" i="2"/>
  <c r="M110" i="2"/>
  <c r="L484" i="2"/>
  <c r="M484" i="2"/>
  <c r="L482" i="2"/>
  <c r="M482" i="2"/>
  <c r="L478" i="2"/>
  <c r="M478" i="2"/>
  <c r="L476" i="2"/>
  <c r="M476" i="2"/>
  <c r="L475" i="2"/>
  <c r="M475" i="2"/>
  <c r="L473" i="2"/>
  <c r="M473" i="2"/>
  <c r="L470" i="2"/>
  <c r="M470" i="2"/>
  <c r="L469" i="2"/>
  <c r="M469" i="2"/>
  <c r="L464" i="2"/>
  <c r="M464" i="2"/>
  <c r="L462" i="2"/>
  <c r="M462" i="2"/>
  <c r="L461" i="2"/>
  <c r="M461" i="2"/>
  <c r="L458" i="2"/>
  <c r="M458" i="2"/>
  <c r="L455" i="2"/>
  <c r="M455" i="2"/>
  <c r="L450" i="2"/>
  <c r="M450" i="2"/>
  <c r="L446" i="2"/>
  <c r="M446" i="2"/>
  <c r="L435" i="2"/>
  <c r="M435" i="2"/>
  <c r="L425" i="2"/>
  <c r="M425" i="2"/>
  <c r="L420" i="2"/>
  <c r="M420" i="2"/>
  <c r="L418" i="2"/>
  <c r="M418" i="2"/>
  <c r="L393" i="2"/>
  <c r="M393" i="2"/>
  <c r="L388" i="2"/>
  <c r="M388" i="2"/>
  <c r="L386" i="2"/>
  <c r="M386" i="2"/>
  <c r="L361" i="2"/>
  <c r="M361" i="2"/>
  <c r="L356" i="2"/>
  <c r="M356" i="2"/>
  <c r="L354" i="2"/>
  <c r="M354" i="2"/>
  <c r="L441" i="2"/>
  <c r="M441" i="2"/>
  <c r="L430" i="2"/>
  <c r="M430" i="2"/>
  <c r="L398" i="2"/>
  <c r="M398" i="2"/>
  <c r="L366" i="2"/>
  <c r="M366" i="2"/>
  <c r="L334" i="2"/>
  <c r="M334" i="2"/>
  <c r="L327" i="2"/>
  <c r="M327" i="2"/>
  <c r="M474" i="2"/>
  <c r="M466" i="2"/>
  <c r="L453" i="2"/>
  <c r="M453" i="2"/>
  <c r="L439" i="2"/>
  <c r="M439" i="2"/>
  <c r="L417" i="2"/>
  <c r="M417" i="2"/>
  <c r="L412" i="2"/>
  <c r="M412" i="2"/>
  <c r="L410" i="2"/>
  <c r="M410" i="2"/>
  <c r="L385" i="2"/>
  <c r="M385" i="2"/>
  <c r="L380" i="2"/>
  <c r="M380" i="2"/>
  <c r="L378" i="2"/>
  <c r="M378" i="2"/>
  <c r="L353" i="2"/>
  <c r="M353" i="2"/>
  <c r="L348" i="2"/>
  <c r="M348" i="2"/>
  <c r="L346" i="2"/>
  <c r="M346" i="2"/>
  <c r="L332" i="2"/>
  <c r="M332" i="2"/>
  <c r="L443" i="2"/>
  <c r="M443" i="2"/>
  <c r="M436" i="2"/>
  <c r="L422" i="2"/>
  <c r="M422" i="2"/>
  <c r="L390" i="2"/>
  <c r="M390" i="2"/>
  <c r="L358" i="2"/>
  <c r="M358" i="2"/>
  <c r="L326" i="2"/>
  <c r="M326" i="2"/>
  <c r="L324" i="2"/>
  <c r="M324" i="2"/>
  <c r="M468" i="2"/>
  <c r="M463" i="2"/>
  <c r="L451" i="2"/>
  <c r="M451" i="2"/>
  <c r="L447" i="2"/>
  <c r="M447" i="2"/>
  <c r="L434" i="2"/>
  <c r="M434" i="2"/>
  <c r="L409" i="2"/>
  <c r="M409" i="2"/>
  <c r="L404" i="2"/>
  <c r="M404" i="2"/>
  <c r="L402" i="2"/>
  <c r="M402" i="2"/>
  <c r="L377" i="2"/>
  <c r="M377" i="2"/>
  <c r="L372" i="2"/>
  <c r="M372" i="2"/>
  <c r="L370" i="2"/>
  <c r="M370" i="2"/>
  <c r="L345" i="2"/>
  <c r="M345" i="2"/>
  <c r="L340" i="2"/>
  <c r="M340" i="2"/>
  <c r="L338" i="2"/>
  <c r="M338" i="2"/>
  <c r="L414" i="2"/>
  <c r="M414" i="2"/>
  <c r="L382" i="2"/>
  <c r="M382" i="2"/>
  <c r="L350" i="2"/>
  <c r="M350" i="2"/>
  <c r="M459" i="2"/>
  <c r="M454" i="2"/>
  <c r="M444" i="2"/>
  <c r="L438" i="2"/>
  <c r="M438" i="2"/>
  <c r="L433" i="2"/>
  <c r="M433" i="2"/>
  <c r="L428" i="2"/>
  <c r="M428" i="2"/>
  <c r="L426" i="2"/>
  <c r="M426" i="2"/>
  <c r="L401" i="2"/>
  <c r="M401" i="2"/>
  <c r="L396" i="2"/>
  <c r="M396" i="2"/>
  <c r="L394" i="2"/>
  <c r="M394" i="2"/>
  <c r="L369" i="2"/>
  <c r="M369" i="2"/>
  <c r="L364" i="2"/>
  <c r="M364" i="2"/>
  <c r="L362" i="2"/>
  <c r="M362" i="2"/>
  <c r="L337" i="2"/>
  <c r="M337" i="2"/>
  <c r="M452" i="2"/>
  <c r="L442" i="2"/>
  <c r="M442" i="2"/>
  <c r="L406" i="2"/>
  <c r="M406" i="2"/>
  <c r="L374" i="2"/>
  <c r="M374" i="2"/>
  <c r="L342" i="2"/>
  <c r="M342" i="2"/>
  <c r="L313" i="2"/>
  <c r="M313" i="2"/>
  <c r="M431" i="2"/>
  <c r="M423" i="2"/>
  <c r="M415" i="2"/>
  <c r="M407" i="2"/>
  <c r="M399" i="2"/>
  <c r="M391" i="2"/>
  <c r="M383" i="2"/>
  <c r="M375" i="2"/>
  <c r="M367" i="2"/>
  <c r="M359" i="2"/>
  <c r="M351" i="2"/>
  <c r="M343" i="2"/>
  <c r="M335" i="2"/>
  <c r="M329" i="2"/>
  <c r="L323" i="2"/>
  <c r="M323" i="2"/>
  <c r="L317" i="2"/>
  <c r="M317" i="2"/>
  <c r="L312" i="2"/>
  <c r="M312" i="2"/>
  <c r="L330" i="2"/>
  <c r="M330" i="2"/>
  <c r="M321" i="2"/>
  <c r="L319" i="2"/>
  <c r="M319" i="2"/>
  <c r="M427" i="2"/>
  <c r="M419" i="2"/>
  <c r="M411" i="2"/>
  <c r="M403" i="2"/>
  <c r="M395" i="2"/>
  <c r="M387" i="2"/>
  <c r="M379" i="2"/>
  <c r="M371" i="2"/>
  <c r="M363" i="2"/>
  <c r="M355" i="2"/>
  <c r="M347" i="2"/>
  <c r="M339" i="2"/>
  <c r="M331" i="2"/>
  <c r="M320" i="2"/>
  <c r="M445" i="2"/>
  <c r="M437" i="2"/>
  <c r="M429" i="2"/>
  <c r="M421" i="2"/>
  <c r="M413" i="2"/>
  <c r="M405" i="2"/>
  <c r="M397" i="2"/>
  <c r="M389" i="2"/>
  <c r="M381" i="2"/>
  <c r="M373" i="2"/>
  <c r="M365" i="2"/>
  <c r="M357" i="2"/>
  <c r="M349" i="2"/>
  <c r="M341" i="2"/>
  <c r="M333" i="2"/>
  <c r="L302" i="2"/>
  <c r="M302" i="2"/>
  <c r="L285" i="2"/>
  <c r="M285" i="2"/>
  <c r="L279" i="2"/>
  <c r="M279" i="2"/>
  <c r="L253" i="2"/>
  <c r="M253" i="2"/>
  <c r="L247" i="2"/>
  <c r="M247" i="2"/>
  <c r="L221" i="2"/>
  <c r="M221" i="2"/>
  <c r="L215" i="2"/>
  <c r="M215" i="2"/>
  <c r="L192" i="2"/>
  <c r="M192" i="2"/>
  <c r="L186" i="2"/>
  <c r="M186" i="2"/>
  <c r="L299" i="2"/>
  <c r="M299" i="2"/>
  <c r="L296" i="2"/>
  <c r="M296" i="2"/>
  <c r="L273" i="2"/>
  <c r="M273" i="2"/>
  <c r="L267" i="2"/>
  <c r="M267" i="2"/>
  <c r="L264" i="2"/>
  <c r="M264" i="2"/>
  <c r="L241" i="2"/>
  <c r="M241" i="2"/>
  <c r="L235" i="2"/>
  <c r="M235" i="2"/>
  <c r="L232" i="2"/>
  <c r="M232" i="2"/>
  <c r="L209" i="2"/>
  <c r="M209" i="2"/>
  <c r="L203" i="2"/>
  <c r="M203" i="2"/>
  <c r="L200" i="2"/>
  <c r="M200" i="2"/>
  <c r="L310" i="2"/>
  <c r="M310" i="2"/>
  <c r="L304" i="2"/>
  <c r="M304" i="2"/>
  <c r="L293" i="2"/>
  <c r="M293" i="2"/>
  <c r="L287" i="2"/>
  <c r="M287" i="2"/>
  <c r="L261" i="2"/>
  <c r="M261" i="2"/>
  <c r="L255" i="2"/>
  <c r="M255" i="2"/>
  <c r="L229" i="2"/>
  <c r="M229" i="2"/>
  <c r="L223" i="2"/>
  <c r="M223" i="2"/>
  <c r="L197" i="2"/>
  <c r="M197" i="2"/>
  <c r="M322" i="2"/>
  <c r="L318" i="2"/>
  <c r="M318" i="2"/>
  <c r="M315" i="2"/>
  <c r="L281" i="2"/>
  <c r="M281" i="2"/>
  <c r="L275" i="2"/>
  <c r="M275" i="2"/>
  <c r="L272" i="2"/>
  <c r="M272" i="2"/>
  <c r="L249" i="2"/>
  <c r="M249" i="2"/>
  <c r="L243" i="2"/>
  <c r="M243" i="2"/>
  <c r="L240" i="2"/>
  <c r="M240" i="2"/>
  <c r="L217" i="2"/>
  <c r="M217" i="2"/>
  <c r="L211" i="2"/>
  <c r="M211" i="2"/>
  <c r="L208" i="2"/>
  <c r="M208" i="2"/>
  <c r="L194" i="2"/>
  <c r="M194" i="2"/>
  <c r="L301" i="2"/>
  <c r="M301" i="2"/>
  <c r="L295" i="2"/>
  <c r="M295" i="2"/>
  <c r="L269" i="2"/>
  <c r="M269" i="2"/>
  <c r="L263" i="2"/>
  <c r="M263" i="2"/>
  <c r="L237" i="2"/>
  <c r="M237" i="2"/>
  <c r="L231" i="2"/>
  <c r="M231" i="2"/>
  <c r="L205" i="2"/>
  <c r="M205" i="2"/>
  <c r="L199" i="2"/>
  <c r="M199" i="2"/>
  <c r="L191" i="2"/>
  <c r="M191" i="2"/>
  <c r="M303" i="2"/>
  <c r="L289" i="2"/>
  <c r="M289" i="2"/>
  <c r="L283" i="2"/>
  <c r="M283" i="2"/>
  <c r="L280" i="2"/>
  <c r="M280" i="2"/>
  <c r="L257" i="2"/>
  <c r="M257" i="2"/>
  <c r="L251" i="2"/>
  <c r="M251" i="2"/>
  <c r="L248" i="2"/>
  <c r="M248" i="2"/>
  <c r="L225" i="2"/>
  <c r="M225" i="2"/>
  <c r="L219" i="2"/>
  <c r="M219" i="2"/>
  <c r="L216" i="2"/>
  <c r="M216" i="2"/>
  <c r="M193" i="2"/>
  <c r="L193" i="2"/>
  <c r="L316" i="2"/>
  <c r="M316" i="2"/>
  <c r="L277" i="2"/>
  <c r="M277" i="2"/>
  <c r="L271" i="2"/>
  <c r="M271" i="2"/>
  <c r="L245" i="2"/>
  <c r="M245" i="2"/>
  <c r="L239" i="2"/>
  <c r="M239" i="2"/>
  <c r="L213" i="2"/>
  <c r="M213" i="2"/>
  <c r="L207" i="2"/>
  <c r="M207" i="2"/>
  <c r="L309" i="2"/>
  <c r="M309" i="2"/>
  <c r="L305" i="2"/>
  <c r="M305" i="2"/>
  <c r="L297" i="2"/>
  <c r="M297" i="2"/>
  <c r="L291" i="2"/>
  <c r="M291" i="2"/>
  <c r="L288" i="2"/>
  <c r="M288" i="2"/>
  <c r="L265" i="2"/>
  <c r="M265" i="2"/>
  <c r="L259" i="2"/>
  <c r="M259" i="2"/>
  <c r="L256" i="2"/>
  <c r="M256" i="2"/>
  <c r="L233" i="2"/>
  <c r="M233" i="2"/>
  <c r="L227" i="2"/>
  <c r="M227" i="2"/>
  <c r="L224" i="2"/>
  <c r="M224" i="2"/>
  <c r="L201" i="2"/>
  <c r="M201" i="2"/>
  <c r="L168" i="2"/>
  <c r="M168" i="2"/>
  <c r="L162" i="2"/>
  <c r="M162" i="2"/>
  <c r="L157" i="2"/>
  <c r="M157" i="2"/>
  <c r="L152" i="2"/>
  <c r="M152" i="2"/>
  <c r="L178" i="2"/>
  <c r="M178" i="2"/>
  <c r="L173" i="2"/>
  <c r="M173" i="2"/>
  <c r="L159" i="2"/>
  <c r="M159" i="2"/>
  <c r="M195" i="2"/>
  <c r="L182" i="2"/>
  <c r="L180" i="2"/>
  <c r="M175" i="2"/>
  <c r="L170" i="2"/>
  <c r="M170" i="2"/>
  <c r="M156" i="2"/>
  <c r="L156" i="2"/>
  <c r="M298" i="2"/>
  <c r="M290" i="2"/>
  <c r="M282" i="2"/>
  <c r="M274" i="2"/>
  <c r="M266" i="2"/>
  <c r="M258" i="2"/>
  <c r="M250" i="2"/>
  <c r="M242" i="2"/>
  <c r="M234" i="2"/>
  <c r="M226" i="2"/>
  <c r="M218" i="2"/>
  <c r="M210" i="2"/>
  <c r="M202" i="2"/>
  <c r="L184" i="2"/>
  <c r="M184" i="2"/>
  <c r="L167" i="2"/>
  <c r="M167" i="2"/>
  <c r="L164" i="2"/>
  <c r="M164" i="2"/>
  <c r="L149" i="2"/>
  <c r="M149" i="2"/>
  <c r="L172" i="2"/>
  <c r="M172" i="2"/>
  <c r="M308" i="2"/>
  <c r="M300" i="2"/>
  <c r="M292" i="2"/>
  <c r="M284" i="2"/>
  <c r="M276" i="2"/>
  <c r="M268" i="2"/>
  <c r="M260" i="2"/>
  <c r="M252" i="2"/>
  <c r="M244" i="2"/>
  <c r="M236" i="2"/>
  <c r="M228" i="2"/>
  <c r="M220" i="2"/>
  <c r="M212" i="2"/>
  <c r="M204" i="2"/>
  <c r="L179" i="2"/>
  <c r="M179" i="2"/>
  <c r="L174" i="2"/>
  <c r="L166" i="2"/>
  <c r="M166" i="2"/>
  <c r="L155" i="2"/>
  <c r="M155" i="2"/>
  <c r="M148" i="2"/>
  <c r="L148" i="2"/>
  <c r="M188" i="2"/>
  <c r="L160" i="2"/>
  <c r="M160" i="2"/>
  <c r="L139" i="2"/>
  <c r="M139" i="2"/>
  <c r="M294" i="2"/>
  <c r="M286" i="2"/>
  <c r="M278" i="2"/>
  <c r="M270" i="2"/>
  <c r="M262" i="2"/>
  <c r="M254" i="2"/>
  <c r="M246" i="2"/>
  <c r="M238" i="2"/>
  <c r="M230" i="2"/>
  <c r="M222" i="2"/>
  <c r="M214" i="2"/>
  <c r="M206" i="2"/>
  <c r="M198" i="2"/>
  <c r="L176" i="2"/>
  <c r="M176" i="2"/>
  <c r="L147" i="2"/>
  <c r="M147" i="2"/>
  <c r="L177" i="2"/>
  <c r="L169" i="2"/>
  <c r="L161" i="2"/>
  <c r="L143" i="2"/>
  <c r="L132" i="2"/>
  <c r="M132" i="2"/>
  <c r="M127" i="2"/>
  <c r="L127" i="2"/>
  <c r="L125" i="2"/>
  <c r="M125" i="2"/>
  <c r="M171" i="2"/>
  <c r="M163" i="2"/>
  <c r="L136" i="2"/>
  <c r="M136" i="2"/>
  <c r="L122" i="2"/>
  <c r="M122" i="2"/>
  <c r="L115" i="2"/>
  <c r="M115" i="2"/>
  <c r="M103" i="2"/>
  <c r="L103" i="2"/>
  <c r="L101" i="2"/>
  <c r="M101" i="2"/>
  <c r="L98" i="2"/>
  <c r="M98" i="2"/>
  <c r="M165" i="2"/>
  <c r="M158" i="2"/>
  <c r="M153" i="2"/>
  <c r="M142" i="2"/>
  <c r="L131" i="2"/>
  <c r="M131" i="2"/>
  <c r="M119" i="2"/>
  <c r="L119" i="2"/>
  <c r="L117" i="2"/>
  <c r="M117" i="2"/>
  <c r="L145" i="2"/>
  <c r="M135" i="2"/>
  <c r="L135" i="2"/>
  <c r="L133" i="2"/>
  <c r="L114" i="2"/>
  <c r="M114" i="2"/>
  <c r="L107" i="2"/>
  <c r="M107" i="2"/>
  <c r="M95" i="2"/>
  <c r="L95" i="2"/>
  <c r="L93" i="2"/>
  <c r="M93" i="2"/>
  <c r="M150" i="2"/>
  <c r="M146" i="2"/>
  <c r="L130" i="2"/>
  <c r="M130" i="2"/>
  <c r="L123" i="2"/>
  <c r="M123" i="2"/>
  <c r="M111" i="2"/>
  <c r="L111" i="2"/>
  <c r="L109" i="2"/>
  <c r="M109" i="2"/>
  <c r="L106" i="2"/>
  <c r="M106" i="2"/>
  <c r="L99" i="2"/>
  <c r="M99" i="2"/>
  <c r="M128" i="2"/>
  <c r="M120" i="2"/>
  <c r="M112" i="2"/>
  <c r="M104" i="2"/>
  <c r="M96" i="2"/>
  <c r="M85" i="2"/>
  <c r="L76" i="2"/>
  <c r="M76" i="2"/>
  <c r="L73" i="2"/>
  <c r="M73" i="2"/>
  <c r="L67" i="2"/>
  <c r="M67" i="2"/>
  <c r="M83" i="2"/>
  <c r="M81" i="2"/>
  <c r="L45" i="2"/>
  <c r="M45" i="2"/>
  <c r="L69" i="2"/>
  <c r="M69" i="2"/>
  <c r="M92" i="2"/>
  <c r="L75" i="2"/>
  <c r="M75" i="2"/>
  <c r="L29" i="2"/>
  <c r="M29" i="2"/>
  <c r="M124" i="2"/>
  <c r="M116" i="2"/>
  <c r="M108" i="2"/>
  <c r="M100" i="2"/>
  <c r="M89" i="2"/>
  <c r="M86" i="2"/>
  <c r="L80" i="2"/>
  <c r="M80" i="2"/>
  <c r="L53" i="2"/>
  <c r="M53" i="2"/>
  <c r="L84" i="2"/>
  <c r="M84" i="2"/>
  <c r="M82" i="2"/>
  <c r="L77" i="2"/>
  <c r="M77" i="2"/>
  <c r="L74" i="2"/>
  <c r="M74" i="2"/>
  <c r="L65" i="2"/>
  <c r="M65" i="2"/>
  <c r="L37" i="2"/>
  <c r="M37" i="2"/>
  <c r="M90" i="2"/>
  <c r="L79" i="2"/>
  <c r="M79" i="2"/>
  <c r="L61" i="2"/>
  <c r="M61" i="2"/>
  <c r="M21" i="2"/>
  <c r="M13" i="2"/>
  <c r="L66" i="2"/>
  <c r="M66" i="2"/>
  <c r="L58" i="2"/>
  <c r="M58" i="2"/>
  <c r="L50" i="2"/>
  <c r="M50" i="2"/>
  <c r="L42" i="2"/>
  <c r="M42" i="2"/>
  <c r="L34" i="2"/>
  <c r="M34" i="2"/>
  <c r="M26" i="2"/>
  <c r="M18" i="2"/>
  <c r="M10" i="2"/>
  <c r="L71" i="2"/>
  <c r="M71" i="2"/>
  <c r="L63" i="2"/>
  <c r="M63" i="2"/>
  <c r="L55" i="2"/>
  <c r="M55" i="2"/>
  <c r="L47" i="2"/>
  <c r="M47" i="2"/>
  <c r="L39" i="2"/>
  <c r="M39" i="2"/>
  <c r="L31" i="2"/>
  <c r="M31" i="2"/>
  <c r="M23" i="2"/>
  <c r="M15" i="2"/>
  <c r="L68" i="2"/>
  <c r="M68" i="2"/>
  <c r="L60" i="2"/>
  <c r="M60" i="2"/>
  <c r="L52" i="2"/>
  <c r="M52" i="2"/>
  <c r="L44" i="2"/>
  <c r="M44" i="2"/>
  <c r="L36" i="2"/>
  <c r="M36" i="2"/>
  <c r="L28" i="2"/>
  <c r="M28" i="2"/>
  <c r="M20" i="2"/>
  <c r="M12" i="2"/>
  <c r="L57" i="2"/>
  <c r="M57" i="2"/>
  <c r="L49" i="2"/>
  <c r="M49" i="2"/>
  <c r="L41" i="2"/>
  <c r="M41" i="2"/>
  <c r="L33" i="2"/>
  <c r="M33" i="2"/>
  <c r="M25" i="2"/>
  <c r="M17" i="2"/>
  <c r="M9" i="2"/>
  <c r="L78" i="2"/>
  <c r="M78" i="2"/>
  <c r="L70" i="2"/>
  <c r="M70" i="2"/>
  <c r="L62" i="2"/>
  <c r="M62" i="2"/>
  <c r="L54" i="2"/>
  <c r="M54" i="2"/>
  <c r="L46" i="2"/>
  <c r="M46" i="2"/>
  <c r="L38" i="2"/>
  <c r="M38" i="2"/>
  <c r="L30" i="2"/>
  <c r="M30" i="2"/>
  <c r="M22" i="2"/>
  <c r="M14" i="2"/>
  <c r="L59" i="2"/>
  <c r="M59" i="2"/>
  <c r="L51" i="2"/>
  <c r="M51" i="2"/>
  <c r="L43" i="2"/>
  <c r="M43" i="2"/>
  <c r="L35" i="2"/>
  <c r="M35" i="2"/>
  <c r="L27" i="2"/>
  <c r="M27" i="2"/>
  <c r="M19" i="2"/>
  <c r="M11" i="2"/>
  <c r="L72" i="2"/>
  <c r="M72" i="2"/>
  <c r="L64" i="2"/>
  <c r="M64" i="2"/>
  <c r="L56" i="2"/>
  <c r="M56" i="2"/>
  <c r="L48" i="2"/>
  <c r="M48" i="2"/>
  <c r="L40" i="2"/>
  <c r="M40" i="2"/>
  <c r="L32" i="2"/>
  <c r="M32" i="2"/>
  <c r="M24" i="2"/>
  <c r="M16" i="2"/>
  <c r="M8" i="2"/>
  <c r="M4" i="2"/>
  <c r="M5" i="2"/>
  <c r="M2" i="2"/>
  <c r="M6" i="2"/>
  <c r="M3" i="2"/>
  <c r="M7" i="2"/>
</calcChain>
</file>

<file path=xl/sharedStrings.xml><?xml version="1.0" encoding="utf-8"?>
<sst xmlns="http://schemas.openxmlformats.org/spreadsheetml/2006/main" count="2734" uniqueCount="599">
  <si>
    <t>STRATEGY RULES</t>
  </si>
  <si>
    <t xml:space="preserve">  Strategy</t>
  </si>
  <si>
    <t>Index</t>
  </si>
  <si>
    <t>NIFTY</t>
  </si>
  <si>
    <t>Backtest Date Range</t>
  </si>
  <si>
    <t>2019-02-01 → 2026-06-30</t>
  </si>
  <si>
    <t>Expiry</t>
  </si>
  <si>
    <t>Weekly</t>
  </si>
  <si>
    <t>Entry / Exit DTE</t>
  </si>
  <si>
    <t>T-1 to T-1</t>
  </si>
  <si>
    <t>Square-off Mode</t>
  </si>
  <si>
    <t>partial</t>
  </si>
  <si>
    <t>Rollover</t>
  </si>
  <si>
    <t>Yes (min 0 days to expiry)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</si>
  <si>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</si>
  <si>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</si>
  <si>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</si>
  <si>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</si>
  <si>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</si>
  <si>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</si>
  <si>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</si>
  <si>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 2.1 Bull With MFI_Ex TROC_Ex 1st Month</t>
  </si>
  <si>
    <t xml:space="preserve">  Leg 1 — CE Sell (Options)</t>
  </si>
  <si>
    <t>Position</t>
  </si>
  <si>
    <t>Sell</t>
  </si>
  <si>
    <t>Lots</t>
  </si>
  <si>
    <t>1</t>
  </si>
  <si>
    <t>Option Type</t>
  </si>
  <si>
    <t>CE</t>
  </si>
  <si>
    <t>Strike Selection</t>
  </si>
  <si>
    <t>ATM</t>
  </si>
  <si>
    <t>Strike Gap</t>
  </si>
  <si>
    <t>100</t>
  </si>
  <si>
    <t>Rollover Strike Mode</t>
  </si>
  <si>
    <t>Fresh</t>
  </si>
  <si>
    <t>Yes (Rise 1%)</t>
  </si>
  <si>
    <t>Slippage</t>
  </si>
  <si>
    <t xml:space="preserve">  Leg 2 — PE Buy (Options)</t>
  </si>
  <si>
    <t>Buy</t>
  </si>
  <si>
    <t>Monthly</t>
  </si>
  <si>
    <t>PE</t>
  </si>
  <si>
    <t>500</t>
  </si>
  <si>
    <t>Fixed</t>
  </si>
  <si>
    <t xml:space="preserve">  Leg 3 — NIFTYMIDCAP100 Buy (Midcap Overlay)</t>
  </si>
  <si>
    <t>Pricing Mode</t>
  </si>
  <si>
    <t>Hypothetical Future</t>
  </si>
  <si>
    <t>Cost % / month</t>
  </si>
  <si>
    <t>0.5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</si>
  <si>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</si>
  <si>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</si>
  <si>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</si>
  <si>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</si>
  <si>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</si>
  <si>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</si>
  <si>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</si>
  <si>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</si>
  <si>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</si>
  <si>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</si>
  <si>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</si>
  <si>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</si>
  <si>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</si>
  <si>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</si>
  <si>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</si>
  <si>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</si>
  <si>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CE P&amp;L</t>
  </si>
  <si>
    <t>CE P&amp;L %</t>
  </si>
  <si>
    <t>PE P&amp;L</t>
  </si>
  <si>
    <t>PE P&amp;L %</t>
  </si>
  <si>
    <t>Midcap Entry Spot</t>
  </si>
  <si>
    <t>Midcap Exit Spot</t>
  </si>
  <si>
    <t>Midcap Spot P&amp;L</t>
  </si>
  <si>
    <t>Midcap Spot P&amp;L %</t>
  </si>
  <si>
    <t>Midcap No Of Days</t>
  </si>
  <si>
    <t>Midcap Rollover Cost %</t>
  </si>
  <si>
    <t>Midcap Hypo P&amp;L</t>
  </si>
  <si>
    <t>Midcap Hypo P&amp;L %</t>
  </si>
  <si>
    <t>Midcap MAE</t>
  </si>
  <si>
    <t>Midcap MFE</t>
  </si>
  <si>
    <t>Combined Net P&amp;L</t>
  </si>
  <si>
    <t>Combined Net P&amp;L %</t>
  </si>
  <si>
    <t>Combined Cumulative</t>
  </si>
  <si>
    <t>Combined Peak</t>
  </si>
  <si>
    <t>Combined DD</t>
  </si>
  <si>
    <t>Combined %DD</t>
  </si>
  <si>
    <t>Combined Net MAE 1</t>
  </si>
  <si>
    <t>Combined Net MAE 2</t>
  </si>
  <si>
    <t>Combined Final MAE</t>
  </si>
  <si>
    <t>Combined Lowest NAV</t>
  </si>
  <si>
    <t>Combined Actual Live DD</t>
  </si>
  <si>
    <t>Exit Reason</t>
  </si>
  <si>
    <t>SELL</t>
  </si>
  <si>
    <t>SCHEDULED_EXIT</t>
  </si>
  <si>
    <t>BUY</t>
  </si>
  <si>
    <t>SCHEDULED_EXIT+SPOT_ADJ_RISE (Leg 1 CE Weekly) + SPOT_ADJ_RISE (Leg 2 PE Monthly)</t>
  </si>
  <si>
    <t>FILTER_END</t>
  </si>
  <si>
    <t>SPOT_ADJ_RISE (Leg 1 CE Weekly)</t>
  </si>
  <si>
    <t>SPOT_ADJ_RISE (Leg 2 PE Monthly)</t>
  </si>
  <si>
    <t>SPOT_ADJ_RISE (Leg 1 CE Weekly) + SPOT_ADJ_RISE (Leg 2 PE Monthly)</t>
  </si>
  <si>
    <t>SCHEDULED_EXIT+SPOT_ADJ_RISE (Leg 1 CE Weekly)</t>
  </si>
  <si>
    <t>SCHEDULED_EXIT+SPOT_ADJ_RISE (Leg 2 PE Monthly)</t>
  </si>
  <si>
    <t xml:space="preserve">  BACKTEST SUMMARY REPORT</t>
  </si>
  <si>
    <t>NIFTY_SELL_CE_ATM_WEEKLY_BUY_MIDCAP100_Hypothetical_Future_BUY_PE_ATM_MONTHLY_T1_T1   ·   2019-02-01 → 2026-06-30   ·   Generated: 29 Jul 2026</t>
  </si>
  <si>
    <t xml:space="preserve">  PERFORMANCE OVERVIEW</t>
  </si>
  <si>
    <t>Overall Profit</t>
  </si>
  <si>
    <t>+45.82%</t>
  </si>
  <si>
    <t>No. of Trades</t>
  </si>
  <si>
    <t>Win %</t>
  </si>
  <si>
    <t>55.87%</t>
  </si>
  <si>
    <t>Loss %</t>
  </si>
  <si>
    <t>44.13%</t>
  </si>
  <si>
    <t>Avg Profit on Winners</t>
  </si>
  <si>
    <t>0.94%</t>
  </si>
  <si>
    <t>Avg Loss on Losers</t>
  </si>
  <si>
    <t>-0.82%</t>
  </si>
  <si>
    <t>Avg Profit per Trade</t>
  </si>
  <si>
    <t>+65.42</t>
  </si>
  <si>
    <t>Expectancy Ratio</t>
  </si>
  <si>
    <t>0.1983</t>
  </si>
  <si>
    <t>Net P/L Avg %</t>
  </si>
  <si>
    <t>+0.1631%</t>
  </si>
  <si>
    <t>Max Profit (Single Trade)</t>
  </si>
  <si>
    <t>₹1,692.50</t>
  </si>
  <si>
    <t>Max Loss (Single Trade)</t>
  </si>
  <si>
    <t>₹-2,824.47</t>
  </si>
  <si>
    <t>CAGR (Options)</t>
  </si>
  <si>
    <t>+0.25%</t>
  </si>
  <si>
    <t>CAGR (Spot)</t>
  </si>
  <si>
    <t>+10.47%</t>
  </si>
  <si>
    <t>Sum</t>
  </si>
  <si>
    <t>%</t>
  </si>
  <si>
    <t>ROI vs Spot</t>
  </si>
  <si>
    <t>4,876.55</t>
  </si>
  <si>
    <t>+24.46%</t>
  </si>
  <si>
    <t>2,295.10</t>
  </si>
  <si>
    <t>+10.73%</t>
  </si>
  <si>
    <t>-1,563.85</t>
  </si>
  <si>
    <t>-8.22%</t>
  </si>
  <si>
    <t>CE + PE P&amp;L</t>
  </si>
  <si>
    <t>731.25</t>
  </si>
  <si>
    <t>+2.51%</t>
  </si>
  <si>
    <t>NIFTYMIDCAP100 Hypothetical Future P&amp;L</t>
  </si>
  <si>
    <t>17,651.47</t>
  </si>
  <si>
    <t>+43.31%</t>
  </si>
  <si>
    <t>CE + PE + NIFTYMIDCAP100 Hypothetical Future P&amp;L</t>
  </si>
  <si>
    <t>18,382.72</t>
  </si>
  <si>
    <t>Net P&amp;L</t>
  </si>
  <si>
    <t xml:space="preserve">  RISK METRICS</t>
  </si>
  <si>
    <t>Max Drawdown</t>
  </si>
  <si>
    <t>-6.95%</t>
  </si>
  <si>
    <t>Max DD Days</t>
  </si>
  <si>
    <t>35</t>
  </si>
  <si>
    <t>Drawdown Period:  2024-02-07  →  2024-03-13</t>
  </si>
  <si>
    <t>Return / MaxDD</t>
  </si>
  <si>
    <t>0.0004</t>
  </si>
  <si>
    <t xml:space="preserve">  CONSISTENCY &amp; STREAKS</t>
  </si>
  <si>
    <t>Max Win Streak</t>
  </si>
  <si>
    <t>9 trades</t>
  </si>
  <si>
    <t>Max Losing Streak</t>
  </si>
  <si>
    <t>5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</si>
  <si>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</si>
  <si>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</si>
  <si>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</si>
  <si>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</si>
  <si>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</si>
  <si>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</si>
  <si>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</si>
  <si>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</si>
  <si>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</si>
  <si>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</si>
  <si>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</si>
  <si>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</si>
  <si>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</si>
  <si>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</si>
  <si>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</si>
  <si>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</si>
  <si>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</si>
  <si>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</si>
  <si>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</si>
  <si>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</si>
  <si>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</si>
  <si>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</si>
  <si>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</si>
  <si>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</si>
  <si>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</si>
  <si>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</si>
  <si>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</si>
  <si>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-7.29%</t>
  </si>
  <si>
    <t>Avg Actual Live DD</t>
  </si>
  <si>
    <t>-1.70%</t>
  </si>
  <si>
    <t>Avg Combined Final MAE</t>
  </si>
  <si>
    <t>-0.43%</t>
  </si>
  <si>
    <t>CAR/MDD (Booked)</t>
  </si>
  <si>
    <t>CAR/MDD Live</t>
  </si>
  <si>
    <t>0.0003</t>
  </si>
  <si>
    <t>+ve Outlier 1</t>
  </si>
  <si>
    <t>+3.00%</t>
  </si>
  <si>
    <t>-ve Outlier 1</t>
  </si>
  <si>
    <t>-4.11%</t>
  </si>
  <si>
    <t>Actual Live DD Without Outlier 1</t>
  </si>
  <si>
    <t>-6.00%</t>
  </si>
  <si>
    <t>Avg Actual Live DD Without Outlier 1</t>
  </si>
  <si>
    <t>-1.65%</t>
  </si>
  <si>
    <t>+ve Outlier 2</t>
  </si>
  <si>
    <t>+5.82%</t>
  </si>
  <si>
    <t>-ve Outlier 2</t>
  </si>
  <si>
    <t>-7.44%</t>
  </si>
  <si>
    <t>Actual Live DD Without Outlier 2</t>
  </si>
  <si>
    <t>Avg Actual Live DD Without Outlier 2</t>
  </si>
  <si>
    <t>+ve Outlier 3</t>
  </si>
  <si>
    <t>+8.62%</t>
  </si>
  <si>
    <t>-ve Outlier 3</t>
  </si>
  <si>
    <t>-10.50%</t>
  </si>
  <si>
    <t>Actual Live DD Without Outlier 3</t>
  </si>
  <si>
    <t>Avg Actual Live DD Without Outlier 3</t>
  </si>
  <si>
    <t>-1.58%</t>
  </si>
  <si>
    <t>CE + PE + NIFTYMIDCAP100 Hypothetical Future P&amp;L % Without Top 1 Outliers</t>
  </si>
  <si>
    <t>+46.93%</t>
  </si>
  <si>
    <t>CE + PE + NIFTYMIDCAP100 Hypothetical Future P&amp;L % Without Top 2 Outliers</t>
  </si>
  <si>
    <t>+47.44%</t>
  </si>
  <si>
    <t>CE + PE + NIFTYMIDCAP100 Hypothetical Future P&amp;L % Without Top 3 Outliers</t>
  </si>
  <si>
    <t>+47.70%</t>
  </si>
  <si>
    <t>Midcap Future</t>
  </si>
  <si>
    <t>Nifty CE + PE</t>
  </si>
  <si>
    <t>Nifty CE + PE + Midcap Future</t>
  </si>
  <si>
    <t>Phase wise Distribution</t>
  </si>
  <si>
    <t>cumm</t>
  </si>
  <si>
    <t>Peak</t>
  </si>
  <si>
    <t>Close</t>
  </si>
  <si>
    <t>Hypo MAE</t>
  </si>
  <si>
    <t>Lowest NAV</t>
  </si>
  <si>
    <t>Live DD</t>
  </si>
  <si>
    <t>Entry</t>
  </si>
  <si>
    <t>Exit</t>
  </si>
  <si>
    <t>CAGR</t>
  </si>
  <si>
    <t>Future P&amp;L %</t>
  </si>
  <si>
    <t>Net P&amp;L %</t>
  </si>
  <si>
    <t>Cumulative</t>
  </si>
  <si>
    <t>DD</t>
  </si>
  <si>
    <t>%DD</t>
  </si>
  <si>
    <t>Actual Live DD</t>
  </si>
  <si>
    <t>29-03-2019</t>
  </si>
  <si>
    <t>03-04-2019</t>
  </si>
  <si>
    <t>10-05-2019</t>
  </si>
  <si>
    <t>10-04-2019</t>
  </si>
  <si>
    <t>30-09-2019</t>
  </si>
  <si>
    <t>28-02-2020</t>
  </si>
  <si>
    <t>16-04-2019</t>
  </si>
  <si>
    <t>29-07-2022</t>
  </si>
  <si>
    <t>23-12-2022</t>
  </si>
  <si>
    <t>24-04-2019</t>
  </si>
  <si>
    <t>28-04-2023</t>
  </si>
  <si>
    <t>28-03-2024</t>
  </si>
  <si>
    <t>30-04-2019</t>
  </si>
  <si>
    <t>30-04-2024</t>
  </si>
  <si>
    <t>31-12-2024</t>
  </si>
  <si>
    <t>08-05-2019</t>
  </si>
  <si>
    <t>28-03-2025</t>
  </si>
  <si>
    <t>20-03-2026</t>
  </si>
  <si>
    <t>30-04-2026</t>
  </si>
  <si>
    <t>29-06-2026</t>
  </si>
  <si>
    <t>01-10-2019</t>
  </si>
  <si>
    <t>09-10-2019</t>
  </si>
  <si>
    <t>15-10-2019</t>
  </si>
  <si>
    <t>16-10-2019</t>
  </si>
  <si>
    <t>17-10-2019</t>
  </si>
  <si>
    <t>18-10-2019</t>
  </si>
  <si>
    <t>23-10-2019</t>
  </si>
  <si>
    <t>29-10-2019</t>
  </si>
  <si>
    <t>30-10-2019</t>
  </si>
  <si>
    <t>06-11-2019</t>
  </si>
  <si>
    <t>13-11-2019</t>
  </si>
  <si>
    <t>20-11-2019</t>
  </si>
  <si>
    <t>27-11-2019</t>
  </si>
  <si>
    <t>04-12-2019</t>
  </si>
  <si>
    <t>11-12-2019</t>
  </si>
  <si>
    <t>13-12-2019</t>
  </si>
  <si>
    <t>18-12-2019</t>
  </si>
  <si>
    <t>19-12-2019</t>
  </si>
  <si>
    <t>24-12-2019</t>
  </si>
  <si>
    <t>01-01-2020</t>
  </si>
  <si>
    <t>08-01-2020</t>
  </si>
  <si>
    <t>09-01-2020</t>
  </si>
  <si>
    <t>14-01-2020</t>
  </si>
  <si>
    <t>15-01-2020</t>
  </si>
  <si>
    <t>22-01-2020</t>
  </si>
  <si>
    <t>24-01-2020</t>
  </si>
  <si>
    <t>29-01-2020</t>
  </si>
  <si>
    <t>05-02-2020</t>
  </si>
  <si>
    <t>12-02-2020</t>
  </si>
  <si>
    <t>19-02-2020</t>
  </si>
  <si>
    <t>26-02-2020</t>
  </si>
  <si>
    <t>01-08-2022</t>
  </si>
  <si>
    <t>03-08-2022</t>
  </si>
  <si>
    <t>08-08-2022</t>
  </si>
  <si>
    <t>10-08-2022</t>
  </si>
  <si>
    <t>16-08-2022</t>
  </si>
  <si>
    <t>17-08-2022</t>
  </si>
  <si>
    <t>24-08-2022</t>
  </si>
  <si>
    <t>30-08-2022</t>
  </si>
  <si>
    <t>07-09-2022</t>
  </si>
  <si>
    <t>08-09-2022</t>
  </si>
  <si>
    <t>13-09-2022</t>
  </si>
  <si>
    <t>14-09-2022</t>
  </si>
  <si>
    <t>21-09-2022</t>
  </si>
  <si>
    <t>28-09-2022</t>
  </si>
  <si>
    <t>30-09-2022</t>
  </si>
  <si>
    <t>04-10-2022</t>
  </si>
  <si>
    <t>12-10-2022</t>
  </si>
  <si>
    <t>17-10-2022</t>
  </si>
  <si>
    <t>18-10-2022</t>
  </si>
  <si>
    <t>19-10-2022</t>
  </si>
  <si>
    <t>24-10-2022</t>
  </si>
  <si>
    <t>25-10-2022</t>
  </si>
  <si>
    <t>31-10-2022</t>
  </si>
  <si>
    <t>02-11-2022</t>
  </si>
  <si>
    <t>07-11-2022</t>
  </si>
  <si>
    <t>09-11-2022</t>
  </si>
  <si>
    <t>11-11-2022</t>
  </si>
  <si>
    <t>15-11-2022</t>
  </si>
  <si>
    <t>16-11-2022</t>
  </si>
  <si>
    <t>23-11-2022</t>
  </si>
  <si>
    <t>24-11-2022</t>
  </si>
  <si>
    <t>30-11-2022</t>
  </si>
  <si>
    <t>07-12-2022</t>
  </si>
  <si>
    <t>14-12-2022</t>
  </si>
  <si>
    <t>21-12-2022</t>
  </si>
  <si>
    <t>03-05-2023</t>
  </si>
  <si>
    <t>04-05-2023</t>
  </si>
  <si>
    <t>10-05-2023</t>
  </si>
  <si>
    <t>17-05-2023</t>
  </si>
  <si>
    <t>24-05-2023</t>
  </si>
  <si>
    <t>26-05-2023</t>
  </si>
  <si>
    <t>31-05-2023</t>
  </si>
  <si>
    <t>07-06-2023</t>
  </si>
  <si>
    <t>14-06-2023</t>
  </si>
  <si>
    <t>21-06-2023</t>
  </si>
  <si>
    <t>27-06-2023</t>
  </si>
  <si>
    <t>30-06-2023</t>
  </si>
  <si>
    <t>04-07-2023</t>
  </si>
  <si>
    <t>05-07-2023</t>
  </si>
  <si>
    <t>12-07-2023</t>
  </si>
  <si>
    <t>17-07-2023</t>
  </si>
  <si>
    <t>19-07-2023</t>
  </si>
  <si>
    <t>20-07-2023</t>
  </si>
  <si>
    <t>26-07-2023</t>
  </si>
  <si>
    <t>02-08-2023</t>
  </si>
  <si>
    <t>09-08-2023</t>
  </si>
  <si>
    <t>16-08-2023</t>
  </si>
  <si>
    <t>23-08-2023</t>
  </si>
  <si>
    <t>30-08-2023</t>
  </si>
  <si>
    <t>05-09-2023</t>
  </si>
  <si>
    <t>06-09-2023</t>
  </si>
  <si>
    <t>08-09-2023</t>
  </si>
  <si>
    <t>13-09-2023</t>
  </si>
  <si>
    <t>20-09-2023</t>
  </si>
  <si>
    <t>27-09-2023</t>
  </si>
  <si>
    <t>04-10-2023</t>
  </si>
  <si>
    <t>06-10-2023</t>
  </si>
  <si>
    <t>11-10-2023</t>
  </si>
  <si>
    <t>18-10-2023</t>
  </si>
  <si>
    <t>25-10-2023</t>
  </si>
  <si>
    <t>01-11-2023</t>
  </si>
  <si>
    <t>03-11-2023</t>
  </si>
  <si>
    <t>06-11-2023</t>
  </si>
  <si>
    <t>08-11-2023</t>
  </si>
  <si>
    <t>15-11-2023</t>
  </si>
  <si>
    <t>22-11-2023</t>
  </si>
  <si>
    <t>28-11-2023</t>
  </si>
  <si>
    <t>29-11-2023</t>
  </si>
  <si>
    <t>04-12-2023</t>
  </si>
  <si>
    <t>06-12-2023</t>
  </si>
  <si>
    <t>13-12-2023</t>
  </si>
  <si>
    <t>14-12-2023</t>
  </si>
  <si>
    <t>15-12-2023</t>
  </si>
  <si>
    <t>20-12-2023</t>
  </si>
  <si>
    <t>26-12-2023</t>
  </si>
  <si>
    <t>27-12-2023</t>
  </si>
  <si>
    <t>03-01-2024</t>
  </si>
  <si>
    <t>10-01-2024</t>
  </si>
  <si>
    <t>12-01-2024</t>
  </si>
  <si>
    <t>17-01-2024</t>
  </si>
  <si>
    <t>24-01-2024</t>
  </si>
  <si>
    <t>29-01-2024</t>
  </si>
  <si>
    <t>31-01-2024</t>
  </si>
  <si>
    <t>07-02-2024</t>
  </si>
  <si>
    <t>14-02-2024</t>
  </si>
  <si>
    <t>16-02-2024</t>
  </si>
  <si>
    <t>21-02-2024</t>
  </si>
  <si>
    <t>28-02-2024</t>
  </si>
  <si>
    <t>01-03-2024</t>
  </si>
  <si>
    <t>06-03-2024</t>
  </si>
  <si>
    <t>13-03-2024</t>
  </si>
  <si>
    <t>20-03-2024</t>
  </si>
  <si>
    <t>22-03-2024</t>
  </si>
  <si>
    <t>27-03-2024</t>
  </si>
  <si>
    <t>08-05-2024</t>
  </si>
  <si>
    <t>15-05-2024</t>
  </si>
  <si>
    <t>17-05-2024</t>
  </si>
  <si>
    <t>22-05-2024</t>
  </si>
  <si>
    <t>23-05-2024</t>
  </si>
  <si>
    <t>29-05-2024</t>
  </si>
  <si>
    <t>03-06-2024</t>
  </si>
  <si>
    <t>05-06-2024</t>
  </si>
  <si>
    <t>07-06-2024</t>
  </si>
  <si>
    <t>12-06-2024</t>
  </si>
  <si>
    <t>18-06-2024</t>
  </si>
  <si>
    <t>19-06-2024</t>
  </si>
  <si>
    <t>26-06-2024</t>
  </si>
  <si>
    <t>01-07-2024</t>
  </si>
  <si>
    <t>03-07-2024</t>
  </si>
  <si>
    <t>09-07-2024</t>
  </si>
  <si>
    <t>10-07-2024</t>
  </si>
  <si>
    <t>15-07-2024</t>
  </si>
  <si>
    <t>16-07-2024</t>
  </si>
  <si>
    <t>18-07-2024</t>
  </si>
  <si>
    <t>24-07-2024</t>
  </si>
  <si>
    <t>26-07-2024</t>
  </si>
  <si>
    <t>31-07-2024</t>
  </si>
  <si>
    <t>07-08-2024</t>
  </si>
  <si>
    <t>13-08-2024</t>
  </si>
  <si>
    <t>16-08-2024</t>
  </si>
  <si>
    <t>21-08-2024</t>
  </si>
  <si>
    <t>28-08-2024</t>
  </si>
  <si>
    <t>04-09-2024</t>
  </si>
  <si>
    <t>11-09-2024</t>
  </si>
  <si>
    <t>12-09-2024</t>
  </si>
  <si>
    <t>18-09-2024</t>
  </si>
  <si>
    <t>20-09-2024</t>
  </si>
  <si>
    <t>25-09-2024</t>
  </si>
  <si>
    <t>01-10-2024</t>
  </si>
  <si>
    <t>09-10-2024</t>
  </si>
  <si>
    <t>16-10-2024</t>
  </si>
  <si>
    <t>23-10-2024</t>
  </si>
  <si>
    <t>30-10-2024</t>
  </si>
  <si>
    <t>06-11-2024</t>
  </si>
  <si>
    <t>13-11-2024</t>
  </si>
  <si>
    <t>19-11-2024</t>
  </si>
  <si>
    <t>22-11-2024</t>
  </si>
  <si>
    <t>25-11-2024</t>
  </si>
  <si>
    <t>27-11-2024</t>
  </si>
  <si>
    <t>04-12-2024</t>
  </si>
  <si>
    <t>05-12-2024</t>
  </si>
  <si>
    <t>11-12-2024</t>
  </si>
  <si>
    <t>18-12-2024</t>
  </si>
  <si>
    <t>24-12-2024</t>
  </si>
  <si>
    <t>02-04-2025</t>
  </si>
  <si>
    <t>08-04-2025</t>
  </si>
  <si>
    <t>11-04-2025</t>
  </si>
  <si>
    <t>15-04-2025</t>
  </si>
  <si>
    <t>16-04-2025</t>
  </si>
  <si>
    <t>17-04-2025</t>
  </si>
  <si>
    <t>21-04-2025</t>
  </si>
  <si>
    <t>23-04-2025</t>
  </si>
  <si>
    <t>29-04-2025</t>
  </si>
  <si>
    <t>07-05-2025</t>
  </si>
  <si>
    <t>12-05-2025</t>
  </si>
  <si>
    <t>14-05-2025</t>
  </si>
  <si>
    <t>15-05-2025</t>
  </si>
  <si>
    <t>21-05-2025</t>
  </si>
  <si>
    <t>28-05-2025</t>
  </si>
  <si>
    <t>04-06-2025</t>
  </si>
  <si>
    <t>06-06-2025</t>
  </si>
  <si>
    <t>11-06-2025</t>
  </si>
  <si>
    <t>18-06-2025</t>
  </si>
  <si>
    <t>20-06-2025</t>
  </si>
  <si>
    <t>25-06-2025</t>
  </si>
  <si>
    <t>26-06-2025</t>
  </si>
  <si>
    <t>02-07-2025</t>
  </si>
  <si>
    <t>09-07-2025</t>
  </si>
  <si>
    <t>16-07-2025</t>
  </si>
  <si>
    <t>23-07-2025</t>
  </si>
  <si>
    <t>30-07-2025</t>
  </si>
  <si>
    <t>06-08-2025</t>
  </si>
  <si>
    <t>13-08-2025</t>
  </si>
  <si>
    <t>18-08-2025</t>
  </si>
  <si>
    <t>20-08-2025</t>
  </si>
  <si>
    <t>26-08-2025</t>
  </si>
  <si>
    <t>01-09-2025</t>
  </si>
  <si>
    <t>08-09-2025</t>
  </si>
  <si>
    <t>10-09-2025</t>
  </si>
  <si>
    <t>15-09-2025</t>
  </si>
  <si>
    <t>16-09-2025</t>
  </si>
  <si>
    <t>22-09-2025</t>
  </si>
  <si>
    <t>29-09-2025</t>
  </si>
  <si>
    <t>03-10-2025</t>
  </si>
  <si>
    <t>06-10-2025</t>
  </si>
  <si>
    <t>09-10-2025</t>
  </si>
  <si>
    <t>13-10-2025</t>
  </si>
  <si>
    <t>16-10-2025</t>
  </si>
  <si>
    <t>17-10-2025</t>
  </si>
  <si>
    <t>20-10-2025</t>
  </si>
  <si>
    <t>27-10-2025</t>
  </si>
  <si>
    <t>03-11-2025</t>
  </si>
  <si>
    <t>10-11-2025</t>
  </si>
  <si>
    <t>12-11-2025</t>
  </si>
  <si>
    <t>17-11-2025</t>
  </si>
  <si>
    <t>24-11-2025</t>
  </si>
  <si>
    <t>01-12-2025</t>
  </si>
  <si>
    <t>08-12-2025</t>
  </si>
  <si>
    <t>15-12-2025</t>
  </si>
  <si>
    <t>22-12-2025</t>
  </si>
  <si>
    <t>29-12-2025</t>
  </si>
  <si>
    <t>02-01-2026</t>
  </si>
  <si>
    <t>05-01-2026</t>
  </si>
  <si>
    <t>12-01-2026</t>
  </si>
  <si>
    <t>19-01-2026</t>
  </si>
  <si>
    <t>23-01-2026</t>
  </si>
  <si>
    <t>28-01-2026</t>
  </si>
  <si>
    <t>02-02-2026</t>
  </si>
  <si>
    <t>03-02-2026</t>
  </si>
  <si>
    <t>09-02-2026</t>
  </si>
  <si>
    <t>16-02-2026</t>
  </si>
  <si>
    <t>23-02-2026</t>
  </si>
  <si>
    <t>27-02-2026</t>
  </si>
  <si>
    <t>09-03-2026</t>
  </si>
  <si>
    <t>16-03-2026</t>
  </si>
  <si>
    <t>18-03-2026</t>
  </si>
  <si>
    <t>04-05-2026</t>
  </si>
  <si>
    <t>06-05-2026</t>
  </si>
  <si>
    <t>11-05-2026</t>
  </si>
  <si>
    <t>18-05-2026</t>
  </si>
  <si>
    <t>25-05-2026</t>
  </si>
  <si>
    <t>01-06-2026</t>
  </si>
  <si>
    <t>08-06-2026</t>
  </si>
  <si>
    <t>12-06-2026</t>
  </si>
  <si>
    <t>15-06-2026</t>
  </si>
  <si>
    <t>18-06-2026</t>
  </si>
  <si>
    <t>22-06-2026</t>
  </si>
  <si>
    <t>NIFTY_SELL_CE_ATM_WEEKLY_BUY_MIDCAP100_Hypothetical_Future_BUY_PE_ATM_MONTHLY_T1_T1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</si>
  <si>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</si>
  <si>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</si>
  <si>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</si>
  <si>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</si>
  <si>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</si>
  <si>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</si>
  <si>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</si>
  <si>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</si>
  <si>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</si>
  <si>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</si>
  <si>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</si>
  <si>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</si>
  <si>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</si>
  <si>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</si>
  <si>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</si>
  <si>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</si>
  <si>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</si>
  <si>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</si>
  <si>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</si>
  <si>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</si>
  <si>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</si>
  <si>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</si>
  <si>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</si>
  <si>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</si>
  <si>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</si>
  <si>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</si>
  <si>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</si>
  <si>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</si>
  <si>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</si>
  <si>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</si>
  <si>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</si>
  <si>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</si>
  <si>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</si>
  <si>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</si>
  <si>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</si>
  <si>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</si>
  <si>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</si>
  <si>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</si>
  <si>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</si>
  <si>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</si>
  <si>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</si>
  <si>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</si>
  <si>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</si>
  <si>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</si>
  <si>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</si>
  <si>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</si>
  <si>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</si>
  <si>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</si>
  <si>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</si>
  <si>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</si>
  <si>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</si>
  <si>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</si>
  <si>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</si>
  <si>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</si>
  <si>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</si>
  <si>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</si>
  <si>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</si>
  <si>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</si>
  <si>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</si>
  <si>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</si>
  <si>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</si>
  <si>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</si>
  <si>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</si>
  <si>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</si>
  <si>
    <t>a</t>
  </si>
  <si>
    <t>close</t>
  </si>
  <si>
    <t>Diff</t>
  </si>
  <si>
    <t>Previous date</t>
  </si>
  <si>
    <t>Previous Price</t>
  </si>
  <si>
    <t>%ch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</si>
</sst>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#,##0.0000"/>
    <numFmt numFmtId="167" formatCode="0.00&quot;%&quot;"/>
    <numFmt numFmtId="168" formatCode="0.0000"/>
  </numFmts>
  <fonts count="2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C0392B"/>
      <name val="Calibri"/>
    </font>
    <font>
      <b/>
      <sz val="10"/>
      <color rgb="FF1E7E34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1E7E34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b/>
      <sz val="9"/>
      <color rgb="FF1F3864"/>
      <name val="Calibri"/>
    </font>
    <font>
      <sz val="7"/>
      <color rgb="FF000000"/>
      <name val="Calibri"/>
    </font>
    <font>
      <sz val="7"/>
      <color rgb="FFC0392B"/>
      <name val="Calibri"/>
    </font>
    <font>
      <sz val="7"/>
      <color rgb="FF1E7E34"/>
      <name val="Calibri"/>
    </font>
    <font>
      <sz val="9"/>
      <color rgb="FFC0392B"/>
      <name val="Calibri"/>
    </font>
    <font>
      <sz val="9"/>
      <color rgb="FF1E7E34"/>
      <name val="Calibri"/>
    </font>
    <font>
      <b/>
      <sz val="8"/>
      <color rgb="FFFFFFFF"/>
      <name val="Calibri"/>
    </font>
    <font>
      <b/>
      <sz val="14"/>
      <color rgb="FFFFFFFF"/>
      <name val="Calibri"/>
    </font>
    <font>
      <sz val="10"/>
      <color rgb="FF1A1A2E"/>
      <name val="Calibri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7" fillId="18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14" fontId="27" fillId="18" borderId="2" xfId="0" applyNumberFormat="1" applyFont="1" applyFill="1" applyBorder="1" applyAlignment="1">
      <alignment horizontal="center" vertical="center"/>
    </xf>
    <xf numFmtId="2" fontId="28" fillId="0" borderId="2" xfId="0" applyNumberFormat="1" applyFont="1" applyBorder="1" applyAlignment="1">
      <alignment horizontal="left" vertical="center"/>
    </xf>
    <xf numFmtId="10" fontId="28" fillId="0" borderId="2" xfId="0" applyNumberFormat="1" applyFont="1" applyBorder="1" applyAlignment="1">
      <alignment horizontal="left" vertical="center"/>
    </xf>
    <xf numFmtId="14" fontId="28" fillId="0" borderId="2" xfId="0" applyNumberFormat="1" applyFont="1" applyBorder="1" applyAlignment="1">
      <alignment horizontal="left" vertical="center"/>
    </xf>
    <xf numFmtId="1" fontId="2" fillId="19" borderId="1" xfId="0" applyNumberFormat="1" applyFont="1" applyFill="1" applyBorder="1" applyAlignment="1">
      <alignment horizontal="left" vertical="center"/>
    </xf>
    <xf numFmtId="14" fontId="2" fillId="19" borderId="1" xfId="0" applyNumberFormat="1" applyFont="1" applyFill="1" applyBorder="1" applyAlignment="1">
      <alignment horizontal="left" vertical="center"/>
    </xf>
    <xf numFmtId="4" fontId="2" fillId="19" borderId="1" xfId="0" applyNumberFormat="1" applyFont="1" applyFill="1" applyBorder="1" applyAlignment="1">
      <alignment horizontal="left" vertical="center"/>
    </xf>
    <xf numFmtId="2" fontId="28" fillId="19" borderId="2" xfId="0" applyNumberFormat="1" applyFont="1" applyFill="1" applyBorder="1" applyAlignment="1">
      <alignment horizontal="left" vertical="center"/>
    </xf>
    <xf numFmtId="10" fontId="28" fillId="19" borderId="2" xfId="0" applyNumberFormat="1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10" fontId="2" fillId="19" borderId="1" xfId="0" applyNumberFormat="1" applyFont="1" applyFill="1" applyBorder="1" applyAlignment="1">
      <alignment horizontal="left" vertical="center"/>
    </xf>
    <xf numFmtId="0" fontId="0" fillId="19" borderId="0" xfId="0" applyFill="1"/>
    <xf numFmtId="1" fontId="2" fillId="3" borderId="2" xfId="0" applyNumberFormat="1" applyFont="1" applyFill="1" applyBorder="1" applyAlignment="1">
      <alignment horizontal="left" vertical="center"/>
    </xf>
    <xf numFmtId="1" fontId="2" fillId="5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192.168.4.50/Yash%20Darji/DATA%20OF%20OHLC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_D"/>
      <sheetName val="BNF_D"/>
      <sheetName val="Mid_D"/>
      <sheetName val="Mid_Select_D"/>
      <sheetName val="Nifty_W"/>
      <sheetName val="BNF_W"/>
      <sheetName val="Mid_W"/>
      <sheetName val="Mid_Select_W"/>
      <sheetName val="Nifty_M"/>
      <sheetName val="BNF_M"/>
      <sheetName val="Mid_M"/>
      <sheetName val="Mid_Select_M"/>
    </sheetNames>
    <sheetDataSet>
      <sheetData sheetId="0" refreshError="1">
        <row r="2">
          <cell r="B2">
            <v>36528</v>
          </cell>
          <cell r="C2">
            <v>1482.15</v>
          </cell>
          <cell r="D2">
            <v>1592.9</v>
          </cell>
          <cell r="E2">
            <v>1482.15</v>
          </cell>
          <cell r="F2">
            <v>1592.2</v>
          </cell>
        </row>
        <row r="3">
          <cell r="B3">
            <v>36529</v>
          </cell>
          <cell r="C3">
            <v>1594.4</v>
          </cell>
          <cell r="D3">
            <v>1641.95</v>
          </cell>
          <cell r="E3">
            <v>1594.4</v>
          </cell>
          <cell r="F3">
            <v>1638.7</v>
          </cell>
        </row>
        <row r="4">
          <cell r="B4">
            <v>36530</v>
          </cell>
          <cell r="C4">
            <v>1634.55</v>
          </cell>
          <cell r="D4">
            <v>1635.5</v>
          </cell>
          <cell r="E4">
            <v>1555.05</v>
          </cell>
          <cell r="F4">
            <v>1595.8</v>
          </cell>
        </row>
        <row r="5">
          <cell r="B5">
            <v>36531</v>
          </cell>
          <cell r="C5">
            <v>1595.8</v>
          </cell>
          <cell r="D5">
            <v>1639</v>
          </cell>
          <cell r="E5">
            <v>1595.8</v>
          </cell>
          <cell r="F5">
            <v>1617.6</v>
          </cell>
        </row>
        <row r="6">
          <cell r="B6">
            <v>36532</v>
          </cell>
          <cell r="C6">
            <v>1616.6</v>
          </cell>
          <cell r="D6">
            <v>1628.25</v>
          </cell>
          <cell r="E6">
            <v>1597.2</v>
          </cell>
          <cell r="F6">
            <v>1613.3</v>
          </cell>
        </row>
        <row r="7">
          <cell r="B7">
            <v>36535</v>
          </cell>
          <cell r="C7">
            <v>1615.65</v>
          </cell>
          <cell r="D7">
            <v>1662.1</v>
          </cell>
          <cell r="E7">
            <v>1614.95</v>
          </cell>
          <cell r="F7">
            <v>1632.95</v>
          </cell>
        </row>
        <row r="8">
          <cell r="B8">
            <v>36536</v>
          </cell>
          <cell r="C8">
            <v>1633.25</v>
          </cell>
          <cell r="D8">
            <v>1639.9</v>
          </cell>
          <cell r="E8">
            <v>1548.25</v>
          </cell>
          <cell r="F8">
            <v>1572.5</v>
          </cell>
        </row>
        <row r="9">
          <cell r="B9">
            <v>36537</v>
          </cell>
          <cell r="C9">
            <v>1572.3</v>
          </cell>
          <cell r="D9">
            <v>1631.55</v>
          </cell>
          <cell r="E9">
            <v>1571.7</v>
          </cell>
          <cell r="F9">
            <v>1624.8</v>
          </cell>
        </row>
        <row r="10">
          <cell r="B10">
            <v>36538</v>
          </cell>
          <cell r="C10">
            <v>1627.85</v>
          </cell>
          <cell r="D10">
            <v>1671.15</v>
          </cell>
          <cell r="E10">
            <v>1613.65</v>
          </cell>
          <cell r="F10">
            <v>1621.4</v>
          </cell>
        </row>
        <row r="11">
          <cell r="B11">
            <v>36539</v>
          </cell>
          <cell r="C11">
            <v>1622.15</v>
          </cell>
          <cell r="D11">
            <v>1627.4</v>
          </cell>
          <cell r="E11">
            <v>1591.4</v>
          </cell>
          <cell r="F11">
            <v>1622.75</v>
          </cell>
        </row>
        <row r="12">
          <cell r="B12">
            <v>36542</v>
          </cell>
          <cell r="C12">
            <v>1623.5</v>
          </cell>
          <cell r="D12">
            <v>1668.45</v>
          </cell>
          <cell r="E12">
            <v>1604.65</v>
          </cell>
          <cell r="F12">
            <v>1611.6</v>
          </cell>
        </row>
        <row r="13">
          <cell r="B13">
            <v>36543</v>
          </cell>
          <cell r="C13">
            <v>1611.65</v>
          </cell>
          <cell r="D13">
            <v>1615.15</v>
          </cell>
          <cell r="E13">
            <v>1587.85</v>
          </cell>
          <cell r="F13">
            <v>1606.7</v>
          </cell>
        </row>
        <row r="14">
          <cell r="B14">
            <v>36544</v>
          </cell>
          <cell r="C14">
            <v>1610.05</v>
          </cell>
          <cell r="D14">
            <v>1644.45</v>
          </cell>
          <cell r="E14">
            <v>1608.85</v>
          </cell>
          <cell r="F14">
            <v>1634.85</v>
          </cell>
        </row>
        <row r="15">
          <cell r="B15">
            <v>36545</v>
          </cell>
          <cell r="C15">
            <v>1634.65</v>
          </cell>
          <cell r="D15">
            <v>1644.4</v>
          </cell>
          <cell r="E15">
            <v>1596.65</v>
          </cell>
          <cell r="F15">
            <v>1601.1</v>
          </cell>
        </row>
        <row r="16">
          <cell r="B16">
            <v>36546</v>
          </cell>
          <cell r="C16">
            <v>1601.25</v>
          </cell>
          <cell r="D16">
            <v>1626.5</v>
          </cell>
          <cell r="E16">
            <v>1593.2</v>
          </cell>
          <cell r="F16">
            <v>1620.6</v>
          </cell>
        </row>
        <row r="17">
          <cell r="B17">
            <v>36549</v>
          </cell>
          <cell r="C17">
            <v>1623.05</v>
          </cell>
          <cell r="D17">
            <v>1645</v>
          </cell>
          <cell r="E17">
            <v>1608.3</v>
          </cell>
          <cell r="F17">
            <v>1613.6</v>
          </cell>
        </row>
        <row r="18">
          <cell r="B18">
            <v>36550</v>
          </cell>
          <cell r="C18">
            <v>1612.95</v>
          </cell>
          <cell r="D18">
            <v>1613.65</v>
          </cell>
          <cell r="E18">
            <v>1579.55</v>
          </cell>
          <cell r="F18">
            <v>1586.4</v>
          </cell>
        </row>
        <row r="19">
          <cell r="B19">
            <v>36552</v>
          </cell>
          <cell r="C19">
            <v>1600.5</v>
          </cell>
          <cell r="D19">
            <v>1633.55</v>
          </cell>
          <cell r="E19">
            <v>1600.05</v>
          </cell>
          <cell r="F19">
            <v>1603.9</v>
          </cell>
        </row>
        <row r="20">
          <cell r="B20">
            <v>36553</v>
          </cell>
          <cell r="C20">
            <v>1603.65</v>
          </cell>
          <cell r="D20">
            <v>1610.9</v>
          </cell>
          <cell r="E20">
            <v>1592.7</v>
          </cell>
          <cell r="F20">
            <v>1599.1</v>
          </cell>
        </row>
        <row r="21">
          <cell r="B21">
            <v>36556</v>
          </cell>
          <cell r="C21">
            <v>1598.35</v>
          </cell>
          <cell r="D21">
            <v>1598.35</v>
          </cell>
          <cell r="E21">
            <v>1538.7</v>
          </cell>
          <cell r="F21">
            <v>1546.2</v>
          </cell>
        </row>
        <row r="22">
          <cell r="B22">
            <v>36557</v>
          </cell>
          <cell r="C22">
            <v>1546.2</v>
          </cell>
          <cell r="D22">
            <v>1554.15</v>
          </cell>
          <cell r="E22">
            <v>1521.4</v>
          </cell>
          <cell r="F22">
            <v>1549.5</v>
          </cell>
        </row>
        <row r="23">
          <cell r="B23">
            <v>36558</v>
          </cell>
          <cell r="C23">
            <v>1554.2</v>
          </cell>
          <cell r="D23">
            <v>1605.9</v>
          </cell>
          <cell r="E23">
            <v>1554.2</v>
          </cell>
          <cell r="F23">
            <v>1588</v>
          </cell>
        </row>
        <row r="24">
          <cell r="B24">
            <v>36559</v>
          </cell>
          <cell r="C24">
            <v>1591.25</v>
          </cell>
          <cell r="D24">
            <v>1616.7</v>
          </cell>
          <cell r="E24">
            <v>1591.25</v>
          </cell>
          <cell r="F24">
            <v>1597.9</v>
          </cell>
        </row>
        <row r="25">
          <cell r="B25">
            <v>36560</v>
          </cell>
          <cell r="C25">
            <v>1598.5</v>
          </cell>
          <cell r="D25">
            <v>1621.35</v>
          </cell>
          <cell r="E25">
            <v>1596.45</v>
          </cell>
          <cell r="F25">
            <v>1599.75</v>
          </cell>
        </row>
        <row r="26">
          <cell r="B26">
            <v>36563</v>
          </cell>
          <cell r="C26">
            <v>1599.8</v>
          </cell>
          <cell r="D26">
            <v>1645.9</v>
          </cell>
          <cell r="E26">
            <v>1599.8</v>
          </cell>
          <cell r="F26">
            <v>1636.6</v>
          </cell>
        </row>
        <row r="27">
          <cell r="B27">
            <v>36564</v>
          </cell>
          <cell r="C27">
            <v>1636.6</v>
          </cell>
          <cell r="D27">
            <v>1676.1</v>
          </cell>
          <cell r="E27">
            <v>1636.6</v>
          </cell>
          <cell r="F27">
            <v>1662.75</v>
          </cell>
        </row>
        <row r="28">
          <cell r="B28">
            <v>36565</v>
          </cell>
          <cell r="C28">
            <v>1666.95</v>
          </cell>
          <cell r="D28">
            <v>1731.65</v>
          </cell>
          <cell r="E28">
            <v>1666.7</v>
          </cell>
          <cell r="F28">
            <v>1689.65</v>
          </cell>
        </row>
        <row r="29">
          <cell r="B29">
            <v>36566</v>
          </cell>
          <cell r="C29">
            <v>1692.1</v>
          </cell>
          <cell r="D29">
            <v>1713.7</v>
          </cell>
          <cell r="E29">
            <v>1692.1</v>
          </cell>
          <cell r="F29">
            <v>1711.2</v>
          </cell>
        </row>
        <row r="30">
          <cell r="B30">
            <v>36567</v>
          </cell>
          <cell r="C30">
            <v>1712.85</v>
          </cell>
          <cell r="D30">
            <v>1771.65</v>
          </cell>
          <cell r="E30">
            <v>1712.85</v>
          </cell>
          <cell r="F30">
            <v>1756</v>
          </cell>
        </row>
        <row r="31">
          <cell r="B31">
            <v>36570</v>
          </cell>
          <cell r="C31">
            <v>1777.75</v>
          </cell>
          <cell r="D31">
            <v>1795.45</v>
          </cell>
          <cell r="E31">
            <v>1738.75</v>
          </cell>
          <cell r="F31">
            <v>1744.5</v>
          </cell>
        </row>
        <row r="32">
          <cell r="B32">
            <v>36571</v>
          </cell>
          <cell r="C32">
            <v>1744.5</v>
          </cell>
          <cell r="D32">
            <v>1744.5</v>
          </cell>
          <cell r="E32">
            <v>1694.45</v>
          </cell>
          <cell r="F32">
            <v>1702.55</v>
          </cell>
        </row>
        <row r="33">
          <cell r="B33">
            <v>36572</v>
          </cell>
          <cell r="C33">
            <v>1704.85</v>
          </cell>
          <cell r="D33">
            <v>1742.8</v>
          </cell>
          <cell r="E33">
            <v>1704.15</v>
          </cell>
          <cell r="F33">
            <v>1711.1</v>
          </cell>
        </row>
        <row r="34">
          <cell r="B34">
            <v>36573</v>
          </cell>
          <cell r="C34">
            <v>1710.05</v>
          </cell>
          <cell r="D34">
            <v>1753.1</v>
          </cell>
          <cell r="E34">
            <v>1710.05</v>
          </cell>
          <cell r="F34">
            <v>1742.1</v>
          </cell>
        </row>
        <row r="35">
          <cell r="B35">
            <v>36574</v>
          </cell>
          <cell r="C35">
            <v>1742.3</v>
          </cell>
          <cell r="D35">
            <v>1764.15</v>
          </cell>
          <cell r="E35">
            <v>1713.45</v>
          </cell>
          <cell r="F35">
            <v>1717.8</v>
          </cell>
        </row>
        <row r="36">
          <cell r="B36">
            <v>36577</v>
          </cell>
          <cell r="C36">
            <v>1719.55</v>
          </cell>
          <cell r="D36">
            <v>1767.8</v>
          </cell>
          <cell r="E36">
            <v>1719.55</v>
          </cell>
          <cell r="F36">
            <v>1753.5</v>
          </cell>
        </row>
        <row r="37">
          <cell r="B37">
            <v>36578</v>
          </cell>
          <cell r="C37">
            <v>1754.2</v>
          </cell>
          <cell r="D37">
            <v>1781.05</v>
          </cell>
          <cell r="E37">
            <v>1733.55</v>
          </cell>
          <cell r="F37">
            <v>1739.05</v>
          </cell>
        </row>
        <row r="38">
          <cell r="B38">
            <v>36579</v>
          </cell>
          <cell r="C38">
            <v>1745.2</v>
          </cell>
          <cell r="D38">
            <v>1818.15</v>
          </cell>
          <cell r="E38">
            <v>1689.2</v>
          </cell>
          <cell r="F38">
            <v>1696.4</v>
          </cell>
        </row>
        <row r="39">
          <cell r="B39">
            <v>36580</v>
          </cell>
          <cell r="C39">
            <v>1696.4</v>
          </cell>
          <cell r="D39">
            <v>1751.6</v>
          </cell>
          <cell r="E39">
            <v>1693.1</v>
          </cell>
          <cell r="F39">
            <v>1732</v>
          </cell>
        </row>
        <row r="40">
          <cell r="B40">
            <v>36581</v>
          </cell>
          <cell r="C40">
            <v>1734.05</v>
          </cell>
          <cell r="D40">
            <v>1757.05</v>
          </cell>
          <cell r="E40">
            <v>1699.25</v>
          </cell>
          <cell r="F40">
            <v>1710.45</v>
          </cell>
        </row>
        <row r="41">
          <cell r="B41">
            <v>36584</v>
          </cell>
          <cell r="C41">
            <v>1711.15</v>
          </cell>
          <cell r="D41">
            <v>1726.65</v>
          </cell>
          <cell r="E41">
            <v>1670.75</v>
          </cell>
          <cell r="F41">
            <v>1722.55</v>
          </cell>
        </row>
        <row r="42">
          <cell r="B42">
            <v>36585</v>
          </cell>
          <cell r="C42">
            <v>1722.85</v>
          </cell>
          <cell r="D42">
            <v>1783.3</v>
          </cell>
          <cell r="E42">
            <v>1626.35</v>
          </cell>
          <cell r="F42">
            <v>1654.8</v>
          </cell>
        </row>
        <row r="43">
          <cell r="B43">
            <v>36586</v>
          </cell>
          <cell r="C43">
            <v>1661.5</v>
          </cell>
          <cell r="D43">
            <v>1727.9</v>
          </cell>
          <cell r="E43">
            <v>1630</v>
          </cell>
          <cell r="F43">
            <v>1712.7</v>
          </cell>
        </row>
        <row r="44">
          <cell r="B44">
            <v>36587</v>
          </cell>
          <cell r="C44">
            <v>1713.65</v>
          </cell>
          <cell r="D44">
            <v>1773.85</v>
          </cell>
          <cell r="E44">
            <v>1690.05</v>
          </cell>
          <cell r="F44">
            <v>1696.55</v>
          </cell>
        </row>
        <row r="45">
          <cell r="B45">
            <v>36588</v>
          </cell>
          <cell r="C45">
            <v>1696.45</v>
          </cell>
          <cell r="D45">
            <v>1719.15</v>
          </cell>
          <cell r="E45">
            <v>1644.4</v>
          </cell>
          <cell r="F45">
            <v>1656</v>
          </cell>
        </row>
        <row r="46">
          <cell r="B46">
            <v>36591</v>
          </cell>
          <cell r="C46">
            <v>1656</v>
          </cell>
          <cell r="D46">
            <v>1721</v>
          </cell>
          <cell r="E46">
            <v>1656</v>
          </cell>
          <cell r="F46">
            <v>1688.5</v>
          </cell>
        </row>
        <row r="47">
          <cell r="B47">
            <v>36592</v>
          </cell>
          <cell r="C47">
            <v>1711.85</v>
          </cell>
          <cell r="D47">
            <v>1730.85</v>
          </cell>
          <cell r="E47">
            <v>1684.9</v>
          </cell>
          <cell r="F47">
            <v>1702.75</v>
          </cell>
        </row>
        <row r="48">
          <cell r="B48">
            <v>36593</v>
          </cell>
          <cell r="C48">
            <v>1717.75</v>
          </cell>
          <cell r="D48">
            <v>1765.25</v>
          </cell>
          <cell r="E48">
            <v>1654.45</v>
          </cell>
          <cell r="F48">
            <v>1666.35</v>
          </cell>
        </row>
        <row r="49">
          <cell r="B49">
            <v>36594</v>
          </cell>
          <cell r="C49">
            <v>1667.45</v>
          </cell>
          <cell r="D49">
            <v>1692.25</v>
          </cell>
          <cell r="E49">
            <v>1595.45</v>
          </cell>
          <cell r="F49">
            <v>1646.25</v>
          </cell>
        </row>
        <row r="50">
          <cell r="B50">
            <v>36595</v>
          </cell>
          <cell r="C50">
            <v>1647.85</v>
          </cell>
          <cell r="D50">
            <v>1680.45</v>
          </cell>
          <cell r="E50">
            <v>1588.2</v>
          </cell>
          <cell r="F50">
            <v>1602.75</v>
          </cell>
        </row>
        <row r="51">
          <cell r="B51">
            <v>36598</v>
          </cell>
          <cell r="C51">
            <v>1601.4</v>
          </cell>
          <cell r="D51">
            <v>1645</v>
          </cell>
          <cell r="E51">
            <v>1553.45</v>
          </cell>
          <cell r="F51">
            <v>1560.7</v>
          </cell>
        </row>
        <row r="52">
          <cell r="B52">
            <v>36599</v>
          </cell>
          <cell r="C52">
            <v>1561.55</v>
          </cell>
          <cell r="D52">
            <v>1571.3</v>
          </cell>
          <cell r="E52">
            <v>1503.2</v>
          </cell>
          <cell r="F52">
            <v>1567.05</v>
          </cell>
        </row>
        <row r="53">
          <cell r="B53">
            <v>36600</v>
          </cell>
          <cell r="C53">
            <v>1546.8</v>
          </cell>
          <cell r="D53">
            <v>1630.95</v>
          </cell>
          <cell r="E53">
            <v>1538.7</v>
          </cell>
          <cell r="F53">
            <v>1620.1</v>
          </cell>
        </row>
        <row r="54">
          <cell r="B54">
            <v>36601</v>
          </cell>
          <cell r="C54">
            <v>1620.4</v>
          </cell>
          <cell r="D54">
            <v>1621.2</v>
          </cell>
          <cell r="E54">
            <v>1554.3</v>
          </cell>
          <cell r="F54">
            <v>1562.2</v>
          </cell>
        </row>
        <row r="55">
          <cell r="B55">
            <v>36606</v>
          </cell>
          <cell r="C55">
            <v>1563.3</v>
          </cell>
          <cell r="D55">
            <v>1585.25</v>
          </cell>
          <cell r="E55">
            <v>1542.65</v>
          </cell>
          <cell r="F55">
            <v>1556.6</v>
          </cell>
        </row>
        <row r="56">
          <cell r="B56">
            <v>36607</v>
          </cell>
          <cell r="C56">
            <v>1551.05</v>
          </cell>
          <cell r="D56">
            <v>1604</v>
          </cell>
          <cell r="E56">
            <v>1551.05</v>
          </cell>
          <cell r="F56">
            <v>1589.6</v>
          </cell>
        </row>
        <row r="57">
          <cell r="B57">
            <v>36608</v>
          </cell>
          <cell r="C57">
            <v>1590.3</v>
          </cell>
          <cell r="D57">
            <v>1629.2</v>
          </cell>
          <cell r="E57">
            <v>1544.5</v>
          </cell>
          <cell r="F57">
            <v>1553.4</v>
          </cell>
        </row>
        <row r="58">
          <cell r="B58">
            <v>36609</v>
          </cell>
          <cell r="C58">
            <v>1554.2</v>
          </cell>
          <cell r="D58">
            <v>1579.4</v>
          </cell>
          <cell r="E58">
            <v>1540.45</v>
          </cell>
          <cell r="F58">
            <v>1569.55</v>
          </cell>
        </row>
        <row r="59">
          <cell r="B59">
            <v>36612</v>
          </cell>
          <cell r="C59">
            <v>1570.45</v>
          </cell>
          <cell r="D59">
            <v>1593.3</v>
          </cell>
          <cell r="E59">
            <v>1555.75</v>
          </cell>
          <cell r="F59">
            <v>1562.95</v>
          </cell>
        </row>
        <row r="60">
          <cell r="B60">
            <v>36613</v>
          </cell>
          <cell r="C60">
            <v>1563.3</v>
          </cell>
          <cell r="D60">
            <v>1575.85</v>
          </cell>
          <cell r="E60">
            <v>1527.55</v>
          </cell>
          <cell r="F60">
            <v>1568.6</v>
          </cell>
        </row>
        <row r="61">
          <cell r="B61">
            <v>36614</v>
          </cell>
          <cell r="C61">
            <v>1569.3</v>
          </cell>
          <cell r="D61">
            <v>1609.4</v>
          </cell>
          <cell r="E61">
            <v>1553.4</v>
          </cell>
          <cell r="F61">
            <v>1558.25</v>
          </cell>
        </row>
        <row r="62">
          <cell r="B62">
            <v>36615</v>
          </cell>
          <cell r="C62">
            <v>1556.95</v>
          </cell>
          <cell r="D62">
            <v>1557.85</v>
          </cell>
          <cell r="E62">
            <v>1489.1</v>
          </cell>
          <cell r="F62">
            <v>1549.5</v>
          </cell>
        </row>
        <row r="63">
          <cell r="B63">
            <v>36616</v>
          </cell>
          <cell r="C63">
            <v>1545.55</v>
          </cell>
          <cell r="D63">
            <v>1545.55</v>
          </cell>
          <cell r="E63">
            <v>1493.9</v>
          </cell>
          <cell r="F63">
            <v>1528.45</v>
          </cell>
        </row>
        <row r="64">
          <cell r="B64">
            <v>36619</v>
          </cell>
          <cell r="C64">
            <v>1528.7</v>
          </cell>
          <cell r="D64">
            <v>1555.5</v>
          </cell>
          <cell r="E64">
            <v>1510.75</v>
          </cell>
          <cell r="F64">
            <v>1534.75</v>
          </cell>
        </row>
        <row r="65">
          <cell r="B65">
            <v>36620</v>
          </cell>
          <cell r="C65">
            <v>1534.05</v>
          </cell>
          <cell r="D65">
            <v>1534.05</v>
          </cell>
          <cell r="E65">
            <v>1420.85</v>
          </cell>
          <cell r="F65">
            <v>1428.1</v>
          </cell>
        </row>
        <row r="66">
          <cell r="B66">
            <v>36621</v>
          </cell>
          <cell r="C66">
            <v>1428.5</v>
          </cell>
          <cell r="D66">
            <v>1467.4</v>
          </cell>
          <cell r="E66">
            <v>1391.65</v>
          </cell>
          <cell r="F66">
            <v>1434.65</v>
          </cell>
        </row>
        <row r="67">
          <cell r="B67">
            <v>36622</v>
          </cell>
          <cell r="C67">
            <v>1436.15</v>
          </cell>
          <cell r="D67">
            <v>1475.25</v>
          </cell>
          <cell r="E67">
            <v>1381.05</v>
          </cell>
          <cell r="F67">
            <v>1452.95</v>
          </cell>
        </row>
        <row r="68">
          <cell r="B68">
            <v>36623</v>
          </cell>
          <cell r="C68">
            <v>1453.3</v>
          </cell>
          <cell r="D68">
            <v>1558.05</v>
          </cell>
          <cell r="E68">
            <v>1453.3</v>
          </cell>
          <cell r="F68">
            <v>1557.15</v>
          </cell>
        </row>
        <row r="69">
          <cell r="B69">
            <v>36626</v>
          </cell>
          <cell r="C69">
            <v>1557.55</v>
          </cell>
          <cell r="D69">
            <v>1636.95</v>
          </cell>
          <cell r="E69">
            <v>1557.55</v>
          </cell>
          <cell r="F69">
            <v>1613</v>
          </cell>
        </row>
        <row r="70">
          <cell r="B70">
            <v>36627</v>
          </cell>
          <cell r="C70">
            <v>1613</v>
          </cell>
          <cell r="D70">
            <v>1631.6</v>
          </cell>
          <cell r="E70">
            <v>1550.85</v>
          </cell>
          <cell r="F70">
            <v>1624.65</v>
          </cell>
        </row>
        <row r="71">
          <cell r="B71">
            <v>36628</v>
          </cell>
          <cell r="C71">
            <v>1624.4</v>
          </cell>
          <cell r="D71">
            <v>1628.55</v>
          </cell>
          <cell r="E71">
            <v>1586</v>
          </cell>
          <cell r="F71">
            <v>1592.7</v>
          </cell>
        </row>
        <row r="72">
          <cell r="B72">
            <v>36629</v>
          </cell>
          <cell r="C72">
            <v>1587.95</v>
          </cell>
          <cell r="D72">
            <v>1587.95</v>
          </cell>
          <cell r="E72">
            <v>1502.7</v>
          </cell>
          <cell r="F72">
            <v>1518.65</v>
          </cell>
        </row>
        <row r="73">
          <cell r="B73">
            <v>36633</v>
          </cell>
          <cell r="C73">
            <v>1518.55</v>
          </cell>
          <cell r="D73">
            <v>1518.55</v>
          </cell>
          <cell r="E73">
            <v>1412.45</v>
          </cell>
          <cell r="F73">
            <v>1443.55</v>
          </cell>
        </row>
        <row r="74">
          <cell r="B74">
            <v>36634</v>
          </cell>
          <cell r="C74">
            <v>1443.55</v>
          </cell>
          <cell r="D74">
            <v>1478.85</v>
          </cell>
          <cell r="E74">
            <v>1410</v>
          </cell>
          <cell r="F74">
            <v>1414.8</v>
          </cell>
        </row>
        <row r="75">
          <cell r="B75">
            <v>36635</v>
          </cell>
          <cell r="C75">
            <v>1417.75</v>
          </cell>
          <cell r="D75">
            <v>1469.05</v>
          </cell>
          <cell r="E75">
            <v>1375.05</v>
          </cell>
          <cell r="F75">
            <v>1404.95</v>
          </cell>
        </row>
        <row r="76">
          <cell r="B76">
            <v>36636</v>
          </cell>
          <cell r="C76">
            <v>1405.7</v>
          </cell>
          <cell r="D76">
            <v>1425.55</v>
          </cell>
          <cell r="E76">
            <v>1339.75</v>
          </cell>
          <cell r="F76">
            <v>1415.65</v>
          </cell>
        </row>
        <row r="77">
          <cell r="B77">
            <v>36640</v>
          </cell>
          <cell r="C77">
            <v>1416.05</v>
          </cell>
          <cell r="D77">
            <v>1431.8</v>
          </cell>
          <cell r="E77">
            <v>1371.85</v>
          </cell>
          <cell r="F77">
            <v>1388</v>
          </cell>
        </row>
        <row r="78">
          <cell r="B78">
            <v>36641</v>
          </cell>
          <cell r="C78">
            <v>1383.8</v>
          </cell>
          <cell r="D78">
            <v>1383.8</v>
          </cell>
          <cell r="E78">
            <v>1311.3</v>
          </cell>
          <cell r="F78">
            <v>1359.45</v>
          </cell>
        </row>
        <row r="79">
          <cell r="B79">
            <v>36642</v>
          </cell>
          <cell r="C79">
            <v>1362.5</v>
          </cell>
          <cell r="D79">
            <v>1439.05</v>
          </cell>
          <cell r="E79">
            <v>1362.5</v>
          </cell>
          <cell r="F79">
            <v>1436.1</v>
          </cell>
        </row>
        <row r="80">
          <cell r="B80">
            <v>36643</v>
          </cell>
          <cell r="C80">
            <v>1436.15</v>
          </cell>
          <cell r="D80">
            <v>1455.85</v>
          </cell>
          <cell r="E80">
            <v>1400.65</v>
          </cell>
          <cell r="F80">
            <v>1416.9</v>
          </cell>
        </row>
        <row r="81">
          <cell r="B81">
            <v>36644</v>
          </cell>
          <cell r="C81">
            <v>1419.9</v>
          </cell>
          <cell r="D81">
            <v>1438</v>
          </cell>
          <cell r="E81">
            <v>1396.55</v>
          </cell>
          <cell r="F81">
            <v>1406.55</v>
          </cell>
        </row>
        <row r="82">
          <cell r="B82">
            <v>36648</v>
          </cell>
          <cell r="C82">
            <v>1410</v>
          </cell>
          <cell r="D82">
            <v>1421.5</v>
          </cell>
          <cell r="E82">
            <v>1319.65</v>
          </cell>
          <cell r="F82">
            <v>1333.45</v>
          </cell>
        </row>
        <row r="83">
          <cell r="B83">
            <v>36649</v>
          </cell>
          <cell r="C83">
            <v>1330.15</v>
          </cell>
          <cell r="D83">
            <v>1342.15</v>
          </cell>
          <cell r="E83">
            <v>1258.0999999999999</v>
          </cell>
          <cell r="F83">
            <v>1316.05</v>
          </cell>
        </row>
        <row r="84">
          <cell r="B84">
            <v>36650</v>
          </cell>
          <cell r="C84">
            <v>1317.95</v>
          </cell>
          <cell r="D84">
            <v>1385.15</v>
          </cell>
          <cell r="E84">
            <v>1317.95</v>
          </cell>
          <cell r="F84">
            <v>1380.55</v>
          </cell>
        </row>
        <row r="85">
          <cell r="B85">
            <v>36651</v>
          </cell>
          <cell r="C85">
            <v>1381.9</v>
          </cell>
          <cell r="D85">
            <v>1428.6</v>
          </cell>
          <cell r="E85">
            <v>1381.9</v>
          </cell>
          <cell r="F85">
            <v>1422.4</v>
          </cell>
        </row>
        <row r="86">
          <cell r="B86">
            <v>36654</v>
          </cell>
          <cell r="C86">
            <v>1423.25</v>
          </cell>
          <cell r="D86">
            <v>1436.6</v>
          </cell>
          <cell r="E86">
            <v>1358.8</v>
          </cell>
          <cell r="F86">
            <v>1365.05</v>
          </cell>
        </row>
        <row r="87">
          <cell r="B87">
            <v>36655</v>
          </cell>
          <cell r="C87">
            <v>1362.45</v>
          </cell>
          <cell r="D87">
            <v>1385.7</v>
          </cell>
          <cell r="E87">
            <v>1328.05</v>
          </cell>
          <cell r="F87">
            <v>1378.55</v>
          </cell>
        </row>
        <row r="88">
          <cell r="B88">
            <v>36656</v>
          </cell>
          <cell r="C88">
            <v>1380.4</v>
          </cell>
          <cell r="D88">
            <v>1391.35</v>
          </cell>
          <cell r="E88">
            <v>1359.65</v>
          </cell>
          <cell r="F88">
            <v>1363.15</v>
          </cell>
        </row>
        <row r="89">
          <cell r="B89">
            <v>36657</v>
          </cell>
          <cell r="C89">
            <v>1359.1</v>
          </cell>
          <cell r="D89">
            <v>1359.1</v>
          </cell>
          <cell r="E89">
            <v>1295.95</v>
          </cell>
          <cell r="F89">
            <v>1304.55</v>
          </cell>
        </row>
        <row r="90">
          <cell r="B90">
            <v>36658</v>
          </cell>
          <cell r="C90">
            <v>1305.3</v>
          </cell>
          <cell r="D90">
            <v>1326.3</v>
          </cell>
          <cell r="E90">
            <v>1276.4000000000001</v>
          </cell>
          <cell r="F90">
            <v>1282.8</v>
          </cell>
        </row>
        <row r="91">
          <cell r="B91">
            <v>36661</v>
          </cell>
          <cell r="C91">
            <v>1281.3</v>
          </cell>
          <cell r="D91">
            <v>1311.7</v>
          </cell>
          <cell r="E91">
            <v>1220.7</v>
          </cell>
          <cell r="F91">
            <v>1299.25</v>
          </cell>
        </row>
        <row r="92">
          <cell r="B92">
            <v>36662</v>
          </cell>
          <cell r="C92">
            <v>1300.2</v>
          </cell>
          <cell r="D92">
            <v>1310.45</v>
          </cell>
          <cell r="E92">
            <v>1287.8</v>
          </cell>
          <cell r="F92">
            <v>1306.8499999999999</v>
          </cell>
        </row>
        <row r="93">
          <cell r="B93">
            <v>36663</v>
          </cell>
          <cell r="C93">
            <v>1310.8</v>
          </cell>
          <cell r="D93">
            <v>1347.7</v>
          </cell>
          <cell r="E93">
            <v>1303.75</v>
          </cell>
          <cell r="F93">
            <v>1311.65</v>
          </cell>
        </row>
        <row r="94">
          <cell r="B94">
            <v>36664</v>
          </cell>
          <cell r="C94">
            <v>1311.3</v>
          </cell>
          <cell r="D94">
            <v>1316.2</v>
          </cell>
          <cell r="E94">
            <v>1289.55</v>
          </cell>
          <cell r="F94">
            <v>1293.4000000000001</v>
          </cell>
        </row>
        <row r="95">
          <cell r="B95">
            <v>36665</v>
          </cell>
          <cell r="C95">
            <v>1293.45</v>
          </cell>
          <cell r="D95">
            <v>1293.45</v>
          </cell>
          <cell r="E95">
            <v>1252.7</v>
          </cell>
          <cell r="F95">
            <v>1268</v>
          </cell>
        </row>
        <row r="96">
          <cell r="B96">
            <v>36668</v>
          </cell>
          <cell r="C96">
            <v>1267.8499999999999</v>
          </cell>
          <cell r="D96">
            <v>1267.8499999999999</v>
          </cell>
          <cell r="E96">
            <v>1228.4000000000001</v>
          </cell>
          <cell r="F96">
            <v>1233</v>
          </cell>
        </row>
        <row r="97">
          <cell r="B97">
            <v>36669</v>
          </cell>
          <cell r="C97">
            <v>1229.25</v>
          </cell>
          <cell r="D97">
            <v>1230.9000000000001</v>
          </cell>
          <cell r="E97">
            <v>1203.2</v>
          </cell>
          <cell r="F97">
            <v>1224.4000000000001</v>
          </cell>
        </row>
        <row r="98">
          <cell r="B98">
            <v>36670</v>
          </cell>
          <cell r="C98">
            <v>1224.5</v>
          </cell>
          <cell r="D98">
            <v>1246.25</v>
          </cell>
          <cell r="E98">
            <v>1201.5</v>
          </cell>
          <cell r="F98">
            <v>1235.9000000000001</v>
          </cell>
        </row>
        <row r="99">
          <cell r="B99">
            <v>36671</v>
          </cell>
          <cell r="C99">
            <v>1237</v>
          </cell>
          <cell r="D99">
            <v>1269.8</v>
          </cell>
          <cell r="E99">
            <v>1235.7</v>
          </cell>
          <cell r="F99">
            <v>1247.6500000000001</v>
          </cell>
        </row>
        <row r="100">
          <cell r="B100">
            <v>36672</v>
          </cell>
          <cell r="C100">
            <v>1247.0999999999999</v>
          </cell>
          <cell r="D100">
            <v>1278.75</v>
          </cell>
          <cell r="E100">
            <v>1232.8499999999999</v>
          </cell>
          <cell r="F100">
            <v>1275.3499999999999</v>
          </cell>
        </row>
        <row r="101">
          <cell r="B101">
            <v>36675</v>
          </cell>
          <cell r="C101">
            <v>1273.7</v>
          </cell>
          <cell r="D101">
            <v>1317.75</v>
          </cell>
          <cell r="E101">
            <v>1267.4000000000001</v>
          </cell>
          <cell r="F101">
            <v>1311.05</v>
          </cell>
        </row>
        <row r="102">
          <cell r="B102">
            <v>36676</v>
          </cell>
          <cell r="C102">
            <v>1310.8</v>
          </cell>
          <cell r="D102">
            <v>1347.3</v>
          </cell>
          <cell r="E102">
            <v>1304.95</v>
          </cell>
          <cell r="F102">
            <v>1344.85</v>
          </cell>
        </row>
        <row r="103">
          <cell r="B103">
            <v>36677</v>
          </cell>
          <cell r="C103">
            <v>1355.35</v>
          </cell>
          <cell r="D103">
            <v>1410.75</v>
          </cell>
          <cell r="E103">
            <v>1355.35</v>
          </cell>
          <cell r="F103">
            <v>1380.45</v>
          </cell>
        </row>
        <row r="104">
          <cell r="B104">
            <v>36678</v>
          </cell>
          <cell r="C104">
            <v>1380.4</v>
          </cell>
          <cell r="D104">
            <v>1380.4</v>
          </cell>
          <cell r="E104">
            <v>1345.1</v>
          </cell>
          <cell r="F104">
            <v>1349</v>
          </cell>
        </row>
        <row r="105">
          <cell r="B105">
            <v>36679</v>
          </cell>
          <cell r="C105">
            <v>1350.15</v>
          </cell>
          <cell r="D105">
            <v>1395.35</v>
          </cell>
          <cell r="E105">
            <v>1350.15</v>
          </cell>
          <cell r="F105">
            <v>1389.25</v>
          </cell>
        </row>
        <row r="106">
          <cell r="B106">
            <v>36682</v>
          </cell>
          <cell r="C106">
            <v>1390.95</v>
          </cell>
          <cell r="D106">
            <v>1461.05</v>
          </cell>
          <cell r="E106">
            <v>1390.95</v>
          </cell>
          <cell r="F106">
            <v>1404.6</v>
          </cell>
        </row>
        <row r="107">
          <cell r="B107">
            <v>36683</v>
          </cell>
          <cell r="C107">
            <v>1405.45</v>
          </cell>
          <cell r="D107">
            <v>1426.15</v>
          </cell>
          <cell r="E107">
            <v>1392.7</v>
          </cell>
          <cell r="F107">
            <v>1421.75</v>
          </cell>
        </row>
        <row r="108">
          <cell r="B108">
            <v>36684</v>
          </cell>
          <cell r="C108">
            <v>1423.4</v>
          </cell>
          <cell r="D108">
            <v>1442.7</v>
          </cell>
          <cell r="E108">
            <v>1413.8</v>
          </cell>
          <cell r="F108">
            <v>1430.35</v>
          </cell>
        </row>
        <row r="109">
          <cell r="B109">
            <v>36685</v>
          </cell>
          <cell r="C109">
            <v>1430.5</v>
          </cell>
          <cell r="D109">
            <v>1468.7</v>
          </cell>
          <cell r="E109">
            <v>1430.5</v>
          </cell>
          <cell r="F109">
            <v>1463.65</v>
          </cell>
        </row>
        <row r="110">
          <cell r="B110">
            <v>36686</v>
          </cell>
          <cell r="C110">
            <v>1464.3</v>
          </cell>
          <cell r="D110">
            <v>1485.5</v>
          </cell>
          <cell r="E110">
            <v>1458.9</v>
          </cell>
          <cell r="F110">
            <v>1467.2</v>
          </cell>
        </row>
        <row r="111">
          <cell r="B111">
            <v>36689</v>
          </cell>
          <cell r="C111">
            <v>1464.4</v>
          </cell>
          <cell r="D111">
            <v>1477.55</v>
          </cell>
          <cell r="E111">
            <v>1437.15</v>
          </cell>
          <cell r="F111">
            <v>1440.4</v>
          </cell>
        </row>
        <row r="112">
          <cell r="B112">
            <v>36690</v>
          </cell>
          <cell r="C112">
            <v>1438.8</v>
          </cell>
          <cell r="D112">
            <v>1438.8</v>
          </cell>
          <cell r="E112">
            <v>1411.9</v>
          </cell>
          <cell r="F112">
            <v>1432.9</v>
          </cell>
        </row>
        <row r="113">
          <cell r="B113">
            <v>36691</v>
          </cell>
          <cell r="C113">
            <v>1434.95</v>
          </cell>
          <cell r="D113">
            <v>1459.15</v>
          </cell>
          <cell r="E113">
            <v>1423.95</v>
          </cell>
          <cell r="F113">
            <v>1435.5</v>
          </cell>
        </row>
        <row r="114">
          <cell r="B114">
            <v>36692</v>
          </cell>
          <cell r="C114">
            <v>1437</v>
          </cell>
          <cell r="D114">
            <v>1452.8</v>
          </cell>
          <cell r="E114">
            <v>1422.4</v>
          </cell>
          <cell r="F114">
            <v>1445.25</v>
          </cell>
        </row>
        <row r="115">
          <cell r="B115">
            <v>36693</v>
          </cell>
          <cell r="C115">
            <v>1443.15</v>
          </cell>
          <cell r="D115">
            <v>1480.85</v>
          </cell>
          <cell r="E115">
            <v>1441.6</v>
          </cell>
          <cell r="F115">
            <v>1477.3</v>
          </cell>
        </row>
        <row r="116">
          <cell r="B116">
            <v>36696</v>
          </cell>
          <cell r="C116">
            <v>1477.55</v>
          </cell>
          <cell r="D116">
            <v>1510.45</v>
          </cell>
          <cell r="E116">
            <v>1477.55</v>
          </cell>
          <cell r="F116">
            <v>1498.75</v>
          </cell>
        </row>
        <row r="117">
          <cell r="B117">
            <v>36697</v>
          </cell>
          <cell r="C117">
            <v>1498</v>
          </cell>
          <cell r="D117">
            <v>1518.05</v>
          </cell>
          <cell r="E117">
            <v>1497.05</v>
          </cell>
          <cell r="F117">
            <v>1507.1</v>
          </cell>
        </row>
        <row r="118">
          <cell r="B118">
            <v>36698</v>
          </cell>
          <cell r="C118">
            <v>1524.05</v>
          </cell>
          <cell r="D118">
            <v>1539.1</v>
          </cell>
          <cell r="E118">
            <v>1470.4</v>
          </cell>
          <cell r="F118">
            <v>1475.15</v>
          </cell>
        </row>
        <row r="119">
          <cell r="B119">
            <v>36699</v>
          </cell>
          <cell r="C119">
            <v>1475.65</v>
          </cell>
          <cell r="D119">
            <v>1491.4</v>
          </cell>
          <cell r="E119">
            <v>1461.3</v>
          </cell>
          <cell r="F119">
            <v>1488.25</v>
          </cell>
        </row>
        <row r="120">
          <cell r="B120">
            <v>36700</v>
          </cell>
          <cell r="C120">
            <v>1487.85</v>
          </cell>
          <cell r="D120">
            <v>1499.85</v>
          </cell>
          <cell r="E120">
            <v>1462.75</v>
          </cell>
          <cell r="F120">
            <v>1472.2</v>
          </cell>
        </row>
        <row r="121">
          <cell r="B121">
            <v>36703</v>
          </cell>
          <cell r="C121">
            <v>1472.15</v>
          </cell>
          <cell r="D121">
            <v>1472.15</v>
          </cell>
          <cell r="E121">
            <v>1431.25</v>
          </cell>
          <cell r="F121">
            <v>1451.65</v>
          </cell>
        </row>
        <row r="122">
          <cell r="B122">
            <v>36704</v>
          </cell>
          <cell r="C122">
            <v>1452.8</v>
          </cell>
          <cell r="D122">
            <v>1467.15</v>
          </cell>
          <cell r="E122">
            <v>1448.95</v>
          </cell>
          <cell r="F122">
            <v>1454.3</v>
          </cell>
        </row>
        <row r="123">
          <cell r="B123">
            <v>36705</v>
          </cell>
          <cell r="C123">
            <v>1453.7</v>
          </cell>
          <cell r="D123">
            <v>1474.7</v>
          </cell>
          <cell r="E123">
            <v>1445.6</v>
          </cell>
          <cell r="F123">
            <v>1470</v>
          </cell>
        </row>
        <row r="124">
          <cell r="B124">
            <v>36706</v>
          </cell>
          <cell r="C124">
            <v>1471.35</v>
          </cell>
          <cell r="D124">
            <v>1505.75</v>
          </cell>
          <cell r="E124">
            <v>1471.35</v>
          </cell>
          <cell r="F124">
            <v>1492.35</v>
          </cell>
        </row>
        <row r="125">
          <cell r="B125">
            <v>36707</v>
          </cell>
          <cell r="C125">
            <v>1490.2</v>
          </cell>
          <cell r="D125">
            <v>1490.65</v>
          </cell>
          <cell r="E125">
            <v>1462.45</v>
          </cell>
          <cell r="F125">
            <v>1471.45</v>
          </cell>
        </row>
        <row r="126">
          <cell r="B126">
            <v>36710</v>
          </cell>
          <cell r="C126">
            <v>1473.45</v>
          </cell>
          <cell r="D126">
            <v>1498.7</v>
          </cell>
          <cell r="E126">
            <v>1473.45</v>
          </cell>
          <cell r="F126">
            <v>1495.25</v>
          </cell>
        </row>
        <row r="127">
          <cell r="B127">
            <v>36711</v>
          </cell>
          <cell r="C127">
            <v>1496.15</v>
          </cell>
          <cell r="D127">
            <v>1516.8</v>
          </cell>
          <cell r="E127">
            <v>1494.8</v>
          </cell>
          <cell r="F127">
            <v>1511.3</v>
          </cell>
        </row>
        <row r="128">
          <cell r="B128">
            <v>36712</v>
          </cell>
          <cell r="C128">
            <v>1511.5</v>
          </cell>
          <cell r="D128">
            <v>1530.9</v>
          </cell>
          <cell r="E128">
            <v>1511.5</v>
          </cell>
          <cell r="F128">
            <v>1526.05</v>
          </cell>
        </row>
        <row r="129">
          <cell r="B129">
            <v>36713</v>
          </cell>
          <cell r="C129">
            <v>1525.15</v>
          </cell>
          <cell r="D129">
            <v>1525.15</v>
          </cell>
          <cell r="E129">
            <v>1504.05</v>
          </cell>
          <cell r="F129">
            <v>1516.8</v>
          </cell>
        </row>
        <row r="130">
          <cell r="B130">
            <v>36714</v>
          </cell>
          <cell r="C130">
            <v>1517</v>
          </cell>
          <cell r="D130">
            <v>1528.15</v>
          </cell>
          <cell r="E130">
            <v>1513.4</v>
          </cell>
          <cell r="F130">
            <v>1517.6</v>
          </cell>
        </row>
        <row r="131">
          <cell r="B131">
            <v>36717</v>
          </cell>
          <cell r="C131">
            <v>1518.15</v>
          </cell>
          <cell r="D131">
            <v>1523.2</v>
          </cell>
          <cell r="E131">
            <v>1502.7</v>
          </cell>
          <cell r="F131">
            <v>1509.65</v>
          </cell>
        </row>
        <row r="132">
          <cell r="B132">
            <v>36718</v>
          </cell>
          <cell r="C132">
            <v>1510.55</v>
          </cell>
          <cell r="D132">
            <v>1523.1</v>
          </cell>
          <cell r="E132">
            <v>1506.15</v>
          </cell>
          <cell r="F132">
            <v>1518.55</v>
          </cell>
        </row>
        <row r="133">
          <cell r="B133">
            <v>36719</v>
          </cell>
          <cell r="C133">
            <v>1518.7</v>
          </cell>
          <cell r="D133">
            <v>1537.1</v>
          </cell>
          <cell r="E133">
            <v>1507.95</v>
          </cell>
          <cell r="F133">
            <v>1533.35</v>
          </cell>
        </row>
        <row r="134">
          <cell r="B134">
            <v>36720</v>
          </cell>
          <cell r="C134">
            <v>1535.55</v>
          </cell>
          <cell r="D134">
            <v>1564.75</v>
          </cell>
          <cell r="E134">
            <v>1513.65</v>
          </cell>
          <cell r="F134">
            <v>1522.6</v>
          </cell>
        </row>
        <row r="135">
          <cell r="B135">
            <v>36721</v>
          </cell>
          <cell r="C135">
            <v>1522.2</v>
          </cell>
          <cell r="D135">
            <v>1534.35</v>
          </cell>
          <cell r="E135">
            <v>1505.9</v>
          </cell>
          <cell r="F135">
            <v>1509.75</v>
          </cell>
        </row>
        <row r="136">
          <cell r="B136">
            <v>36724</v>
          </cell>
          <cell r="C136">
            <v>1509.25</v>
          </cell>
          <cell r="D136">
            <v>1512.25</v>
          </cell>
          <cell r="E136">
            <v>1475.15</v>
          </cell>
          <cell r="F136">
            <v>1479.65</v>
          </cell>
        </row>
        <row r="137">
          <cell r="B137">
            <v>36725</v>
          </cell>
          <cell r="C137">
            <v>1479.3</v>
          </cell>
          <cell r="D137">
            <v>1482.9</v>
          </cell>
          <cell r="E137">
            <v>1458.6</v>
          </cell>
          <cell r="F137">
            <v>1463.1</v>
          </cell>
        </row>
        <row r="138">
          <cell r="B138">
            <v>36726</v>
          </cell>
          <cell r="C138">
            <v>1464.55</v>
          </cell>
          <cell r="D138">
            <v>1468.55</v>
          </cell>
          <cell r="E138">
            <v>1432.85</v>
          </cell>
          <cell r="F138">
            <v>1435.8</v>
          </cell>
        </row>
        <row r="139">
          <cell r="B139">
            <v>36727</v>
          </cell>
          <cell r="C139">
            <v>1434.95</v>
          </cell>
          <cell r="D139">
            <v>1443.25</v>
          </cell>
          <cell r="E139">
            <v>1416</v>
          </cell>
          <cell r="F139">
            <v>1424.2</v>
          </cell>
        </row>
        <row r="140">
          <cell r="B140">
            <v>36728</v>
          </cell>
          <cell r="C140">
            <v>1424.9</v>
          </cell>
          <cell r="D140">
            <v>1435.2</v>
          </cell>
          <cell r="E140">
            <v>1394.3</v>
          </cell>
          <cell r="F140">
            <v>1397.25</v>
          </cell>
        </row>
        <row r="141">
          <cell r="B141">
            <v>36731</v>
          </cell>
          <cell r="C141">
            <v>1397.05</v>
          </cell>
          <cell r="D141">
            <v>1397.05</v>
          </cell>
          <cell r="E141">
            <v>1310.85</v>
          </cell>
          <cell r="F141">
            <v>1317.75</v>
          </cell>
        </row>
        <row r="142">
          <cell r="B142">
            <v>36732</v>
          </cell>
          <cell r="C142">
            <v>1317.35</v>
          </cell>
          <cell r="D142">
            <v>1363.45</v>
          </cell>
          <cell r="E142">
            <v>1269.25</v>
          </cell>
          <cell r="F142">
            <v>1348.9</v>
          </cell>
        </row>
        <row r="143">
          <cell r="B143">
            <v>36733</v>
          </cell>
          <cell r="C143">
            <v>1350.8</v>
          </cell>
          <cell r="D143">
            <v>1371.8</v>
          </cell>
          <cell r="E143">
            <v>1315.15</v>
          </cell>
          <cell r="F143">
            <v>1318.25</v>
          </cell>
        </row>
        <row r="144">
          <cell r="B144">
            <v>36734</v>
          </cell>
          <cell r="C144">
            <v>1317</v>
          </cell>
          <cell r="D144">
            <v>1342.75</v>
          </cell>
          <cell r="E144">
            <v>1291.3</v>
          </cell>
          <cell r="F144">
            <v>1338.05</v>
          </cell>
        </row>
        <row r="145">
          <cell r="B145">
            <v>36735</v>
          </cell>
          <cell r="C145">
            <v>1337.7</v>
          </cell>
          <cell r="D145">
            <v>1359.4</v>
          </cell>
          <cell r="E145">
            <v>1327.95</v>
          </cell>
          <cell r="F145">
            <v>1333.8</v>
          </cell>
        </row>
        <row r="146">
          <cell r="B146">
            <v>36738</v>
          </cell>
          <cell r="C146">
            <v>1333.3</v>
          </cell>
          <cell r="D146">
            <v>1343.65</v>
          </cell>
          <cell r="E146">
            <v>1317.3</v>
          </cell>
          <cell r="F146">
            <v>1332.85</v>
          </cell>
        </row>
        <row r="147">
          <cell r="B147">
            <v>36739</v>
          </cell>
          <cell r="C147">
            <v>1332.85</v>
          </cell>
          <cell r="D147">
            <v>1344.5</v>
          </cell>
          <cell r="E147">
            <v>1322.6</v>
          </cell>
          <cell r="F147">
            <v>1326.85</v>
          </cell>
        </row>
        <row r="148">
          <cell r="B148">
            <v>36740</v>
          </cell>
          <cell r="C148">
            <v>1323.7</v>
          </cell>
          <cell r="D148">
            <v>1333.85</v>
          </cell>
          <cell r="E148">
            <v>1312.25</v>
          </cell>
          <cell r="F148">
            <v>1331.9</v>
          </cell>
        </row>
        <row r="149">
          <cell r="B149">
            <v>36741</v>
          </cell>
          <cell r="C149">
            <v>1330.7</v>
          </cell>
          <cell r="D149">
            <v>1339.4</v>
          </cell>
          <cell r="E149">
            <v>1319</v>
          </cell>
          <cell r="F149">
            <v>1321.25</v>
          </cell>
        </row>
        <row r="150">
          <cell r="B150">
            <v>36742</v>
          </cell>
          <cell r="C150">
            <v>1320.25</v>
          </cell>
          <cell r="D150">
            <v>1333.15</v>
          </cell>
          <cell r="E150">
            <v>1302.6500000000001</v>
          </cell>
          <cell r="F150">
            <v>1318.55</v>
          </cell>
        </row>
        <row r="151">
          <cell r="B151">
            <v>36745</v>
          </cell>
          <cell r="C151">
            <v>1319.7</v>
          </cell>
          <cell r="D151">
            <v>1321.7</v>
          </cell>
          <cell r="E151">
            <v>1299.9000000000001</v>
          </cell>
          <cell r="F151">
            <v>1310.8</v>
          </cell>
        </row>
        <row r="152">
          <cell r="B152">
            <v>36746</v>
          </cell>
          <cell r="C152">
            <v>1312.1</v>
          </cell>
          <cell r="D152">
            <v>1348.25</v>
          </cell>
          <cell r="E152">
            <v>1311.15</v>
          </cell>
          <cell r="F152">
            <v>1345.6</v>
          </cell>
        </row>
        <row r="153">
          <cell r="B153">
            <v>36747</v>
          </cell>
          <cell r="C153">
            <v>1345.95</v>
          </cell>
          <cell r="D153">
            <v>1363.95</v>
          </cell>
          <cell r="E153">
            <v>1341.05</v>
          </cell>
          <cell r="F153">
            <v>1344.95</v>
          </cell>
        </row>
        <row r="154">
          <cell r="B154">
            <v>36748</v>
          </cell>
          <cell r="C154">
            <v>1345.25</v>
          </cell>
          <cell r="D154">
            <v>1360.4</v>
          </cell>
          <cell r="E154">
            <v>1325.15</v>
          </cell>
          <cell r="F154">
            <v>1328</v>
          </cell>
        </row>
        <row r="155">
          <cell r="B155">
            <v>36749</v>
          </cell>
          <cell r="C155">
            <v>1328.15</v>
          </cell>
          <cell r="D155">
            <v>1328.15</v>
          </cell>
          <cell r="E155">
            <v>1306.5999999999999</v>
          </cell>
          <cell r="F155">
            <v>1310.75</v>
          </cell>
        </row>
        <row r="156">
          <cell r="B156">
            <v>36752</v>
          </cell>
          <cell r="C156">
            <v>1312.25</v>
          </cell>
          <cell r="D156">
            <v>1321.55</v>
          </cell>
          <cell r="E156">
            <v>1295.45</v>
          </cell>
          <cell r="F156">
            <v>1317.9</v>
          </cell>
        </row>
        <row r="157">
          <cell r="B157">
            <v>36754</v>
          </cell>
          <cell r="C157">
            <v>1319.35</v>
          </cell>
          <cell r="D157">
            <v>1354.95</v>
          </cell>
          <cell r="E157">
            <v>1319.35</v>
          </cell>
          <cell r="F157">
            <v>1351.45</v>
          </cell>
        </row>
        <row r="158">
          <cell r="B158">
            <v>36755</v>
          </cell>
          <cell r="C158">
            <v>1351.5</v>
          </cell>
          <cell r="D158">
            <v>1363.05</v>
          </cell>
          <cell r="E158">
            <v>1334.95</v>
          </cell>
          <cell r="F158">
            <v>1341.4</v>
          </cell>
        </row>
        <row r="159">
          <cell r="B159">
            <v>36756</v>
          </cell>
          <cell r="C159">
            <v>1342</v>
          </cell>
          <cell r="D159">
            <v>1360.65</v>
          </cell>
          <cell r="E159">
            <v>1339.05</v>
          </cell>
          <cell r="F159">
            <v>1358.05</v>
          </cell>
        </row>
        <row r="160">
          <cell r="B160">
            <v>36759</v>
          </cell>
          <cell r="C160">
            <v>1358.75</v>
          </cell>
          <cell r="D160">
            <v>1374.5</v>
          </cell>
          <cell r="E160">
            <v>1358.75</v>
          </cell>
          <cell r="F160">
            <v>1370.25</v>
          </cell>
        </row>
        <row r="161">
          <cell r="B161">
            <v>36760</v>
          </cell>
          <cell r="C161">
            <v>1370.75</v>
          </cell>
          <cell r="D161">
            <v>1394.9</v>
          </cell>
          <cell r="E161">
            <v>1370.75</v>
          </cell>
          <cell r="F161">
            <v>1381.2</v>
          </cell>
        </row>
        <row r="162">
          <cell r="B162">
            <v>36761</v>
          </cell>
          <cell r="C162">
            <v>1381.6</v>
          </cell>
          <cell r="D162">
            <v>1398.9</v>
          </cell>
          <cell r="E162">
            <v>1376.9</v>
          </cell>
          <cell r="F162">
            <v>1386.05</v>
          </cell>
        </row>
        <row r="163">
          <cell r="B163">
            <v>36762</v>
          </cell>
          <cell r="C163">
            <v>1386.3</v>
          </cell>
          <cell r="D163">
            <v>1390.45</v>
          </cell>
          <cell r="E163">
            <v>1374.9</v>
          </cell>
          <cell r="F163">
            <v>1386.95</v>
          </cell>
        </row>
        <row r="164">
          <cell r="B164">
            <v>36763</v>
          </cell>
          <cell r="C164">
            <v>1387.35</v>
          </cell>
          <cell r="D164">
            <v>1396.1</v>
          </cell>
          <cell r="E164">
            <v>1377.75</v>
          </cell>
          <cell r="F164">
            <v>1381.25</v>
          </cell>
        </row>
        <row r="165">
          <cell r="B165">
            <v>36766</v>
          </cell>
          <cell r="C165">
            <v>1379.6</v>
          </cell>
          <cell r="D165">
            <v>1383.45</v>
          </cell>
          <cell r="E165">
            <v>1368.25</v>
          </cell>
          <cell r="F165">
            <v>1369.85</v>
          </cell>
        </row>
        <row r="166">
          <cell r="B166">
            <v>36767</v>
          </cell>
          <cell r="C166">
            <v>1368.65</v>
          </cell>
          <cell r="D166">
            <v>1373.55</v>
          </cell>
          <cell r="E166">
            <v>1360.65</v>
          </cell>
          <cell r="F166">
            <v>1367.7</v>
          </cell>
        </row>
        <row r="167">
          <cell r="B167">
            <v>36768</v>
          </cell>
          <cell r="C167">
            <v>1369.9</v>
          </cell>
          <cell r="D167">
            <v>1384.85</v>
          </cell>
          <cell r="E167">
            <v>1369.8</v>
          </cell>
          <cell r="F167">
            <v>1375.95</v>
          </cell>
        </row>
        <row r="168">
          <cell r="B168">
            <v>36769</v>
          </cell>
          <cell r="C168">
            <v>1376.5</v>
          </cell>
          <cell r="D168">
            <v>1397.3</v>
          </cell>
          <cell r="E168">
            <v>1375.9</v>
          </cell>
          <cell r="F168">
            <v>1394.1</v>
          </cell>
        </row>
        <row r="169">
          <cell r="B169">
            <v>36773</v>
          </cell>
          <cell r="C169">
            <v>1395.95</v>
          </cell>
          <cell r="D169">
            <v>1433.15</v>
          </cell>
          <cell r="E169">
            <v>1395.95</v>
          </cell>
          <cell r="F169">
            <v>1427.75</v>
          </cell>
        </row>
        <row r="170">
          <cell r="B170">
            <v>36774</v>
          </cell>
          <cell r="C170">
            <v>1428.05</v>
          </cell>
          <cell r="D170">
            <v>1434.65</v>
          </cell>
          <cell r="E170">
            <v>1420.9</v>
          </cell>
          <cell r="F170">
            <v>1428.25</v>
          </cell>
        </row>
        <row r="171">
          <cell r="B171">
            <v>36775</v>
          </cell>
          <cell r="C171">
            <v>1430.9</v>
          </cell>
          <cell r="D171">
            <v>1444.45</v>
          </cell>
          <cell r="E171">
            <v>1421</v>
          </cell>
          <cell r="F171">
            <v>1435.35</v>
          </cell>
        </row>
        <row r="172">
          <cell r="B172">
            <v>36776</v>
          </cell>
          <cell r="C172">
            <v>1434.7</v>
          </cell>
          <cell r="D172">
            <v>1450.2</v>
          </cell>
          <cell r="E172">
            <v>1424.35</v>
          </cell>
          <cell r="F172">
            <v>1439.75</v>
          </cell>
        </row>
        <row r="173">
          <cell r="B173">
            <v>36777</v>
          </cell>
          <cell r="C173">
            <v>1440.6</v>
          </cell>
          <cell r="D173">
            <v>1453.15</v>
          </cell>
          <cell r="E173">
            <v>1440.6</v>
          </cell>
          <cell r="F173">
            <v>1450.05</v>
          </cell>
        </row>
        <row r="174">
          <cell r="B174">
            <v>36780</v>
          </cell>
          <cell r="C174">
            <v>1449.35</v>
          </cell>
          <cell r="D174">
            <v>1469</v>
          </cell>
          <cell r="E174">
            <v>1448.95</v>
          </cell>
          <cell r="F174">
            <v>1456.35</v>
          </cell>
        </row>
        <row r="175">
          <cell r="B175">
            <v>36781</v>
          </cell>
          <cell r="C175">
            <v>1457.1</v>
          </cell>
          <cell r="D175">
            <v>1470.55</v>
          </cell>
          <cell r="E175">
            <v>1447.8</v>
          </cell>
          <cell r="F175">
            <v>1467.65</v>
          </cell>
        </row>
        <row r="176">
          <cell r="B176">
            <v>36782</v>
          </cell>
          <cell r="C176">
            <v>1467.65</v>
          </cell>
          <cell r="D176">
            <v>1482</v>
          </cell>
          <cell r="E176">
            <v>1452.6</v>
          </cell>
          <cell r="F176">
            <v>1456.15</v>
          </cell>
        </row>
        <row r="177">
          <cell r="B177">
            <v>36783</v>
          </cell>
          <cell r="C177">
            <v>1456.75</v>
          </cell>
          <cell r="D177">
            <v>1466.65</v>
          </cell>
          <cell r="E177">
            <v>1437.85</v>
          </cell>
          <cell r="F177">
            <v>1445.3</v>
          </cell>
        </row>
        <row r="178">
          <cell r="B178">
            <v>36784</v>
          </cell>
          <cell r="C178">
            <v>1443.25</v>
          </cell>
          <cell r="D178">
            <v>1451.05</v>
          </cell>
          <cell r="E178">
            <v>1411.55</v>
          </cell>
          <cell r="F178">
            <v>1417.2</v>
          </cell>
        </row>
        <row r="179">
          <cell r="B179">
            <v>36787</v>
          </cell>
          <cell r="C179">
            <v>1416.05</v>
          </cell>
          <cell r="D179">
            <v>1416.05</v>
          </cell>
          <cell r="E179">
            <v>1352.1</v>
          </cell>
          <cell r="F179">
            <v>1354.35</v>
          </cell>
        </row>
        <row r="180">
          <cell r="B180">
            <v>36788</v>
          </cell>
          <cell r="C180">
            <v>1351.8</v>
          </cell>
          <cell r="D180">
            <v>1361.7</v>
          </cell>
          <cell r="E180">
            <v>1295.3</v>
          </cell>
          <cell r="F180">
            <v>1317</v>
          </cell>
        </row>
        <row r="181">
          <cell r="B181">
            <v>36789</v>
          </cell>
          <cell r="C181">
            <v>1317.8</v>
          </cell>
          <cell r="D181">
            <v>1351.1</v>
          </cell>
          <cell r="E181">
            <v>1311.1</v>
          </cell>
          <cell r="F181">
            <v>1342.9</v>
          </cell>
        </row>
        <row r="182">
          <cell r="B182">
            <v>36790</v>
          </cell>
          <cell r="C182">
            <v>1341.65</v>
          </cell>
          <cell r="D182">
            <v>1347.4</v>
          </cell>
          <cell r="E182">
            <v>1325.75</v>
          </cell>
          <cell r="F182">
            <v>1329.85</v>
          </cell>
        </row>
        <row r="183">
          <cell r="B183">
            <v>36791</v>
          </cell>
          <cell r="C183">
            <v>1329.1</v>
          </cell>
          <cell r="D183">
            <v>1329.1</v>
          </cell>
          <cell r="E183">
            <v>1261.2</v>
          </cell>
          <cell r="F183">
            <v>1266.45</v>
          </cell>
        </row>
        <row r="184">
          <cell r="B184">
            <v>36794</v>
          </cell>
          <cell r="C184">
            <v>1268.4000000000001</v>
          </cell>
          <cell r="D184">
            <v>1305.0999999999999</v>
          </cell>
          <cell r="E184">
            <v>1268.4000000000001</v>
          </cell>
          <cell r="F184">
            <v>1292.55</v>
          </cell>
        </row>
        <row r="185">
          <cell r="B185">
            <v>36795</v>
          </cell>
          <cell r="C185">
            <v>1292.9000000000001</v>
          </cell>
          <cell r="D185">
            <v>1298.25</v>
          </cell>
          <cell r="E185">
            <v>1261</v>
          </cell>
          <cell r="F185">
            <v>1267.9000000000001</v>
          </cell>
        </row>
        <row r="186">
          <cell r="B186">
            <v>36796</v>
          </cell>
          <cell r="C186">
            <v>1267.45</v>
          </cell>
          <cell r="D186">
            <v>1299</v>
          </cell>
          <cell r="E186">
            <v>1249.3499999999999</v>
          </cell>
          <cell r="F186">
            <v>1292.55</v>
          </cell>
        </row>
        <row r="187">
          <cell r="B187">
            <v>36797</v>
          </cell>
          <cell r="C187">
            <v>1292.4000000000001</v>
          </cell>
          <cell r="D187">
            <v>1302.75</v>
          </cell>
          <cell r="E187">
            <v>1260.8</v>
          </cell>
          <cell r="F187">
            <v>1266.4000000000001</v>
          </cell>
        </row>
        <row r="188">
          <cell r="B188">
            <v>36798</v>
          </cell>
          <cell r="C188">
            <v>1267.3</v>
          </cell>
          <cell r="D188">
            <v>1284.1500000000001</v>
          </cell>
          <cell r="E188">
            <v>1264.4000000000001</v>
          </cell>
          <cell r="F188">
            <v>1271.6500000000001</v>
          </cell>
        </row>
        <row r="189">
          <cell r="B189">
            <v>36802</v>
          </cell>
          <cell r="C189">
            <v>1270.75</v>
          </cell>
          <cell r="D189">
            <v>1288.1500000000001</v>
          </cell>
          <cell r="E189">
            <v>1254.3499999999999</v>
          </cell>
          <cell r="F189">
            <v>1282</v>
          </cell>
        </row>
        <row r="190">
          <cell r="B190">
            <v>36803</v>
          </cell>
          <cell r="C190">
            <v>1281.45</v>
          </cell>
          <cell r="D190">
            <v>1300.05</v>
          </cell>
          <cell r="E190">
            <v>1275.8</v>
          </cell>
          <cell r="F190">
            <v>1297.8</v>
          </cell>
        </row>
        <row r="191">
          <cell r="B191">
            <v>36804</v>
          </cell>
          <cell r="C191">
            <v>1296.0999999999999</v>
          </cell>
          <cell r="D191">
            <v>1306.45</v>
          </cell>
          <cell r="E191">
            <v>1282.5</v>
          </cell>
          <cell r="F191">
            <v>1284.75</v>
          </cell>
        </row>
        <row r="192">
          <cell r="B192">
            <v>36805</v>
          </cell>
          <cell r="C192">
            <v>1284.3499999999999</v>
          </cell>
          <cell r="D192">
            <v>1287.8499999999999</v>
          </cell>
          <cell r="E192">
            <v>1262.6500000000001</v>
          </cell>
          <cell r="F192">
            <v>1285</v>
          </cell>
        </row>
        <row r="193">
          <cell r="B193">
            <v>36808</v>
          </cell>
          <cell r="C193">
            <v>1285.05</v>
          </cell>
          <cell r="D193">
            <v>1286.3499999999999</v>
          </cell>
          <cell r="E193">
            <v>1264.2</v>
          </cell>
          <cell r="F193">
            <v>1267.3</v>
          </cell>
        </row>
        <row r="194">
          <cell r="B194">
            <v>36809</v>
          </cell>
          <cell r="C194">
            <v>1268.7</v>
          </cell>
          <cell r="D194">
            <v>1272.75</v>
          </cell>
          <cell r="E194">
            <v>1230.05</v>
          </cell>
          <cell r="F194">
            <v>1238.95</v>
          </cell>
        </row>
        <row r="195">
          <cell r="B195">
            <v>36810</v>
          </cell>
          <cell r="C195">
            <v>1232.8499999999999</v>
          </cell>
          <cell r="D195">
            <v>1234.0999999999999</v>
          </cell>
          <cell r="E195">
            <v>1193.8</v>
          </cell>
          <cell r="F195">
            <v>1201.9000000000001</v>
          </cell>
        </row>
        <row r="196">
          <cell r="B196">
            <v>36811</v>
          </cell>
          <cell r="C196">
            <v>1201.3</v>
          </cell>
          <cell r="D196">
            <v>1214.3499999999999</v>
          </cell>
          <cell r="E196">
            <v>1185.0999999999999</v>
          </cell>
          <cell r="F196">
            <v>1206.25</v>
          </cell>
        </row>
        <row r="197">
          <cell r="B197">
            <v>36812</v>
          </cell>
          <cell r="C197">
            <v>1205.7</v>
          </cell>
          <cell r="D197">
            <v>1205.7</v>
          </cell>
          <cell r="E197">
            <v>1167.5</v>
          </cell>
          <cell r="F197">
            <v>1176.75</v>
          </cell>
        </row>
        <row r="198">
          <cell r="B198">
            <v>36815</v>
          </cell>
          <cell r="C198">
            <v>1177.8499999999999</v>
          </cell>
          <cell r="D198">
            <v>1228.8</v>
          </cell>
          <cell r="E198">
            <v>1173.3499999999999</v>
          </cell>
          <cell r="F198">
            <v>1175.45</v>
          </cell>
        </row>
        <row r="199">
          <cell r="B199">
            <v>36816</v>
          </cell>
          <cell r="C199">
            <v>1174.3</v>
          </cell>
          <cell r="D199">
            <v>1174.3</v>
          </cell>
          <cell r="E199">
            <v>1140.5999999999999</v>
          </cell>
          <cell r="F199">
            <v>1158.05</v>
          </cell>
        </row>
        <row r="200">
          <cell r="B200">
            <v>36817</v>
          </cell>
          <cell r="C200">
            <v>1157.05</v>
          </cell>
          <cell r="D200">
            <v>1157.05</v>
          </cell>
          <cell r="E200">
            <v>1122.8</v>
          </cell>
          <cell r="F200">
            <v>1136</v>
          </cell>
        </row>
        <row r="201">
          <cell r="B201">
            <v>36818</v>
          </cell>
          <cell r="C201">
            <v>1135.6500000000001</v>
          </cell>
          <cell r="D201">
            <v>1171.5</v>
          </cell>
          <cell r="E201">
            <v>1108.2</v>
          </cell>
          <cell r="F201">
            <v>1166.1500000000001</v>
          </cell>
        </row>
        <row r="202">
          <cell r="B202">
            <v>36819</v>
          </cell>
          <cell r="C202">
            <v>1166.2</v>
          </cell>
          <cell r="D202">
            <v>1202.7</v>
          </cell>
          <cell r="E202">
            <v>1166.2</v>
          </cell>
          <cell r="F202">
            <v>1172</v>
          </cell>
        </row>
        <row r="203">
          <cell r="B203">
            <v>36822</v>
          </cell>
          <cell r="C203">
            <v>1171.75</v>
          </cell>
          <cell r="D203">
            <v>1172.1500000000001</v>
          </cell>
          <cell r="E203">
            <v>1141.45</v>
          </cell>
          <cell r="F203">
            <v>1143.95</v>
          </cell>
        </row>
        <row r="204">
          <cell r="B204">
            <v>36823</v>
          </cell>
          <cell r="C204">
            <v>1143</v>
          </cell>
          <cell r="D204">
            <v>1155.3499999999999</v>
          </cell>
          <cell r="E204">
            <v>1132.9000000000001</v>
          </cell>
          <cell r="F204">
            <v>1152.45</v>
          </cell>
        </row>
        <row r="205">
          <cell r="B205">
            <v>36824</v>
          </cell>
          <cell r="C205">
            <v>1158.2</v>
          </cell>
          <cell r="D205">
            <v>1190.4000000000001</v>
          </cell>
          <cell r="E205">
            <v>1157.25</v>
          </cell>
          <cell r="F205">
            <v>1183.9000000000001</v>
          </cell>
        </row>
        <row r="206">
          <cell r="B206">
            <v>36825</v>
          </cell>
          <cell r="C206">
            <v>1182.8</v>
          </cell>
          <cell r="D206">
            <v>1188.2</v>
          </cell>
          <cell r="E206">
            <v>1176.5999999999999</v>
          </cell>
          <cell r="F206">
            <v>1186.3</v>
          </cell>
        </row>
        <row r="207">
          <cell r="B207">
            <v>36826</v>
          </cell>
          <cell r="C207">
            <v>1186.95</v>
          </cell>
          <cell r="D207">
            <v>1192.9000000000001</v>
          </cell>
          <cell r="E207">
            <v>1171.8499999999999</v>
          </cell>
          <cell r="F207">
            <v>1178.7</v>
          </cell>
        </row>
        <row r="208">
          <cell r="B208">
            <v>36829</v>
          </cell>
          <cell r="C208">
            <v>1178.75</v>
          </cell>
          <cell r="D208">
            <v>1185.8</v>
          </cell>
          <cell r="E208">
            <v>1164.25</v>
          </cell>
          <cell r="F208">
            <v>1167.1500000000001</v>
          </cell>
        </row>
        <row r="209">
          <cell r="B209">
            <v>36830</v>
          </cell>
          <cell r="C209">
            <v>1167.2</v>
          </cell>
          <cell r="D209">
            <v>1175.5999999999999</v>
          </cell>
          <cell r="E209">
            <v>1155.1500000000001</v>
          </cell>
          <cell r="F209">
            <v>1172.75</v>
          </cell>
        </row>
        <row r="210">
          <cell r="B210">
            <v>36831</v>
          </cell>
          <cell r="C210">
            <v>1178.25</v>
          </cell>
          <cell r="D210">
            <v>1203.8499999999999</v>
          </cell>
          <cell r="E210">
            <v>1177.0999999999999</v>
          </cell>
          <cell r="F210">
            <v>1200.8</v>
          </cell>
        </row>
        <row r="211">
          <cell r="B211">
            <v>36832</v>
          </cell>
          <cell r="C211">
            <v>1201.25</v>
          </cell>
          <cell r="D211">
            <v>1226.3499999999999</v>
          </cell>
          <cell r="E211">
            <v>1199.75</v>
          </cell>
          <cell r="F211">
            <v>1224.8499999999999</v>
          </cell>
        </row>
        <row r="212">
          <cell r="B212">
            <v>36833</v>
          </cell>
          <cell r="C212">
            <v>1225</v>
          </cell>
          <cell r="D212">
            <v>1249.2</v>
          </cell>
          <cell r="E212">
            <v>1225</v>
          </cell>
          <cell r="F212">
            <v>1242.05</v>
          </cell>
        </row>
        <row r="213">
          <cell r="B213">
            <v>36836</v>
          </cell>
          <cell r="C213">
            <v>1242.1500000000001</v>
          </cell>
          <cell r="D213">
            <v>1261.4000000000001</v>
          </cell>
          <cell r="E213">
            <v>1236.6500000000001</v>
          </cell>
          <cell r="F213">
            <v>1240.25</v>
          </cell>
        </row>
        <row r="214">
          <cell r="B214">
            <v>36837</v>
          </cell>
          <cell r="C214">
            <v>1239</v>
          </cell>
          <cell r="D214">
            <v>1249.0999999999999</v>
          </cell>
          <cell r="E214">
            <v>1232.3499999999999</v>
          </cell>
          <cell r="F214">
            <v>1246.75</v>
          </cell>
        </row>
        <row r="215">
          <cell r="B215">
            <v>36838</v>
          </cell>
          <cell r="C215">
            <v>1246.6500000000001</v>
          </cell>
          <cell r="D215">
            <v>1277.25</v>
          </cell>
          <cell r="E215">
            <v>1246.6500000000001</v>
          </cell>
          <cell r="F215">
            <v>1266.8</v>
          </cell>
        </row>
        <row r="216">
          <cell r="B216">
            <v>36839</v>
          </cell>
          <cell r="C216">
            <v>1266.75</v>
          </cell>
          <cell r="D216">
            <v>1275.55</v>
          </cell>
          <cell r="E216">
            <v>1255.95</v>
          </cell>
          <cell r="F216">
            <v>1269.95</v>
          </cell>
        </row>
        <row r="217">
          <cell r="B217">
            <v>36840</v>
          </cell>
          <cell r="C217">
            <v>1271.3499999999999</v>
          </cell>
          <cell r="D217">
            <v>1271.4000000000001</v>
          </cell>
          <cell r="E217">
            <v>1237.5</v>
          </cell>
          <cell r="F217">
            <v>1239.55</v>
          </cell>
        </row>
        <row r="218">
          <cell r="B218">
            <v>36843</v>
          </cell>
          <cell r="C218">
            <v>1239.3499999999999</v>
          </cell>
          <cell r="D218">
            <v>1239.3499999999999</v>
          </cell>
          <cell r="E218">
            <v>1199.95</v>
          </cell>
          <cell r="F218">
            <v>1208.05</v>
          </cell>
        </row>
        <row r="219">
          <cell r="B219">
            <v>36844</v>
          </cell>
          <cell r="C219">
            <v>1207.2</v>
          </cell>
          <cell r="D219">
            <v>1246.9000000000001</v>
          </cell>
          <cell r="E219">
            <v>1207.05</v>
          </cell>
          <cell r="F219">
            <v>1242.8499999999999</v>
          </cell>
        </row>
        <row r="220">
          <cell r="B220">
            <v>36845</v>
          </cell>
          <cell r="C220">
            <v>1245</v>
          </cell>
          <cell r="D220">
            <v>1270.0999999999999</v>
          </cell>
          <cell r="E220">
            <v>1243.2</v>
          </cell>
          <cell r="F220">
            <v>1247.05</v>
          </cell>
        </row>
        <row r="221">
          <cell r="B221">
            <v>36846</v>
          </cell>
          <cell r="C221">
            <v>1246.5999999999999</v>
          </cell>
          <cell r="D221">
            <v>1254.55</v>
          </cell>
          <cell r="E221">
            <v>1228.5999999999999</v>
          </cell>
          <cell r="F221">
            <v>1233.25</v>
          </cell>
        </row>
        <row r="222">
          <cell r="B222">
            <v>36847</v>
          </cell>
          <cell r="C222">
            <v>1232.3499999999999</v>
          </cell>
          <cell r="D222">
            <v>1238</v>
          </cell>
          <cell r="E222">
            <v>1216.9000000000001</v>
          </cell>
          <cell r="F222">
            <v>1236</v>
          </cell>
        </row>
        <row r="223">
          <cell r="B223">
            <v>36850</v>
          </cell>
          <cell r="C223">
            <v>1236</v>
          </cell>
          <cell r="D223">
            <v>1241.75</v>
          </cell>
          <cell r="E223">
            <v>1231.05</v>
          </cell>
          <cell r="F223">
            <v>1237.5999999999999</v>
          </cell>
        </row>
        <row r="224">
          <cell r="B224">
            <v>36851</v>
          </cell>
          <cell r="C224">
            <v>1236.95</v>
          </cell>
          <cell r="D224">
            <v>1237.8499999999999</v>
          </cell>
          <cell r="E224">
            <v>1224.3</v>
          </cell>
          <cell r="F224">
            <v>1235</v>
          </cell>
        </row>
        <row r="225">
          <cell r="B225">
            <v>36852</v>
          </cell>
          <cell r="C225">
            <v>1235.8499999999999</v>
          </cell>
          <cell r="D225">
            <v>1247.5</v>
          </cell>
          <cell r="E225">
            <v>1220.05</v>
          </cell>
          <cell r="F225">
            <v>1222.3499999999999</v>
          </cell>
        </row>
        <row r="226">
          <cell r="B226">
            <v>36853</v>
          </cell>
          <cell r="C226">
            <v>1221.2</v>
          </cell>
          <cell r="D226">
            <v>1223.05</v>
          </cell>
          <cell r="E226">
            <v>1209.8499999999999</v>
          </cell>
          <cell r="F226">
            <v>1216</v>
          </cell>
        </row>
        <row r="227">
          <cell r="B227">
            <v>36854</v>
          </cell>
          <cell r="C227">
            <v>1216.05</v>
          </cell>
          <cell r="D227">
            <v>1230</v>
          </cell>
          <cell r="E227">
            <v>1216.05</v>
          </cell>
          <cell r="F227">
            <v>1225.2</v>
          </cell>
        </row>
        <row r="228">
          <cell r="B228">
            <v>36857</v>
          </cell>
          <cell r="C228">
            <v>1225.4000000000001</v>
          </cell>
          <cell r="D228">
            <v>1254.45</v>
          </cell>
          <cell r="E228">
            <v>1225.3499999999999</v>
          </cell>
          <cell r="F228">
            <v>1252.9000000000001</v>
          </cell>
        </row>
        <row r="229">
          <cell r="B229">
            <v>36858</v>
          </cell>
          <cell r="C229">
            <v>1252.9000000000001</v>
          </cell>
          <cell r="D229">
            <v>1275.45</v>
          </cell>
          <cell r="E229">
            <v>1248.9000000000001</v>
          </cell>
          <cell r="F229">
            <v>1272.75</v>
          </cell>
        </row>
        <row r="230">
          <cell r="B230">
            <v>36859</v>
          </cell>
          <cell r="C230">
            <v>1272.25</v>
          </cell>
          <cell r="D230">
            <v>1281</v>
          </cell>
          <cell r="E230">
            <v>1253.45</v>
          </cell>
          <cell r="F230">
            <v>1264.75</v>
          </cell>
        </row>
        <row r="231">
          <cell r="B231">
            <v>36860</v>
          </cell>
          <cell r="C231">
            <v>1264.75</v>
          </cell>
          <cell r="D231">
            <v>1272.0999999999999</v>
          </cell>
          <cell r="E231">
            <v>1258.4000000000001</v>
          </cell>
          <cell r="F231">
            <v>1268.1500000000001</v>
          </cell>
        </row>
        <row r="232">
          <cell r="B232">
            <v>36861</v>
          </cell>
          <cell r="C232">
            <v>1268.0999999999999</v>
          </cell>
          <cell r="D232">
            <v>1280.5</v>
          </cell>
          <cell r="E232">
            <v>1255.2</v>
          </cell>
          <cell r="F232">
            <v>1276.2</v>
          </cell>
        </row>
        <row r="233">
          <cell r="B233">
            <v>36864</v>
          </cell>
          <cell r="C233">
            <v>1276.25</v>
          </cell>
          <cell r="D233">
            <v>1290</v>
          </cell>
          <cell r="E233">
            <v>1273.6500000000001</v>
          </cell>
          <cell r="F233">
            <v>1275.5999999999999</v>
          </cell>
        </row>
        <row r="234">
          <cell r="B234">
            <v>36865</v>
          </cell>
          <cell r="C234">
            <v>1275.7</v>
          </cell>
          <cell r="D234">
            <v>1288.2</v>
          </cell>
          <cell r="E234">
            <v>1275.5</v>
          </cell>
          <cell r="F234">
            <v>1284.6500000000001</v>
          </cell>
        </row>
        <row r="235">
          <cell r="B235">
            <v>36866</v>
          </cell>
          <cell r="C235">
            <v>1284.8499999999999</v>
          </cell>
          <cell r="D235">
            <v>1319.85</v>
          </cell>
          <cell r="E235">
            <v>1284.8499999999999</v>
          </cell>
          <cell r="F235">
            <v>1298.55</v>
          </cell>
        </row>
        <row r="236">
          <cell r="B236">
            <v>36867</v>
          </cell>
          <cell r="C236">
            <v>1298.9000000000001</v>
          </cell>
          <cell r="D236">
            <v>1308.45</v>
          </cell>
          <cell r="E236">
            <v>1295.0999999999999</v>
          </cell>
          <cell r="F236">
            <v>1302.5</v>
          </cell>
        </row>
        <row r="237">
          <cell r="B237">
            <v>36868</v>
          </cell>
          <cell r="C237">
            <v>1303.3</v>
          </cell>
          <cell r="D237">
            <v>1317.2</v>
          </cell>
          <cell r="E237">
            <v>1303.3</v>
          </cell>
          <cell r="F237">
            <v>1313.7</v>
          </cell>
        </row>
        <row r="238">
          <cell r="B238">
            <v>36871</v>
          </cell>
          <cell r="C238">
            <v>1313.7</v>
          </cell>
          <cell r="D238">
            <v>1333.5</v>
          </cell>
          <cell r="E238">
            <v>1313.7</v>
          </cell>
          <cell r="F238">
            <v>1332.15</v>
          </cell>
        </row>
        <row r="239">
          <cell r="B239">
            <v>36872</v>
          </cell>
          <cell r="C239">
            <v>1332.2</v>
          </cell>
          <cell r="D239">
            <v>1341.75</v>
          </cell>
          <cell r="E239">
            <v>1327.6</v>
          </cell>
          <cell r="F239">
            <v>1333.35</v>
          </cell>
        </row>
        <row r="240">
          <cell r="B240">
            <v>36873</v>
          </cell>
          <cell r="C240">
            <v>1333.8</v>
          </cell>
          <cell r="D240">
            <v>1360.8</v>
          </cell>
          <cell r="E240">
            <v>1333.8</v>
          </cell>
          <cell r="F240">
            <v>1354.3</v>
          </cell>
        </row>
        <row r="241">
          <cell r="B241">
            <v>36874</v>
          </cell>
          <cell r="C241">
            <v>1354.45</v>
          </cell>
          <cell r="D241">
            <v>1369.5</v>
          </cell>
          <cell r="E241">
            <v>1346.15</v>
          </cell>
          <cell r="F241">
            <v>1349.35</v>
          </cell>
        </row>
        <row r="242">
          <cell r="B242">
            <v>36875</v>
          </cell>
          <cell r="C242">
            <v>1349.25</v>
          </cell>
          <cell r="D242">
            <v>1349.25</v>
          </cell>
          <cell r="E242">
            <v>1308.1500000000001</v>
          </cell>
          <cell r="F242">
            <v>1312.6</v>
          </cell>
        </row>
        <row r="243">
          <cell r="B243">
            <v>36878</v>
          </cell>
          <cell r="C243">
            <v>1310.1500000000001</v>
          </cell>
          <cell r="D243">
            <v>1321.65</v>
          </cell>
          <cell r="E243">
            <v>1297.2</v>
          </cell>
          <cell r="F243">
            <v>1317.6</v>
          </cell>
        </row>
        <row r="244">
          <cell r="B244">
            <v>36879</v>
          </cell>
          <cell r="C244">
            <v>1317.75</v>
          </cell>
          <cell r="D244">
            <v>1325.6</v>
          </cell>
          <cell r="E244">
            <v>1307</v>
          </cell>
          <cell r="F244">
            <v>1310.5</v>
          </cell>
        </row>
        <row r="245">
          <cell r="B245">
            <v>36880</v>
          </cell>
          <cell r="C245">
            <v>1312.8</v>
          </cell>
          <cell r="D245">
            <v>1313.4</v>
          </cell>
          <cell r="E245">
            <v>1285.45</v>
          </cell>
          <cell r="F245">
            <v>1295.25</v>
          </cell>
        </row>
        <row r="246">
          <cell r="B246">
            <v>36881</v>
          </cell>
          <cell r="C246">
            <v>1294.25</v>
          </cell>
          <cell r="D246">
            <v>1294.25</v>
          </cell>
          <cell r="E246">
            <v>1257.0999999999999</v>
          </cell>
          <cell r="F246">
            <v>1277.4000000000001</v>
          </cell>
        </row>
        <row r="247">
          <cell r="B247">
            <v>36882</v>
          </cell>
          <cell r="C247">
            <v>1278.95</v>
          </cell>
          <cell r="D247">
            <v>1292.8</v>
          </cell>
          <cell r="E247">
            <v>1237.3</v>
          </cell>
          <cell r="F247">
            <v>1242</v>
          </cell>
        </row>
        <row r="248">
          <cell r="B248">
            <v>36886</v>
          </cell>
          <cell r="C248">
            <v>1242.05</v>
          </cell>
          <cell r="D248">
            <v>1248.5</v>
          </cell>
          <cell r="E248">
            <v>1207.95</v>
          </cell>
          <cell r="F248">
            <v>1212</v>
          </cell>
        </row>
        <row r="249">
          <cell r="B249">
            <v>36887</v>
          </cell>
          <cell r="C249">
            <v>1212.1500000000001</v>
          </cell>
          <cell r="D249">
            <v>1239</v>
          </cell>
          <cell r="E249">
            <v>1208.75</v>
          </cell>
          <cell r="F249">
            <v>1228.3</v>
          </cell>
        </row>
        <row r="250">
          <cell r="B250">
            <v>36888</v>
          </cell>
          <cell r="C250">
            <v>1229.3499999999999</v>
          </cell>
          <cell r="D250">
            <v>1253.5999999999999</v>
          </cell>
          <cell r="E250">
            <v>1229.3499999999999</v>
          </cell>
          <cell r="F250">
            <v>1248.95</v>
          </cell>
        </row>
        <row r="251">
          <cell r="B251">
            <v>36889</v>
          </cell>
          <cell r="C251">
            <v>1249</v>
          </cell>
          <cell r="D251">
            <v>1265.9000000000001</v>
          </cell>
          <cell r="E251">
            <v>1242.25</v>
          </cell>
          <cell r="F251">
            <v>1263.55</v>
          </cell>
        </row>
        <row r="252">
          <cell r="B252">
            <v>36892</v>
          </cell>
          <cell r="C252">
            <v>1263.5</v>
          </cell>
          <cell r="D252">
            <v>1276.1500000000001</v>
          </cell>
          <cell r="E252">
            <v>1250.6500000000001</v>
          </cell>
          <cell r="F252">
            <v>1254.3</v>
          </cell>
        </row>
        <row r="253">
          <cell r="B253">
            <v>36893</v>
          </cell>
          <cell r="C253">
            <v>1254.25</v>
          </cell>
          <cell r="D253">
            <v>1279.5999999999999</v>
          </cell>
          <cell r="E253">
            <v>1248.55</v>
          </cell>
          <cell r="F253">
            <v>1271.8</v>
          </cell>
        </row>
        <row r="254">
          <cell r="B254">
            <v>36894</v>
          </cell>
          <cell r="C254">
            <v>1271.8</v>
          </cell>
          <cell r="D254">
            <v>1293.55</v>
          </cell>
          <cell r="E254">
            <v>1263.95</v>
          </cell>
          <cell r="F254">
            <v>1291.25</v>
          </cell>
        </row>
        <row r="255">
          <cell r="B255">
            <v>36895</v>
          </cell>
          <cell r="C255">
            <v>1291.3</v>
          </cell>
          <cell r="D255">
            <v>1331.35</v>
          </cell>
          <cell r="E255">
            <v>1291.3</v>
          </cell>
          <cell r="F255">
            <v>1307.6500000000001</v>
          </cell>
        </row>
        <row r="256">
          <cell r="B256">
            <v>36896</v>
          </cell>
          <cell r="C256">
            <v>1307.55</v>
          </cell>
          <cell r="D256">
            <v>1330.3</v>
          </cell>
          <cell r="E256">
            <v>1306.25</v>
          </cell>
          <cell r="F256">
            <v>1327.25</v>
          </cell>
        </row>
        <row r="257">
          <cell r="B257">
            <v>36899</v>
          </cell>
          <cell r="C257">
            <v>1327.35</v>
          </cell>
          <cell r="D257">
            <v>1334.2</v>
          </cell>
          <cell r="E257">
            <v>1303.3499999999999</v>
          </cell>
          <cell r="F257">
            <v>1309.25</v>
          </cell>
        </row>
        <row r="258">
          <cell r="B258">
            <v>36900</v>
          </cell>
          <cell r="C258">
            <v>1309.2</v>
          </cell>
          <cell r="D258">
            <v>1323.4</v>
          </cell>
          <cell r="E258">
            <v>1304.9000000000001</v>
          </cell>
          <cell r="F258">
            <v>1311.65</v>
          </cell>
        </row>
        <row r="259">
          <cell r="B259">
            <v>36901</v>
          </cell>
          <cell r="C259">
            <v>1311.65</v>
          </cell>
          <cell r="D259">
            <v>1324.35</v>
          </cell>
          <cell r="E259">
            <v>1285.3</v>
          </cell>
          <cell r="F259">
            <v>1287.3</v>
          </cell>
        </row>
        <row r="260">
          <cell r="B260">
            <v>36902</v>
          </cell>
          <cell r="C260">
            <v>1287.5</v>
          </cell>
          <cell r="D260">
            <v>1296.75</v>
          </cell>
          <cell r="E260">
            <v>1275.95</v>
          </cell>
          <cell r="F260">
            <v>1280.4000000000001</v>
          </cell>
        </row>
        <row r="261">
          <cell r="B261">
            <v>36903</v>
          </cell>
          <cell r="C261">
            <v>1280.45</v>
          </cell>
          <cell r="D261">
            <v>1298.8499999999999</v>
          </cell>
          <cell r="E261">
            <v>1279.4000000000001</v>
          </cell>
          <cell r="F261">
            <v>1286.75</v>
          </cell>
        </row>
        <row r="262">
          <cell r="B262">
            <v>36906</v>
          </cell>
          <cell r="C262">
            <v>1286.8499999999999</v>
          </cell>
          <cell r="D262">
            <v>1295.2</v>
          </cell>
          <cell r="E262">
            <v>1277.8499999999999</v>
          </cell>
          <cell r="F262">
            <v>1286.75</v>
          </cell>
        </row>
        <row r="263">
          <cell r="B263">
            <v>36907</v>
          </cell>
          <cell r="C263">
            <v>1287</v>
          </cell>
          <cell r="D263">
            <v>1302.5999999999999</v>
          </cell>
          <cell r="E263">
            <v>1279.8499999999999</v>
          </cell>
          <cell r="F263">
            <v>1293.05</v>
          </cell>
        </row>
        <row r="264">
          <cell r="B264">
            <v>36908</v>
          </cell>
          <cell r="C264">
            <v>1299.4000000000001</v>
          </cell>
          <cell r="D264">
            <v>1312.35</v>
          </cell>
          <cell r="E264">
            <v>1295.3</v>
          </cell>
          <cell r="F264">
            <v>1297.9000000000001</v>
          </cell>
        </row>
        <row r="265">
          <cell r="B265">
            <v>36909</v>
          </cell>
          <cell r="C265">
            <v>1297.95</v>
          </cell>
          <cell r="D265">
            <v>1309.95</v>
          </cell>
          <cell r="E265">
            <v>1297.95</v>
          </cell>
          <cell r="F265">
            <v>1305.95</v>
          </cell>
        </row>
        <row r="266">
          <cell r="B266">
            <v>36910</v>
          </cell>
          <cell r="C266">
            <v>1306</v>
          </cell>
          <cell r="D266">
            <v>1333.5</v>
          </cell>
          <cell r="E266">
            <v>1306</v>
          </cell>
          <cell r="F266">
            <v>1329.1</v>
          </cell>
        </row>
        <row r="267">
          <cell r="B267">
            <v>36913</v>
          </cell>
          <cell r="C267">
            <v>1329.3</v>
          </cell>
          <cell r="D267">
            <v>1351.85</v>
          </cell>
          <cell r="E267">
            <v>1329.3</v>
          </cell>
          <cell r="F267">
            <v>1348</v>
          </cell>
        </row>
        <row r="268">
          <cell r="B268">
            <v>36914</v>
          </cell>
          <cell r="C268">
            <v>1347.95</v>
          </cell>
          <cell r="D268">
            <v>1362.05</v>
          </cell>
          <cell r="E268">
            <v>1346.5</v>
          </cell>
          <cell r="F268">
            <v>1355.2</v>
          </cell>
        </row>
        <row r="269">
          <cell r="B269">
            <v>36915</v>
          </cell>
          <cell r="C269">
            <v>1355.35</v>
          </cell>
          <cell r="D269">
            <v>1371.1</v>
          </cell>
          <cell r="E269">
            <v>1355.35</v>
          </cell>
          <cell r="F269">
            <v>1365.95</v>
          </cell>
        </row>
        <row r="270">
          <cell r="B270">
            <v>36916</v>
          </cell>
          <cell r="C270">
            <v>1366.05</v>
          </cell>
          <cell r="D270">
            <v>1374.2</v>
          </cell>
          <cell r="E270">
            <v>1353.5</v>
          </cell>
          <cell r="F270">
            <v>1370.1</v>
          </cell>
        </row>
        <row r="271">
          <cell r="B271">
            <v>36920</v>
          </cell>
          <cell r="C271">
            <v>1368.55</v>
          </cell>
          <cell r="D271">
            <v>1368.55</v>
          </cell>
          <cell r="E271">
            <v>1312.1</v>
          </cell>
          <cell r="F271">
            <v>1342.05</v>
          </cell>
        </row>
        <row r="272">
          <cell r="B272">
            <v>36921</v>
          </cell>
          <cell r="C272">
            <v>1342.1</v>
          </cell>
          <cell r="D272">
            <v>1382.55</v>
          </cell>
          <cell r="E272">
            <v>1342.05</v>
          </cell>
          <cell r="F272">
            <v>1379.7</v>
          </cell>
        </row>
        <row r="273">
          <cell r="B273">
            <v>36922</v>
          </cell>
          <cell r="C273">
            <v>1385.85</v>
          </cell>
          <cell r="D273">
            <v>1396.05</v>
          </cell>
          <cell r="E273">
            <v>1369</v>
          </cell>
          <cell r="F273">
            <v>1371.7</v>
          </cell>
        </row>
        <row r="274">
          <cell r="B274">
            <v>36923</v>
          </cell>
          <cell r="C274">
            <v>1371.5</v>
          </cell>
          <cell r="D274">
            <v>1373.5</v>
          </cell>
          <cell r="E274">
            <v>1340.95</v>
          </cell>
          <cell r="F274">
            <v>1359.15</v>
          </cell>
        </row>
        <row r="275">
          <cell r="B275">
            <v>36924</v>
          </cell>
          <cell r="C275">
            <v>1359.1</v>
          </cell>
          <cell r="D275">
            <v>1384.9</v>
          </cell>
          <cell r="E275">
            <v>1355.3</v>
          </cell>
          <cell r="F275">
            <v>1378.85</v>
          </cell>
        </row>
        <row r="276">
          <cell r="B276">
            <v>36927</v>
          </cell>
          <cell r="C276">
            <v>1378.8</v>
          </cell>
          <cell r="D276">
            <v>1392.15</v>
          </cell>
          <cell r="E276">
            <v>1373.45</v>
          </cell>
          <cell r="F276">
            <v>1382.6</v>
          </cell>
        </row>
        <row r="277">
          <cell r="B277">
            <v>36928</v>
          </cell>
          <cell r="C277">
            <v>1382.7</v>
          </cell>
          <cell r="D277">
            <v>1395.4</v>
          </cell>
          <cell r="E277">
            <v>1382.7</v>
          </cell>
          <cell r="F277">
            <v>1387.1</v>
          </cell>
        </row>
        <row r="278">
          <cell r="B278">
            <v>36929</v>
          </cell>
          <cell r="C278">
            <v>1387.3</v>
          </cell>
          <cell r="D278">
            <v>1391.85</v>
          </cell>
          <cell r="E278">
            <v>1368.05</v>
          </cell>
          <cell r="F278">
            <v>1370.8</v>
          </cell>
        </row>
        <row r="279">
          <cell r="B279">
            <v>36930</v>
          </cell>
          <cell r="C279">
            <v>1370.65</v>
          </cell>
          <cell r="D279">
            <v>1396.8</v>
          </cell>
          <cell r="E279">
            <v>1365.05</v>
          </cell>
          <cell r="F279">
            <v>1395.5</v>
          </cell>
        </row>
        <row r="280">
          <cell r="B280">
            <v>36931</v>
          </cell>
          <cell r="C280">
            <v>1395.55</v>
          </cell>
          <cell r="D280">
            <v>1416.3</v>
          </cell>
          <cell r="E280">
            <v>1395.55</v>
          </cell>
          <cell r="F280">
            <v>1405.7</v>
          </cell>
        </row>
        <row r="281">
          <cell r="B281">
            <v>36934</v>
          </cell>
          <cell r="C281">
            <v>1405.7</v>
          </cell>
          <cell r="D281">
            <v>1416.45</v>
          </cell>
          <cell r="E281">
            <v>1397.6</v>
          </cell>
          <cell r="F281">
            <v>1402.2</v>
          </cell>
        </row>
        <row r="282">
          <cell r="B282">
            <v>36935</v>
          </cell>
          <cell r="C282">
            <v>1402.2</v>
          </cell>
          <cell r="D282">
            <v>1412.7</v>
          </cell>
          <cell r="E282">
            <v>1386.65</v>
          </cell>
          <cell r="F282">
            <v>1391.2</v>
          </cell>
        </row>
        <row r="283">
          <cell r="B283">
            <v>36936</v>
          </cell>
          <cell r="C283">
            <v>1393.15</v>
          </cell>
          <cell r="D283">
            <v>1396.35</v>
          </cell>
          <cell r="E283">
            <v>1380.65</v>
          </cell>
          <cell r="F283">
            <v>1393.35</v>
          </cell>
        </row>
        <row r="284">
          <cell r="B284">
            <v>36937</v>
          </cell>
          <cell r="C284">
            <v>1393.35</v>
          </cell>
          <cell r="D284">
            <v>1421</v>
          </cell>
          <cell r="E284">
            <v>1393.35</v>
          </cell>
          <cell r="F284">
            <v>1416.7</v>
          </cell>
        </row>
        <row r="285">
          <cell r="B285">
            <v>36938</v>
          </cell>
          <cell r="C285">
            <v>1415.85</v>
          </cell>
          <cell r="D285">
            <v>1422.95</v>
          </cell>
          <cell r="E285">
            <v>1376.15</v>
          </cell>
          <cell r="F285">
            <v>1381.35</v>
          </cell>
        </row>
        <row r="286">
          <cell r="B286">
            <v>36941</v>
          </cell>
          <cell r="C286">
            <v>1381.4</v>
          </cell>
          <cell r="D286">
            <v>1392.05</v>
          </cell>
          <cell r="E286">
            <v>1369.45</v>
          </cell>
          <cell r="F286">
            <v>1384.8</v>
          </cell>
        </row>
        <row r="287">
          <cell r="B287">
            <v>36942</v>
          </cell>
          <cell r="C287">
            <v>1384.85</v>
          </cell>
          <cell r="D287">
            <v>1392.8</v>
          </cell>
          <cell r="E287">
            <v>1380.4</v>
          </cell>
          <cell r="F287">
            <v>1383.85</v>
          </cell>
        </row>
        <row r="288">
          <cell r="B288">
            <v>36943</v>
          </cell>
          <cell r="C288">
            <v>1383.9</v>
          </cell>
          <cell r="D288">
            <v>1389.55</v>
          </cell>
          <cell r="E288">
            <v>1364.25</v>
          </cell>
          <cell r="F288">
            <v>1370.1</v>
          </cell>
        </row>
        <row r="289">
          <cell r="B289">
            <v>36944</v>
          </cell>
          <cell r="C289">
            <v>1370.05</v>
          </cell>
          <cell r="D289">
            <v>1370.05</v>
          </cell>
          <cell r="E289">
            <v>1335.65</v>
          </cell>
          <cell r="F289">
            <v>1355.1</v>
          </cell>
        </row>
        <row r="290">
          <cell r="B290">
            <v>36945</v>
          </cell>
          <cell r="C290">
            <v>1355.1</v>
          </cell>
          <cell r="D290">
            <v>1362.8</v>
          </cell>
          <cell r="E290">
            <v>1314.1</v>
          </cell>
          <cell r="F290">
            <v>1320.45</v>
          </cell>
        </row>
        <row r="291">
          <cell r="B291">
            <v>36948</v>
          </cell>
          <cell r="C291">
            <v>1320.9</v>
          </cell>
          <cell r="D291">
            <v>1325.2</v>
          </cell>
          <cell r="E291">
            <v>1299.05</v>
          </cell>
          <cell r="F291">
            <v>1312.4</v>
          </cell>
        </row>
        <row r="292">
          <cell r="B292">
            <v>36949</v>
          </cell>
          <cell r="C292">
            <v>1312.45</v>
          </cell>
          <cell r="D292">
            <v>1324</v>
          </cell>
          <cell r="E292">
            <v>1281.9000000000001</v>
          </cell>
          <cell r="F292">
            <v>1295.55</v>
          </cell>
        </row>
        <row r="293">
          <cell r="B293">
            <v>36950</v>
          </cell>
          <cell r="C293">
            <v>1295.3</v>
          </cell>
          <cell r="D293">
            <v>1362.25</v>
          </cell>
          <cell r="E293">
            <v>1294.5999999999999</v>
          </cell>
          <cell r="F293">
            <v>1351.4</v>
          </cell>
        </row>
        <row r="294">
          <cell r="B294">
            <v>36951</v>
          </cell>
          <cell r="C294">
            <v>1351.75</v>
          </cell>
          <cell r="D294">
            <v>1399.55</v>
          </cell>
          <cell r="E294">
            <v>1345.05</v>
          </cell>
          <cell r="F294">
            <v>1358.05</v>
          </cell>
        </row>
        <row r="295">
          <cell r="B295">
            <v>36952</v>
          </cell>
          <cell r="C295">
            <v>1360.25</v>
          </cell>
          <cell r="D295">
            <v>1386.75</v>
          </cell>
          <cell r="E295">
            <v>1301.8</v>
          </cell>
          <cell r="F295">
            <v>1306.3499999999999</v>
          </cell>
        </row>
        <row r="296">
          <cell r="B296">
            <v>36955</v>
          </cell>
          <cell r="C296">
            <v>1304.8499999999999</v>
          </cell>
          <cell r="D296">
            <v>1316.45</v>
          </cell>
          <cell r="E296">
            <v>1259.0999999999999</v>
          </cell>
          <cell r="F296">
            <v>1271.45</v>
          </cell>
        </row>
        <row r="297">
          <cell r="B297">
            <v>36957</v>
          </cell>
          <cell r="C297">
            <v>1272.8</v>
          </cell>
          <cell r="D297">
            <v>1311.1</v>
          </cell>
          <cell r="E297">
            <v>1249.45</v>
          </cell>
          <cell r="F297">
            <v>1290.5</v>
          </cell>
        </row>
        <row r="298">
          <cell r="B298">
            <v>36958</v>
          </cell>
          <cell r="C298">
            <v>1290.8499999999999</v>
          </cell>
          <cell r="D298">
            <v>1307.95</v>
          </cell>
          <cell r="E298">
            <v>1279.3</v>
          </cell>
          <cell r="F298">
            <v>1292.8499999999999</v>
          </cell>
        </row>
        <row r="299">
          <cell r="B299">
            <v>36959</v>
          </cell>
          <cell r="C299">
            <v>1292.7</v>
          </cell>
          <cell r="D299">
            <v>1292.7</v>
          </cell>
          <cell r="E299">
            <v>1219.3499999999999</v>
          </cell>
          <cell r="F299">
            <v>1254.75</v>
          </cell>
        </row>
        <row r="300">
          <cell r="B300">
            <v>36962</v>
          </cell>
          <cell r="C300">
            <v>1253.25</v>
          </cell>
          <cell r="D300">
            <v>1253.25</v>
          </cell>
          <cell r="E300">
            <v>1193.95</v>
          </cell>
          <cell r="F300">
            <v>1197.95</v>
          </cell>
        </row>
        <row r="301">
          <cell r="B301">
            <v>36963</v>
          </cell>
          <cell r="C301">
            <v>1197.8499999999999</v>
          </cell>
          <cell r="D301">
            <v>1201.1500000000001</v>
          </cell>
          <cell r="E301">
            <v>1098.75</v>
          </cell>
          <cell r="F301">
            <v>1124.7</v>
          </cell>
        </row>
        <row r="302">
          <cell r="B302">
            <v>36964</v>
          </cell>
          <cell r="C302">
            <v>1125.1500000000001</v>
          </cell>
          <cell r="D302">
            <v>1200.25</v>
          </cell>
          <cell r="E302">
            <v>1114.5999999999999</v>
          </cell>
          <cell r="F302">
            <v>1194.2</v>
          </cell>
        </row>
        <row r="303">
          <cell r="B303">
            <v>36965</v>
          </cell>
          <cell r="C303">
            <v>1191.5999999999999</v>
          </cell>
          <cell r="D303">
            <v>1219.7</v>
          </cell>
          <cell r="E303">
            <v>1170.7</v>
          </cell>
          <cell r="F303">
            <v>1217.1500000000001</v>
          </cell>
        </row>
        <row r="304">
          <cell r="B304">
            <v>36966</v>
          </cell>
          <cell r="C304">
            <v>1216.9000000000001</v>
          </cell>
          <cell r="D304">
            <v>1233.4000000000001</v>
          </cell>
          <cell r="E304">
            <v>1179.5999999999999</v>
          </cell>
          <cell r="F304">
            <v>1193.55</v>
          </cell>
        </row>
        <row r="305">
          <cell r="B305">
            <v>36969</v>
          </cell>
          <cell r="C305">
            <v>1192.8499999999999</v>
          </cell>
          <cell r="D305">
            <v>1201.7</v>
          </cell>
          <cell r="E305">
            <v>1173.1500000000001</v>
          </cell>
          <cell r="F305">
            <v>1186.7</v>
          </cell>
        </row>
        <row r="306">
          <cell r="B306">
            <v>36970</v>
          </cell>
          <cell r="C306">
            <v>1186.8</v>
          </cell>
          <cell r="D306">
            <v>1193.3499999999999</v>
          </cell>
          <cell r="E306">
            <v>1162.3499999999999</v>
          </cell>
          <cell r="F306">
            <v>1170.95</v>
          </cell>
        </row>
        <row r="307">
          <cell r="B307">
            <v>36971</v>
          </cell>
          <cell r="C307">
            <v>1168.8</v>
          </cell>
          <cell r="D307">
            <v>1212.2</v>
          </cell>
          <cell r="E307">
            <v>1156.1500000000001</v>
          </cell>
          <cell r="F307">
            <v>1207.0999999999999</v>
          </cell>
        </row>
        <row r="308">
          <cell r="B308">
            <v>36972</v>
          </cell>
          <cell r="C308">
            <v>1206.45</v>
          </cell>
          <cell r="D308">
            <v>1218.3499999999999</v>
          </cell>
          <cell r="E308">
            <v>1184.95</v>
          </cell>
          <cell r="F308">
            <v>1187.55</v>
          </cell>
        </row>
        <row r="309">
          <cell r="B309">
            <v>36973</v>
          </cell>
          <cell r="C309">
            <v>1187.5999999999999</v>
          </cell>
          <cell r="D309">
            <v>1196.55</v>
          </cell>
          <cell r="E309">
            <v>1139.6500000000001</v>
          </cell>
          <cell r="F309">
            <v>1161.3</v>
          </cell>
        </row>
        <row r="310">
          <cell r="B310">
            <v>36976</v>
          </cell>
          <cell r="C310">
            <v>1159.8499999999999</v>
          </cell>
          <cell r="D310">
            <v>1165.6500000000001</v>
          </cell>
          <cell r="E310">
            <v>1147.5</v>
          </cell>
          <cell r="F310">
            <v>1161.5</v>
          </cell>
        </row>
        <row r="311">
          <cell r="B311">
            <v>36977</v>
          </cell>
          <cell r="C311">
            <v>1161.5999999999999</v>
          </cell>
          <cell r="D311">
            <v>1182.7</v>
          </cell>
          <cell r="E311">
            <v>1157.25</v>
          </cell>
          <cell r="F311">
            <v>1177.75</v>
          </cell>
        </row>
        <row r="312">
          <cell r="B312">
            <v>36978</v>
          </cell>
          <cell r="C312">
            <v>1177.55</v>
          </cell>
          <cell r="D312">
            <v>1209.5999999999999</v>
          </cell>
          <cell r="E312">
            <v>1177.55</v>
          </cell>
          <cell r="F312">
            <v>1206.2</v>
          </cell>
        </row>
        <row r="313">
          <cell r="B313">
            <v>36979</v>
          </cell>
          <cell r="C313">
            <v>1204.9000000000001</v>
          </cell>
          <cell r="D313">
            <v>1210.0999999999999</v>
          </cell>
          <cell r="E313">
            <v>1185</v>
          </cell>
          <cell r="F313">
            <v>1195.0999999999999</v>
          </cell>
        </row>
        <row r="314">
          <cell r="B314">
            <v>36980</v>
          </cell>
          <cell r="C314">
            <v>1195.05</v>
          </cell>
          <cell r="D314">
            <v>1195.25</v>
          </cell>
          <cell r="E314">
            <v>1144.6500000000001</v>
          </cell>
          <cell r="F314">
            <v>1148.2</v>
          </cell>
        </row>
        <row r="315">
          <cell r="B315">
            <v>36983</v>
          </cell>
          <cell r="C315">
            <v>1148.0999999999999</v>
          </cell>
          <cell r="D315">
            <v>1148.0999999999999</v>
          </cell>
          <cell r="E315">
            <v>1094.3499999999999</v>
          </cell>
          <cell r="F315">
            <v>1138.0999999999999</v>
          </cell>
        </row>
        <row r="316">
          <cell r="B316">
            <v>36984</v>
          </cell>
          <cell r="C316">
            <v>1136.6500000000001</v>
          </cell>
          <cell r="D316">
            <v>1153.0999999999999</v>
          </cell>
          <cell r="E316">
            <v>1128.0999999999999</v>
          </cell>
          <cell r="F316">
            <v>1149.25</v>
          </cell>
        </row>
        <row r="317">
          <cell r="B317">
            <v>36985</v>
          </cell>
          <cell r="C317">
            <v>1146.0999999999999</v>
          </cell>
          <cell r="D317">
            <v>1146.1500000000001</v>
          </cell>
          <cell r="E317">
            <v>1120.3499999999999</v>
          </cell>
          <cell r="F317">
            <v>1136.6500000000001</v>
          </cell>
        </row>
        <row r="318">
          <cell r="B318">
            <v>36987</v>
          </cell>
          <cell r="C318">
            <v>1137.55</v>
          </cell>
          <cell r="D318">
            <v>1171.8499999999999</v>
          </cell>
          <cell r="E318">
            <v>1133.05</v>
          </cell>
          <cell r="F318">
            <v>1139.5999999999999</v>
          </cell>
        </row>
        <row r="319">
          <cell r="B319">
            <v>36990</v>
          </cell>
          <cell r="C319">
            <v>1137.5999999999999</v>
          </cell>
          <cell r="D319">
            <v>1138.55</v>
          </cell>
          <cell r="E319">
            <v>1116.0999999999999</v>
          </cell>
          <cell r="F319">
            <v>1128.3499999999999</v>
          </cell>
        </row>
        <row r="320">
          <cell r="B320">
            <v>36991</v>
          </cell>
          <cell r="C320">
            <v>1129.0999999999999</v>
          </cell>
          <cell r="D320">
            <v>1129.75</v>
          </cell>
          <cell r="E320">
            <v>1093.05</v>
          </cell>
          <cell r="F320">
            <v>1103.05</v>
          </cell>
        </row>
        <row r="321">
          <cell r="B321">
            <v>36992</v>
          </cell>
          <cell r="C321">
            <v>1104.9000000000001</v>
          </cell>
          <cell r="D321">
            <v>1116.8499999999999</v>
          </cell>
          <cell r="E321">
            <v>1056.0999999999999</v>
          </cell>
          <cell r="F321">
            <v>1066.8</v>
          </cell>
        </row>
        <row r="322">
          <cell r="B322">
            <v>36993</v>
          </cell>
          <cell r="C322">
            <v>1066.75</v>
          </cell>
          <cell r="D322">
            <v>1066.75</v>
          </cell>
          <cell r="E322">
            <v>1001.8</v>
          </cell>
          <cell r="F322">
            <v>1024.9000000000001</v>
          </cell>
        </row>
        <row r="323">
          <cell r="B323">
            <v>36997</v>
          </cell>
          <cell r="C323">
            <v>1024</v>
          </cell>
          <cell r="D323">
            <v>1049.4000000000001</v>
          </cell>
          <cell r="E323">
            <v>1000.1</v>
          </cell>
          <cell r="F323">
            <v>1044.5999999999999</v>
          </cell>
        </row>
        <row r="324">
          <cell r="B324">
            <v>36998</v>
          </cell>
          <cell r="C324">
            <v>1044.8499999999999</v>
          </cell>
          <cell r="D324">
            <v>1072.9000000000001</v>
          </cell>
          <cell r="E324">
            <v>1037.7</v>
          </cell>
          <cell r="F324">
            <v>1067</v>
          </cell>
        </row>
        <row r="325">
          <cell r="B325">
            <v>36999</v>
          </cell>
          <cell r="C325">
            <v>1066.5</v>
          </cell>
          <cell r="D325">
            <v>1106.3</v>
          </cell>
          <cell r="E325">
            <v>1063.05</v>
          </cell>
          <cell r="F325">
            <v>1103.4000000000001</v>
          </cell>
        </row>
        <row r="326">
          <cell r="B326">
            <v>37000</v>
          </cell>
          <cell r="C326">
            <v>1103.5999999999999</v>
          </cell>
          <cell r="D326">
            <v>1159.3</v>
          </cell>
          <cell r="E326">
            <v>1103.5999999999999</v>
          </cell>
          <cell r="F326">
            <v>1144.45</v>
          </cell>
        </row>
        <row r="327">
          <cell r="B327">
            <v>37001</v>
          </cell>
          <cell r="C327">
            <v>1145.75</v>
          </cell>
          <cell r="D327">
            <v>1156.45</v>
          </cell>
          <cell r="E327">
            <v>1120.5999999999999</v>
          </cell>
          <cell r="F327">
            <v>1144</v>
          </cell>
        </row>
        <row r="328">
          <cell r="B328">
            <v>37004</v>
          </cell>
          <cell r="C328">
            <v>1144.05</v>
          </cell>
          <cell r="D328">
            <v>1162.05</v>
          </cell>
          <cell r="E328">
            <v>1137.3</v>
          </cell>
          <cell r="F328">
            <v>1149.75</v>
          </cell>
        </row>
        <row r="329">
          <cell r="B329">
            <v>37005</v>
          </cell>
          <cell r="C329">
            <v>1149.5999999999999</v>
          </cell>
          <cell r="D329">
            <v>1149.5999999999999</v>
          </cell>
          <cell r="E329">
            <v>1128.4000000000001</v>
          </cell>
          <cell r="F329">
            <v>1146.3</v>
          </cell>
        </row>
        <row r="330">
          <cell r="B330">
            <v>37006</v>
          </cell>
          <cell r="C330">
            <v>1146.5</v>
          </cell>
          <cell r="D330">
            <v>1162.8499999999999</v>
          </cell>
          <cell r="E330">
            <v>1142.3</v>
          </cell>
          <cell r="F330">
            <v>1155.3499999999999</v>
          </cell>
        </row>
        <row r="331">
          <cell r="B331">
            <v>37007</v>
          </cell>
          <cell r="C331">
            <v>1155.4000000000001</v>
          </cell>
          <cell r="D331">
            <v>1170.2</v>
          </cell>
          <cell r="E331">
            <v>1138.8499999999999</v>
          </cell>
          <cell r="F331">
            <v>1143.75</v>
          </cell>
        </row>
        <row r="332">
          <cell r="B332">
            <v>37008</v>
          </cell>
          <cell r="C332">
            <v>1143.6500000000001</v>
          </cell>
          <cell r="D332">
            <v>1143.6500000000001</v>
          </cell>
          <cell r="E332">
            <v>1078.0999999999999</v>
          </cell>
          <cell r="F332">
            <v>1101.3</v>
          </cell>
        </row>
        <row r="333">
          <cell r="B333">
            <v>37011</v>
          </cell>
          <cell r="C333">
            <v>1101.45</v>
          </cell>
          <cell r="D333">
            <v>1127.9000000000001</v>
          </cell>
          <cell r="E333">
            <v>1101.45</v>
          </cell>
          <cell r="F333">
            <v>1125.25</v>
          </cell>
        </row>
        <row r="334">
          <cell r="B334">
            <v>37013</v>
          </cell>
          <cell r="C334">
            <v>1125.45</v>
          </cell>
          <cell r="D334">
            <v>1150.6500000000001</v>
          </cell>
          <cell r="E334">
            <v>1125.25</v>
          </cell>
          <cell r="F334">
            <v>1137.2</v>
          </cell>
        </row>
        <row r="335">
          <cell r="B335">
            <v>37014</v>
          </cell>
          <cell r="C335">
            <v>1137.1500000000001</v>
          </cell>
          <cell r="D335">
            <v>1139.8499999999999</v>
          </cell>
          <cell r="E335">
            <v>1117.7</v>
          </cell>
          <cell r="F335">
            <v>1122.05</v>
          </cell>
        </row>
        <row r="336">
          <cell r="B336">
            <v>37015</v>
          </cell>
          <cell r="C336">
            <v>1121.45</v>
          </cell>
          <cell r="D336">
            <v>1131.95</v>
          </cell>
          <cell r="E336">
            <v>1113.6500000000001</v>
          </cell>
          <cell r="F336">
            <v>1130.05</v>
          </cell>
        </row>
        <row r="337">
          <cell r="B337">
            <v>37018</v>
          </cell>
          <cell r="C337">
            <v>1130.05</v>
          </cell>
          <cell r="D337">
            <v>1145.4000000000001</v>
          </cell>
          <cell r="E337">
            <v>1130.05</v>
          </cell>
          <cell r="F337">
            <v>1139.2</v>
          </cell>
        </row>
        <row r="338">
          <cell r="B338">
            <v>37019</v>
          </cell>
          <cell r="C338">
            <v>1139.25</v>
          </cell>
          <cell r="D338">
            <v>1151.95</v>
          </cell>
          <cell r="E338">
            <v>1138.2</v>
          </cell>
          <cell r="F338">
            <v>1148.95</v>
          </cell>
        </row>
        <row r="339">
          <cell r="B339">
            <v>37020</v>
          </cell>
          <cell r="C339">
            <v>1149.9000000000001</v>
          </cell>
          <cell r="D339">
            <v>1164.3</v>
          </cell>
          <cell r="E339">
            <v>1145.25</v>
          </cell>
          <cell r="F339">
            <v>1149.25</v>
          </cell>
        </row>
        <row r="340">
          <cell r="B340">
            <v>37021</v>
          </cell>
          <cell r="C340">
            <v>1149.0999999999999</v>
          </cell>
          <cell r="D340">
            <v>1151.5999999999999</v>
          </cell>
          <cell r="E340">
            <v>1139.25</v>
          </cell>
          <cell r="F340">
            <v>1144.95</v>
          </cell>
        </row>
        <row r="341">
          <cell r="B341">
            <v>37022</v>
          </cell>
          <cell r="C341">
            <v>1144.0999999999999</v>
          </cell>
          <cell r="D341">
            <v>1146.8499999999999</v>
          </cell>
          <cell r="E341">
            <v>1136.9000000000001</v>
          </cell>
          <cell r="F341">
            <v>1140.5</v>
          </cell>
        </row>
        <row r="342">
          <cell r="B342">
            <v>37025</v>
          </cell>
          <cell r="C342">
            <v>1140.45</v>
          </cell>
          <cell r="D342">
            <v>1146.25</v>
          </cell>
          <cell r="E342">
            <v>1134.05</v>
          </cell>
          <cell r="F342">
            <v>1140.8</v>
          </cell>
        </row>
        <row r="343">
          <cell r="B343">
            <v>37026</v>
          </cell>
          <cell r="C343">
            <v>1140.75</v>
          </cell>
          <cell r="D343">
            <v>1147.75</v>
          </cell>
          <cell r="E343">
            <v>1096.25</v>
          </cell>
          <cell r="F343">
            <v>1145.3</v>
          </cell>
        </row>
        <row r="344">
          <cell r="B344">
            <v>37027</v>
          </cell>
          <cell r="C344">
            <v>1147.0999999999999</v>
          </cell>
          <cell r="D344">
            <v>1163.1500000000001</v>
          </cell>
          <cell r="E344">
            <v>1146.05</v>
          </cell>
          <cell r="F344">
            <v>1151.1500000000001</v>
          </cell>
        </row>
        <row r="345">
          <cell r="B345">
            <v>37028</v>
          </cell>
          <cell r="C345">
            <v>1151.2</v>
          </cell>
          <cell r="D345">
            <v>1179</v>
          </cell>
          <cell r="E345">
            <v>1150.5999999999999</v>
          </cell>
          <cell r="F345">
            <v>1174.95</v>
          </cell>
        </row>
        <row r="346">
          <cell r="B346">
            <v>37029</v>
          </cell>
          <cell r="C346">
            <v>1175</v>
          </cell>
          <cell r="D346">
            <v>1187.6500000000001</v>
          </cell>
          <cell r="E346">
            <v>1169.2</v>
          </cell>
          <cell r="F346">
            <v>1172.8</v>
          </cell>
        </row>
        <row r="347">
          <cell r="B347">
            <v>37032</v>
          </cell>
          <cell r="C347">
            <v>1172.95</v>
          </cell>
          <cell r="D347">
            <v>1182.6500000000001</v>
          </cell>
          <cell r="E347">
            <v>1166.7</v>
          </cell>
          <cell r="F347">
            <v>1169.45</v>
          </cell>
        </row>
        <row r="348">
          <cell r="B348">
            <v>37033</v>
          </cell>
          <cell r="C348">
            <v>1169.5</v>
          </cell>
          <cell r="D348">
            <v>1176.2</v>
          </cell>
          <cell r="E348">
            <v>1165.6500000000001</v>
          </cell>
          <cell r="F348">
            <v>1168.0999999999999</v>
          </cell>
        </row>
        <row r="349">
          <cell r="B349">
            <v>37034</v>
          </cell>
          <cell r="C349">
            <v>1168.25</v>
          </cell>
          <cell r="D349">
            <v>1181.8</v>
          </cell>
          <cell r="E349">
            <v>1167</v>
          </cell>
          <cell r="F349">
            <v>1179.0999999999999</v>
          </cell>
        </row>
        <row r="350">
          <cell r="B350">
            <v>37035</v>
          </cell>
          <cell r="C350">
            <v>1179.0999999999999</v>
          </cell>
          <cell r="D350">
            <v>1190.1500000000001</v>
          </cell>
          <cell r="E350">
            <v>1177.55</v>
          </cell>
          <cell r="F350">
            <v>1181.8499999999999</v>
          </cell>
        </row>
        <row r="351">
          <cell r="B351">
            <v>37036</v>
          </cell>
          <cell r="C351">
            <v>1181.95</v>
          </cell>
          <cell r="D351">
            <v>1188.5</v>
          </cell>
          <cell r="E351">
            <v>1171.3499999999999</v>
          </cell>
          <cell r="F351">
            <v>1174.9000000000001</v>
          </cell>
        </row>
        <row r="352">
          <cell r="B352">
            <v>37039</v>
          </cell>
          <cell r="C352">
            <v>1174.95</v>
          </cell>
          <cell r="D352">
            <v>1194.5</v>
          </cell>
          <cell r="E352">
            <v>1174.45</v>
          </cell>
          <cell r="F352">
            <v>1193.2</v>
          </cell>
        </row>
        <row r="353">
          <cell r="B353">
            <v>37040</v>
          </cell>
          <cell r="C353">
            <v>1193.25</v>
          </cell>
          <cell r="D353">
            <v>1202.05</v>
          </cell>
          <cell r="E353">
            <v>1193.25</v>
          </cell>
          <cell r="F353">
            <v>1198.45</v>
          </cell>
        </row>
        <row r="354">
          <cell r="B354">
            <v>37041</v>
          </cell>
          <cell r="C354">
            <v>1199.5</v>
          </cell>
          <cell r="D354">
            <v>1207</v>
          </cell>
          <cell r="E354">
            <v>1173.75</v>
          </cell>
          <cell r="F354">
            <v>1177.55</v>
          </cell>
        </row>
        <row r="355">
          <cell r="B355">
            <v>37042</v>
          </cell>
          <cell r="C355">
            <v>1177.5</v>
          </cell>
          <cell r="D355">
            <v>1177.5</v>
          </cell>
          <cell r="E355">
            <v>1154.9000000000001</v>
          </cell>
          <cell r="F355">
            <v>1167.9000000000001</v>
          </cell>
        </row>
        <row r="356">
          <cell r="B356">
            <v>37043</v>
          </cell>
          <cell r="C356">
            <v>1168.0999999999999</v>
          </cell>
          <cell r="D356">
            <v>1175.8</v>
          </cell>
          <cell r="E356">
            <v>1146.9000000000001</v>
          </cell>
          <cell r="F356">
            <v>1148.05</v>
          </cell>
        </row>
        <row r="357">
          <cell r="B357">
            <v>37046</v>
          </cell>
          <cell r="C357">
            <v>1148</v>
          </cell>
          <cell r="D357">
            <v>1154.45</v>
          </cell>
          <cell r="E357">
            <v>1125.3499999999999</v>
          </cell>
          <cell r="F357">
            <v>1127.2</v>
          </cell>
        </row>
        <row r="358">
          <cell r="B358">
            <v>37047</v>
          </cell>
          <cell r="C358">
            <v>1127.1500000000001</v>
          </cell>
          <cell r="D358">
            <v>1130.6500000000001</v>
          </cell>
          <cell r="E358">
            <v>1106.8</v>
          </cell>
          <cell r="F358">
            <v>1115.5999999999999</v>
          </cell>
        </row>
        <row r="359">
          <cell r="B359">
            <v>37048</v>
          </cell>
          <cell r="C359">
            <v>1117.5</v>
          </cell>
          <cell r="D359">
            <v>1132.95</v>
          </cell>
          <cell r="E359">
            <v>1114</v>
          </cell>
          <cell r="F359">
            <v>1115.7</v>
          </cell>
        </row>
        <row r="360">
          <cell r="B360">
            <v>37049</v>
          </cell>
          <cell r="C360">
            <v>1115.05</v>
          </cell>
          <cell r="D360">
            <v>1116.0999999999999</v>
          </cell>
          <cell r="E360">
            <v>1095.45</v>
          </cell>
          <cell r="F360">
            <v>1112.3499999999999</v>
          </cell>
        </row>
        <row r="361">
          <cell r="B361">
            <v>37050</v>
          </cell>
          <cell r="C361">
            <v>1112.45</v>
          </cell>
          <cell r="D361">
            <v>1128.9000000000001</v>
          </cell>
          <cell r="E361">
            <v>1112.45</v>
          </cell>
          <cell r="F361">
            <v>1126.5999999999999</v>
          </cell>
        </row>
        <row r="362">
          <cell r="B362">
            <v>37053</v>
          </cell>
          <cell r="C362">
            <v>1126.55</v>
          </cell>
          <cell r="D362">
            <v>1134.8</v>
          </cell>
          <cell r="E362">
            <v>1122.3499999999999</v>
          </cell>
          <cell r="F362">
            <v>1131.0999999999999</v>
          </cell>
        </row>
        <row r="363">
          <cell r="B363">
            <v>37054</v>
          </cell>
          <cell r="C363">
            <v>1131.05</v>
          </cell>
          <cell r="D363">
            <v>1133.3</v>
          </cell>
          <cell r="E363">
            <v>1121.8</v>
          </cell>
          <cell r="F363">
            <v>1127.1500000000001</v>
          </cell>
        </row>
        <row r="364">
          <cell r="B364">
            <v>37055</v>
          </cell>
          <cell r="C364">
            <v>1127.0999999999999</v>
          </cell>
          <cell r="D364">
            <v>1132.95</v>
          </cell>
          <cell r="E364">
            <v>1126.9000000000001</v>
          </cell>
          <cell r="F364">
            <v>1129</v>
          </cell>
        </row>
        <row r="365">
          <cell r="B365">
            <v>37056</v>
          </cell>
          <cell r="C365">
            <v>1128.95</v>
          </cell>
          <cell r="D365">
            <v>1128.95</v>
          </cell>
          <cell r="E365">
            <v>1110.1500000000001</v>
          </cell>
          <cell r="F365">
            <v>1112.75</v>
          </cell>
        </row>
        <row r="366">
          <cell r="B366">
            <v>37057</v>
          </cell>
          <cell r="C366">
            <v>1112.7</v>
          </cell>
          <cell r="D366">
            <v>1112.7</v>
          </cell>
          <cell r="E366">
            <v>1084.2</v>
          </cell>
          <cell r="F366">
            <v>1087.75</v>
          </cell>
        </row>
        <row r="367">
          <cell r="B367">
            <v>37060</v>
          </cell>
          <cell r="C367">
            <v>1087.75</v>
          </cell>
          <cell r="D367">
            <v>1087.75</v>
          </cell>
          <cell r="E367">
            <v>1064.4000000000001</v>
          </cell>
          <cell r="F367">
            <v>1078.3</v>
          </cell>
        </row>
        <row r="368">
          <cell r="B368">
            <v>37061</v>
          </cell>
          <cell r="C368">
            <v>1078.25</v>
          </cell>
          <cell r="D368">
            <v>1099.7</v>
          </cell>
          <cell r="E368">
            <v>1075.45</v>
          </cell>
          <cell r="F368">
            <v>1096.6500000000001</v>
          </cell>
        </row>
        <row r="369">
          <cell r="B369">
            <v>37062</v>
          </cell>
          <cell r="C369">
            <v>1096.3499999999999</v>
          </cell>
          <cell r="D369">
            <v>1100.55</v>
          </cell>
          <cell r="E369">
            <v>1084.7</v>
          </cell>
          <cell r="F369">
            <v>1097.5999999999999</v>
          </cell>
        </row>
        <row r="370">
          <cell r="B370">
            <v>37063</v>
          </cell>
          <cell r="C370">
            <v>1097.9000000000001</v>
          </cell>
          <cell r="D370">
            <v>1102.45</v>
          </cell>
          <cell r="E370">
            <v>1090.25</v>
          </cell>
          <cell r="F370">
            <v>1095.2</v>
          </cell>
        </row>
        <row r="371">
          <cell r="B371">
            <v>37064</v>
          </cell>
          <cell r="C371">
            <v>1095.8499999999999</v>
          </cell>
          <cell r="D371">
            <v>1097.8</v>
          </cell>
          <cell r="E371">
            <v>1081.3</v>
          </cell>
          <cell r="F371">
            <v>1087.6500000000001</v>
          </cell>
        </row>
        <row r="372">
          <cell r="B372">
            <v>37067</v>
          </cell>
          <cell r="C372">
            <v>1087.0999999999999</v>
          </cell>
          <cell r="D372">
            <v>1087.0999999999999</v>
          </cell>
          <cell r="E372">
            <v>1064.4000000000001</v>
          </cell>
          <cell r="F372">
            <v>1067</v>
          </cell>
        </row>
        <row r="373">
          <cell r="B373">
            <v>37068</v>
          </cell>
          <cell r="C373">
            <v>1066.4000000000001</v>
          </cell>
          <cell r="D373">
            <v>1099.8</v>
          </cell>
          <cell r="E373">
            <v>1060.05</v>
          </cell>
          <cell r="F373">
            <v>1096.5999999999999</v>
          </cell>
        </row>
        <row r="374">
          <cell r="B374">
            <v>37069</v>
          </cell>
          <cell r="C374">
            <v>1096.5999999999999</v>
          </cell>
          <cell r="D374">
            <v>1102.8</v>
          </cell>
          <cell r="E374">
            <v>1086.75</v>
          </cell>
          <cell r="F374">
            <v>1096.0999999999999</v>
          </cell>
        </row>
        <row r="375">
          <cell r="B375">
            <v>37070</v>
          </cell>
          <cell r="C375">
            <v>1095.8499999999999</v>
          </cell>
          <cell r="D375">
            <v>1101</v>
          </cell>
          <cell r="E375">
            <v>1090.2</v>
          </cell>
          <cell r="F375">
            <v>1094</v>
          </cell>
        </row>
        <row r="376">
          <cell r="B376">
            <v>37071</v>
          </cell>
          <cell r="C376">
            <v>1094.05</v>
          </cell>
          <cell r="D376">
            <v>1114.3499999999999</v>
          </cell>
          <cell r="E376">
            <v>1091.05</v>
          </cell>
          <cell r="F376">
            <v>1107.9000000000001</v>
          </cell>
        </row>
        <row r="377">
          <cell r="B377">
            <v>37074</v>
          </cell>
          <cell r="C377">
            <v>1108.3499999999999</v>
          </cell>
          <cell r="D377">
            <v>1119.55</v>
          </cell>
          <cell r="E377">
            <v>1097.95</v>
          </cell>
          <cell r="F377">
            <v>1100.75</v>
          </cell>
        </row>
        <row r="378">
          <cell r="B378">
            <v>37075</v>
          </cell>
          <cell r="C378">
            <v>1097.4000000000001</v>
          </cell>
          <cell r="D378">
            <v>1097.4000000000001</v>
          </cell>
          <cell r="E378">
            <v>1066.05</v>
          </cell>
          <cell r="F378">
            <v>1069.8</v>
          </cell>
        </row>
        <row r="379">
          <cell r="B379">
            <v>37076</v>
          </cell>
          <cell r="C379">
            <v>1068.05</v>
          </cell>
          <cell r="D379">
            <v>1074.5999999999999</v>
          </cell>
          <cell r="E379">
            <v>1062.2</v>
          </cell>
          <cell r="F379">
            <v>1067.95</v>
          </cell>
        </row>
        <row r="380">
          <cell r="B380">
            <v>37077</v>
          </cell>
          <cell r="C380">
            <v>1068.3499999999999</v>
          </cell>
          <cell r="D380">
            <v>1079.3499999999999</v>
          </cell>
          <cell r="E380">
            <v>1066.95</v>
          </cell>
          <cell r="F380">
            <v>1069.75</v>
          </cell>
        </row>
        <row r="381">
          <cell r="B381">
            <v>37078</v>
          </cell>
          <cell r="C381">
            <v>1069.1500000000001</v>
          </cell>
          <cell r="D381">
            <v>1069.1500000000001</v>
          </cell>
          <cell r="E381">
            <v>1059.5999999999999</v>
          </cell>
          <cell r="F381">
            <v>1065.0999999999999</v>
          </cell>
        </row>
        <row r="382">
          <cell r="B382">
            <v>37081</v>
          </cell>
          <cell r="C382">
            <v>1064.8</v>
          </cell>
          <cell r="D382">
            <v>1064.8</v>
          </cell>
          <cell r="E382">
            <v>1052.0999999999999</v>
          </cell>
          <cell r="F382">
            <v>1059.5</v>
          </cell>
        </row>
        <row r="383">
          <cell r="B383">
            <v>37082</v>
          </cell>
          <cell r="C383">
            <v>1059.95</v>
          </cell>
          <cell r="D383">
            <v>1078.0999999999999</v>
          </cell>
          <cell r="E383">
            <v>1059.25</v>
          </cell>
          <cell r="F383">
            <v>1072.05</v>
          </cell>
        </row>
        <row r="384">
          <cell r="B384">
            <v>37083</v>
          </cell>
          <cell r="C384">
            <v>1072.1500000000001</v>
          </cell>
          <cell r="D384">
            <v>1088.5</v>
          </cell>
          <cell r="E384">
            <v>1068.3499999999999</v>
          </cell>
          <cell r="F384">
            <v>1083.6500000000001</v>
          </cell>
        </row>
        <row r="385">
          <cell r="B385">
            <v>37084</v>
          </cell>
          <cell r="C385">
            <v>1083.8</v>
          </cell>
          <cell r="D385">
            <v>1109</v>
          </cell>
          <cell r="E385">
            <v>1083.8</v>
          </cell>
          <cell r="F385">
            <v>1105.5</v>
          </cell>
        </row>
        <row r="386">
          <cell r="B386">
            <v>37085</v>
          </cell>
          <cell r="C386">
            <v>1105.7</v>
          </cell>
          <cell r="D386">
            <v>1127.1500000000001</v>
          </cell>
          <cell r="E386">
            <v>1103.3</v>
          </cell>
          <cell r="F386">
            <v>1110.45</v>
          </cell>
        </row>
        <row r="387">
          <cell r="B387">
            <v>37088</v>
          </cell>
          <cell r="C387">
            <v>1110.3499999999999</v>
          </cell>
          <cell r="D387">
            <v>1116.7</v>
          </cell>
          <cell r="E387">
            <v>1102.45</v>
          </cell>
          <cell r="F387">
            <v>1105.55</v>
          </cell>
        </row>
        <row r="388">
          <cell r="B388">
            <v>37089</v>
          </cell>
          <cell r="C388">
            <v>1103.55</v>
          </cell>
          <cell r="D388">
            <v>1106.05</v>
          </cell>
          <cell r="E388">
            <v>1092.5</v>
          </cell>
          <cell r="F388">
            <v>1103.0999999999999</v>
          </cell>
        </row>
        <row r="389">
          <cell r="B389">
            <v>37090</v>
          </cell>
          <cell r="C389">
            <v>1103.0999999999999</v>
          </cell>
          <cell r="D389">
            <v>1108.45</v>
          </cell>
          <cell r="E389">
            <v>1088.0999999999999</v>
          </cell>
          <cell r="F389">
            <v>1091.95</v>
          </cell>
        </row>
        <row r="390">
          <cell r="B390">
            <v>37091</v>
          </cell>
          <cell r="C390">
            <v>1091.3499999999999</v>
          </cell>
          <cell r="D390">
            <v>1091.3499999999999</v>
          </cell>
          <cell r="E390">
            <v>1079.55</v>
          </cell>
          <cell r="F390">
            <v>1085.9000000000001</v>
          </cell>
        </row>
        <row r="391">
          <cell r="B391">
            <v>37092</v>
          </cell>
          <cell r="C391">
            <v>1085.95</v>
          </cell>
          <cell r="D391">
            <v>1089.95</v>
          </cell>
          <cell r="E391">
            <v>1072.75</v>
          </cell>
          <cell r="F391">
            <v>1077.7</v>
          </cell>
        </row>
        <row r="392">
          <cell r="B392">
            <v>37095</v>
          </cell>
          <cell r="C392">
            <v>1076.1500000000001</v>
          </cell>
          <cell r="D392">
            <v>1076.1500000000001</v>
          </cell>
          <cell r="E392">
            <v>1063.4000000000001</v>
          </cell>
          <cell r="F392">
            <v>1070.6500000000001</v>
          </cell>
        </row>
        <row r="393">
          <cell r="B393">
            <v>37096</v>
          </cell>
          <cell r="C393">
            <v>1065.95</v>
          </cell>
          <cell r="D393">
            <v>1074.75</v>
          </cell>
          <cell r="E393">
            <v>1064.5</v>
          </cell>
          <cell r="F393">
            <v>1072.55</v>
          </cell>
        </row>
        <row r="394">
          <cell r="B394">
            <v>37097</v>
          </cell>
          <cell r="C394">
            <v>1072.45</v>
          </cell>
          <cell r="D394">
            <v>1073.95</v>
          </cell>
          <cell r="E394">
            <v>1062.1500000000001</v>
          </cell>
          <cell r="F394">
            <v>1064.2</v>
          </cell>
        </row>
        <row r="395">
          <cell r="B395">
            <v>37098</v>
          </cell>
          <cell r="C395">
            <v>1063.9000000000001</v>
          </cell>
          <cell r="D395">
            <v>1066.55</v>
          </cell>
          <cell r="E395">
            <v>1050.1500000000001</v>
          </cell>
          <cell r="F395">
            <v>1053.4000000000001</v>
          </cell>
        </row>
        <row r="396">
          <cell r="B396">
            <v>37099</v>
          </cell>
          <cell r="C396">
            <v>1053.2</v>
          </cell>
          <cell r="D396">
            <v>1061.2</v>
          </cell>
          <cell r="E396">
            <v>1046.9000000000001</v>
          </cell>
          <cell r="F396">
            <v>1051.7</v>
          </cell>
        </row>
        <row r="397">
          <cell r="B397">
            <v>37102</v>
          </cell>
          <cell r="C397">
            <v>1051.45</v>
          </cell>
          <cell r="D397">
            <v>1062.8</v>
          </cell>
          <cell r="E397">
            <v>1050.9000000000001</v>
          </cell>
          <cell r="F397">
            <v>1061.45</v>
          </cell>
        </row>
        <row r="398">
          <cell r="B398">
            <v>37103</v>
          </cell>
          <cell r="C398">
            <v>1061.45</v>
          </cell>
          <cell r="D398">
            <v>1076.3499999999999</v>
          </cell>
          <cell r="E398">
            <v>1053.5999999999999</v>
          </cell>
          <cell r="F398">
            <v>1072.8499999999999</v>
          </cell>
        </row>
        <row r="399">
          <cell r="B399">
            <v>37104</v>
          </cell>
          <cell r="C399">
            <v>1073</v>
          </cell>
          <cell r="D399">
            <v>1077.7</v>
          </cell>
          <cell r="E399">
            <v>1059.75</v>
          </cell>
          <cell r="F399">
            <v>1063.1500000000001</v>
          </cell>
        </row>
        <row r="400">
          <cell r="B400">
            <v>37105</v>
          </cell>
          <cell r="C400">
            <v>1064.25</v>
          </cell>
          <cell r="D400">
            <v>1070.05</v>
          </cell>
          <cell r="E400">
            <v>1059.55</v>
          </cell>
          <cell r="F400">
            <v>1066</v>
          </cell>
        </row>
        <row r="401">
          <cell r="B401">
            <v>37106</v>
          </cell>
          <cell r="C401">
            <v>1066.4000000000001</v>
          </cell>
          <cell r="D401">
            <v>1077.55</v>
          </cell>
          <cell r="E401">
            <v>1066.2</v>
          </cell>
          <cell r="F401">
            <v>1074.5999999999999</v>
          </cell>
        </row>
        <row r="402">
          <cell r="B402">
            <v>37109</v>
          </cell>
          <cell r="C402">
            <v>1074.2</v>
          </cell>
          <cell r="D402">
            <v>1082.4000000000001</v>
          </cell>
          <cell r="E402">
            <v>1072.55</v>
          </cell>
          <cell r="F402">
            <v>1075.25</v>
          </cell>
        </row>
        <row r="403">
          <cell r="B403">
            <v>37110</v>
          </cell>
          <cell r="C403">
            <v>1074.3499999999999</v>
          </cell>
          <cell r="D403">
            <v>1079.3</v>
          </cell>
          <cell r="E403">
            <v>1070.2</v>
          </cell>
          <cell r="F403">
            <v>1072.0999999999999</v>
          </cell>
        </row>
        <row r="404">
          <cell r="B404">
            <v>37111</v>
          </cell>
          <cell r="C404">
            <v>1071.75</v>
          </cell>
          <cell r="D404">
            <v>1072.0999999999999</v>
          </cell>
          <cell r="E404">
            <v>1059.55</v>
          </cell>
          <cell r="F404">
            <v>1068</v>
          </cell>
        </row>
        <row r="405">
          <cell r="B405">
            <v>37112</v>
          </cell>
          <cell r="C405">
            <v>1068.0999999999999</v>
          </cell>
          <cell r="D405">
            <v>1072.5999999999999</v>
          </cell>
          <cell r="E405">
            <v>1061.4000000000001</v>
          </cell>
          <cell r="F405">
            <v>1070.6500000000001</v>
          </cell>
        </row>
        <row r="406">
          <cell r="B406">
            <v>37113</v>
          </cell>
          <cell r="C406">
            <v>1070.6500000000001</v>
          </cell>
          <cell r="D406">
            <v>1076.7</v>
          </cell>
          <cell r="E406">
            <v>1069.05</v>
          </cell>
          <cell r="F406">
            <v>1071.1500000000001</v>
          </cell>
        </row>
        <row r="407">
          <cell r="B407">
            <v>37116</v>
          </cell>
          <cell r="C407">
            <v>1070.95</v>
          </cell>
          <cell r="D407">
            <v>1081.4000000000001</v>
          </cell>
          <cell r="E407">
            <v>1061.05</v>
          </cell>
          <cell r="F407">
            <v>1063</v>
          </cell>
        </row>
        <row r="408">
          <cell r="B408">
            <v>37117</v>
          </cell>
          <cell r="C408">
            <v>1063.05</v>
          </cell>
          <cell r="D408">
            <v>1076.5999999999999</v>
          </cell>
          <cell r="E408">
            <v>1062.2</v>
          </cell>
          <cell r="F408">
            <v>1075.5</v>
          </cell>
        </row>
        <row r="409">
          <cell r="B409">
            <v>37119</v>
          </cell>
          <cell r="C409">
            <v>1075.2</v>
          </cell>
          <cell r="D409">
            <v>1083.7</v>
          </cell>
          <cell r="E409">
            <v>1072.95</v>
          </cell>
          <cell r="F409">
            <v>1078.95</v>
          </cell>
        </row>
        <row r="410">
          <cell r="B410">
            <v>37120</v>
          </cell>
          <cell r="C410">
            <v>1079</v>
          </cell>
          <cell r="D410">
            <v>1084</v>
          </cell>
          <cell r="E410">
            <v>1067.5999999999999</v>
          </cell>
          <cell r="F410">
            <v>1069.2</v>
          </cell>
        </row>
        <row r="411">
          <cell r="B411">
            <v>37123</v>
          </cell>
          <cell r="C411">
            <v>1062.5</v>
          </cell>
          <cell r="D411">
            <v>1067.95</v>
          </cell>
          <cell r="E411">
            <v>1061</v>
          </cell>
          <cell r="F411">
            <v>1063.75</v>
          </cell>
        </row>
        <row r="412">
          <cell r="B412">
            <v>37124</v>
          </cell>
          <cell r="C412">
            <v>1063.6500000000001</v>
          </cell>
          <cell r="D412">
            <v>1071.2</v>
          </cell>
          <cell r="E412">
            <v>1062.3</v>
          </cell>
          <cell r="F412">
            <v>1068.7</v>
          </cell>
        </row>
        <row r="413">
          <cell r="B413">
            <v>37126</v>
          </cell>
          <cell r="C413">
            <v>1068.7</v>
          </cell>
          <cell r="D413">
            <v>1079</v>
          </cell>
          <cell r="E413">
            <v>1065.7</v>
          </cell>
          <cell r="F413">
            <v>1071.5</v>
          </cell>
        </row>
        <row r="414">
          <cell r="B414">
            <v>37127</v>
          </cell>
          <cell r="C414">
            <v>1071.5</v>
          </cell>
          <cell r="D414">
            <v>1076.7</v>
          </cell>
          <cell r="E414">
            <v>1064.9000000000001</v>
          </cell>
          <cell r="F414">
            <v>1069.1500000000001</v>
          </cell>
        </row>
        <row r="415">
          <cell r="B415">
            <v>37130</v>
          </cell>
          <cell r="C415">
            <v>1064.05</v>
          </cell>
          <cell r="D415">
            <v>1078.3499999999999</v>
          </cell>
          <cell r="E415">
            <v>1064.05</v>
          </cell>
          <cell r="F415">
            <v>1072.55</v>
          </cell>
        </row>
        <row r="416">
          <cell r="B416">
            <v>37131</v>
          </cell>
          <cell r="C416">
            <v>1072.3499999999999</v>
          </cell>
          <cell r="D416">
            <v>1076.8499999999999</v>
          </cell>
          <cell r="E416">
            <v>1069.5999999999999</v>
          </cell>
          <cell r="F416">
            <v>1070.6500000000001</v>
          </cell>
        </row>
        <row r="417">
          <cell r="B417">
            <v>37132</v>
          </cell>
          <cell r="C417">
            <v>1070.55</v>
          </cell>
          <cell r="D417">
            <v>1074.5</v>
          </cell>
          <cell r="E417">
            <v>1066.45</v>
          </cell>
          <cell r="F417">
            <v>1067.45</v>
          </cell>
        </row>
        <row r="418">
          <cell r="B418">
            <v>37133</v>
          </cell>
          <cell r="C418">
            <v>1068.3</v>
          </cell>
          <cell r="D418">
            <v>1070.25</v>
          </cell>
          <cell r="E418">
            <v>1061.9000000000001</v>
          </cell>
          <cell r="F418">
            <v>1064.1500000000001</v>
          </cell>
        </row>
        <row r="419">
          <cell r="B419">
            <v>37134</v>
          </cell>
          <cell r="C419">
            <v>1064.0999999999999</v>
          </cell>
          <cell r="D419">
            <v>1064.0999999999999</v>
          </cell>
          <cell r="E419">
            <v>1051.75</v>
          </cell>
          <cell r="F419">
            <v>1053.75</v>
          </cell>
        </row>
        <row r="420">
          <cell r="B420">
            <v>37137</v>
          </cell>
          <cell r="C420">
            <v>1054.6500000000001</v>
          </cell>
          <cell r="D420">
            <v>1059.9000000000001</v>
          </cell>
          <cell r="E420">
            <v>1046.3499999999999</v>
          </cell>
          <cell r="F420">
            <v>1048.05</v>
          </cell>
        </row>
        <row r="421">
          <cell r="B421">
            <v>37138</v>
          </cell>
          <cell r="C421">
            <v>1048.2</v>
          </cell>
          <cell r="D421">
            <v>1053.25</v>
          </cell>
          <cell r="E421">
            <v>1043.3</v>
          </cell>
          <cell r="F421">
            <v>1048.2</v>
          </cell>
        </row>
        <row r="422">
          <cell r="B422">
            <v>37139</v>
          </cell>
          <cell r="C422">
            <v>1047.25</v>
          </cell>
          <cell r="D422">
            <v>1051.55</v>
          </cell>
          <cell r="E422">
            <v>1043.3</v>
          </cell>
          <cell r="F422">
            <v>1045</v>
          </cell>
        </row>
        <row r="423">
          <cell r="B423">
            <v>37140</v>
          </cell>
          <cell r="C423">
            <v>1047.7</v>
          </cell>
          <cell r="D423">
            <v>1048.2</v>
          </cell>
          <cell r="E423">
            <v>1033.4000000000001</v>
          </cell>
          <cell r="F423">
            <v>1036.0999999999999</v>
          </cell>
        </row>
        <row r="424">
          <cell r="B424">
            <v>37141</v>
          </cell>
          <cell r="C424">
            <v>1036.3499999999999</v>
          </cell>
          <cell r="D424">
            <v>1037.3499999999999</v>
          </cell>
          <cell r="E424">
            <v>1026.45</v>
          </cell>
          <cell r="F424">
            <v>1035.2</v>
          </cell>
        </row>
        <row r="425">
          <cell r="B425">
            <v>37144</v>
          </cell>
          <cell r="C425">
            <v>1035</v>
          </cell>
          <cell r="D425">
            <v>1045.3</v>
          </cell>
          <cell r="E425">
            <v>1031.45</v>
          </cell>
          <cell r="F425">
            <v>1033.4000000000001</v>
          </cell>
        </row>
        <row r="426">
          <cell r="B426">
            <v>37145</v>
          </cell>
          <cell r="C426">
            <v>1033.3499999999999</v>
          </cell>
          <cell r="D426">
            <v>1037.45</v>
          </cell>
          <cell r="E426">
            <v>1020.7</v>
          </cell>
          <cell r="F426">
            <v>1023.4</v>
          </cell>
        </row>
        <row r="427">
          <cell r="B427">
            <v>37146</v>
          </cell>
          <cell r="C427">
            <v>1023.25</v>
          </cell>
          <cell r="D427">
            <v>1023.25</v>
          </cell>
          <cell r="E427">
            <v>957.95</v>
          </cell>
          <cell r="F427">
            <v>982.2</v>
          </cell>
        </row>
        <row r="428">
          <cell r="B428">
            <v>37147</v>
          </cell>
          <cell r="C428">
            <v>982.2</v>
          </cell>
          <cell r="D428">
            <v>993.05</v>
          </cell>
          <cell r="E428">
            <v>969</v>
          </cell>
          <cell r="F428">
            <v>971.7</v>
          </cell>
        </row>
        <row r="429">
          <cell r="B429">
            <v>37148</v>
          </cell>
          <cell r="C429">
            <v>972.05</v>
          </cell>
          <cell r="D429">
            <v>974.5</v>
          </cell>
          <cell r="E429">
            <v>902.7</v>
          </cell>
          <cell r="F429">
            <v>919.7</v>
          </cell>
        </row>
        <row r="430">
          <cell r="B430">
            <v>37151</v>
          </cell>
          <cell r="C430">
            <v>916.15</v>
          </cell>
          <cell r="D430">
            <v>916.15</v>
          </cell>
          <cell r="E430">
            <v>861.05</v>
          </cell>
          <cell r="F430">
            <v>872.25</v>
          </cell>
        </row>
        <row r="431">
          <cell r="B431">
            <v>37152</v>
          </cell>
          <cell r="C431">
            <v>872.15</v>
          </cell>
          <cell r="D431">
            <v>910.35</v>
          </cell>
          <cell r="E431">
            <v>868.5</v>
          </cell>
          <cell r="F431">
            <v>900.2</v>
          </cell>
        </row>
        <row r="432">
          <cell r="B432">
            <v>37153</v>
          </cell>
          <cell r="C432">
            <v>899.7</v>
          </cell>
          <cell r="D432">
            <v>915</v>
          </cell>
          <cell r="E432">
            <v>899.7</v>
          </cell>
          <cell r="F432">
            <v>912.2</v>
          </cell>
        </row>
        <row r="433">
          <cell r="B433">
            <v>37154</v>
          </cell>
          <cell r="C433">
            <v>910.2</v>
          </cell>
          <cell r="D433">
            <v>910.35</v>
          </cell>
          <cell r="E433">
            <v>873.7</v>
          </cell>
          <cell r="F433">
            <v>898.8</v>
          </cell>
        </row>
        <row r="434">
          <cell r="B434">
            <v>37155</v>
          </cell>
          <cell r="C434">
            <v>903.75</v>
          </cell>
          <cell r="D434">
            <v>903.75</v>
          </cell>
          <cell r="E434">
            <v>849.95</v>
          </cell>
          <cell r="F434">
            <v>854.2</v>
          </cell>
        </row>
        <row r="435">
          <cell r="B435">
            <v>37158</v>
          </cell>
          <cell r="C435">
            <v>853</v>
          </cell>
          <cell r="D435">
            <v>878.6</v>
          </cell>
          <cell r="E435">
            <v>853</v>
          </cell>
          <cell r="F435">
            <v>869.05</v>
          </cell>
        </row>
        <row r="436">
          <cell r="B436">
            <v>37159</v>
          </cell>
          <cell r="C436">
            <v>869.15</v>
          </cell>
          <cell r="D436">
            <v>893.35</v>
          </cell>
          <cell r="E436">
            <v>858.85</v>
          </cell>
          <cell r="F436">
            <v>861.4</v>
          </cell>
        </row>
        <row r="437">
          <cell r="B437">
            <v>37160</v>
          </cell>
          <cell r="C437">
            <v>861.35</v>
          </cell>
          <cell r="D437">
            <v>877</v>
          </cell>
          <cell r="E437">
            <v>859.2</v>
          </cell>
          <cell r="F437">
            <v>873.7</v>
          </cell>
        </row>
        <row r="438">
          <cell r="B438">
            <v>37161</v>
          </cell>
          <cell r="C438">
            <v>873.15</v>
          </cell>
          <cell r="D438">
            <v>893.05</v>
          </cell>
          <cell r="E438">
            <v>868.3</v>
          </cell>
          <cell r="F438">
            <v>890</v>
          </cell>
        </row>
        <row r="439">
          <cell r="B439">
            <v>37162</v>
          </cell>
          <cell r="C439">
            <v>891.75</v>
          </cell>
          <cell r="D439">
            <v>922.55</v>
          </cell>
          <cell r="E439">
            <v>891</v>
          </cell>
          <cell r="F439">
            <v>913.85</v>
          </cell>
        </row>
        <row r="440">
          <cell r="B440">
            <v>37165</v>
          </cell>
          <cell r="C440">
            <v>914.65</v>
          </cell>
          <cell r="D440">
            <v>919.2</v>
          </cell>
          <cell r="E440">
            <v>905.5</v>
          </cell>
          <cell r="F440">
            <v>910.1</v>
          </cell>
        </row>
        <row r="441">
          <cell r="B441">
            <v>37167</v>
          </cell>
          <cell r="C441">
            <v>910.05</v>
          </cell>
          <cell r="D441">
            <v>915.05</v>
          </cell>
          <cell r="E441">
            <v>896.25</v>
          </cell>
          <cell r="F441">
            <v>899.65</v>
          </cell>
        </row>
        <row r="442">
          <cell r="B442">
            <v>37168</v>
          </cell>
          <cell r="C442">
            <v>899.65</v>
          </cell>
          <cell r="D442">
            <v>914.25</v>
          </cell>
          <cell r="E442">
            <v>899.65</v>
          </cell>
          <cell r="F442">
            <v>911.65</v>
          </cell>
        </row>
        <row r="443">
          <cell r="B443">
            <v>37169</v>
          </cell>
          <cell r="C443">
            <v>911.6</v>
          </cell>
          <cell r="D443">
            <v>919.75</v>
          </cell>
          <cell r="E443">
            <v>903.05</v>
          </cell>
          <cell r="F443">
            <v>914.6</v>
          </cell>
        </row>
        <row r="444">
          <cell r="B444">
            <v>37172</v>
          </cell>
          <cell r="C444">
            <v>911.2</v>
          </cell>
          <cell r="D444">
            <v>913.05</v>
          </cell>
          <cell r="E444">
            <v>884.65</v>
          </cell>
          <cell r="F444">
            <v>901.95</v>
          </cell>
        </row>
        <row r="445">
          <cell r="B445">
            <v>37173</v>
          </cell>
          <cell r="C445">
            <v>903</v>
          </cell>
          <cell r="D445">
            <v>914.3</v>
          </cell>
          <cell r="E445">
            <v>902.55</v>
          </cell>
          <cell r="F445">
            <v>912.7</v>
          </cell>
        </row>
        <row r="446">
          <cell r="B446">
            <v>37174</v>
          </cell>
          <cell r="C446">
            <v>915.5</v>
          </cell>
          <cell r="D446">
            <v>942.8</v>
          </cell>
          <cell r="E446">
            <v>912.9</v>
          </cell>
          <cell r="F446">
            <v>940.35</v>
          </cell>
        </row>
        <row r="447">
          <cell r="B447">
            <v>37175</v>
          </cell>
          <cell r="C447">
            <v>940.45</v>
          </cell>
          <cell r="D447">
            <v>959.75</v>
          </cell>
          <cell r="E447">
            <v>940.45</v>
          </cell>
          <cell r="F447">
            <v>954.9</v>
          </cell>
        </row>
        <row r="448">
          <cell r="B448">
            <v>37176</v>
          </cell>
          <cell r="C448">
            <v>958.4</v>
          </cell>
          <cell r="D448">
            <v>969.9</v>
          </cell>
          <cell r="E448">
            <v>956.85</v>
          </cell>
          <cell r="F448">
            <v>960.4</v>
          </cell>
        </row>
        <row r="449">
          <cell r="B449">
            <v>37179</v>
          </cell>
          <cell r="C449">
            <v>963.65</v>
          </cell>
          <cell r="D449">
            <v>966.15</v>
          </cell>
          <cell r="E449">
            <v>954.35</v>
          </cell>
          <cell r="F449">
            <v>963.4</v>
          </cell>
        </row>
        <row r="450">
          <cell r="B450">
            <v>37180</v>
          </cell>
          <cell r="C450">
            <v>963.4</v>
          </cell>
          <cell r="D450">
            <v>973.25</v>
          </cell>
          <cell r="E450">
            <v>962.5</v>
          </cell>
          <cell r="F450">
            <v>971.25</v>
          </cell>
        </row>
        <row r="451">
          <cell r="B451">
            <v>37181</v>
          </cell>
          <cell r="C451">
            <v>971.95</v>
          </cell>
          <cell r="D451">
            <v>989.05</v>
          </cell>
          <cell r="E451">
            <v>971.95</v>
          </cell>
          <cell r="F451">
            <v>986.25</v>
          </cell>
        </row>
        <row r="452">
          <cell r="B452">
            <v>37182</v>
          </cell>
          <cell r="C452">
            <v>984.2</v>
          </cell>
          <cell r="D452">
            <v>984.5</v>
          </cell>
          <cell r="E452">
            <v>969.35</v>
          </cell>
          <cell r="F452">
            <v>972.05</v>
          </cell>
        </row>
        <row r="453">
          <cell r="B453">
            <v>37183</v>
          </cell>
          <cell r="C453">
            <v>972.2</v>
          </cell>
          <cell r="D453">
            <v>981</v>
          </cell>
          <cell r="E453">
            <v>970.85</v>
          </cell>
          <cell r="F453">
            <v>976.65</v>
          </cell>
        </row>
        <row r="454">
          <cell r="B454">
            <v>37186</v>
          </cell>
          <cell r="C454">
            <v>980.05</v>
          </cell>
          <cell r="D454">
            <v>994.15</v>
          </cell>
          <cell r="E454">
            <v>973.2</v>
          </cell>
          <cell r="F454">
            <v>976.4</v>
          </cell>
        </row>
        <row r="455">
          <cell r="B455">
            <v>37187</v>
          </cell>
          <cell r="C455">
            <v>976.75</v>
          </cell>
          <cell r="D455">
            <v>994.15</v>
          </cell>
          <cell r="E455">
            <v>976.55</v>
          </cell>
          <cell r="F455">
            <v>993.2</v>
          </cell>
        </row>
        <row r="456">
          <cell r="B456">
            <v>37188</v>
          </cell>
          <cell r="C456">
            <v>992.95</v>
          </cell>
          <cell r="D456">
            <v>1000.95</v>
          </cell>
          <cell r="E456">
            <v>987.4</v>
          </cell>
          <cell r="F456">
            <v>991.2</v>
          </cell>
        </row>
        <row r="457">
          <cell r="B457">
            <v>37189</v>
          </cell>
          <cell r="C457">
            <v>991.25</v>
          </cell>
          <cell r="D457">
            <v>998</v>
          </cell>
          <cell r="E457">
            <v>979.95</v>
          </cell>
          <cell r="F457">
            <v>983.2</v>
          </cell>
        </row>
        <row r="458">
          <cell r="B458">
            <v>37193</v>
          </cell>
          <cell r="C458">
            <v>983.15</v>
          </cell>
          <cell r="D458">
            <v>996.6</v>
          </cell>
          <cell r="E458">
            <v>974.05</v>
          </cell>
          <cell r="F458">
            <v>977.45</v>
          </cell>
        </row>
        <row r="459">
          <cell r="B459">
            <v>37194</v>
          </cell>
          <cell r="C459">
            <v>977.35</v>
          </cell>
          <cell r="D459">
            <v>977.35</v>
          </cell>
          <cell r="E459">
            <v>960.5</v>
          </cell>
          <cell r="F459">
            <v>963.1</v>
          </cell>
        </row>
        <row r="460">
          <cell r="B460">
            <v>37195</v>
          </cell>
          <cell r="C460">
            <v>962.85</v>
          </cell>
          <cell r="D460">
            <v>976.4</v>
          </cell>
          <cell r="E460">
            <v>959.35</v>
          </cell>
          <cell r="F460">
            <v>971.9</v>
          </cell>
        </row>
        <row r="461">
          <cell r="B461">
            <v>37196</v>
          </cell>
          <cell r="C461">
            <v>973.55</v>
          </cell>
          <cell r="D461">
            <v>997.3</v>
          </cell>
          <cell r="E461">
            <v>973.55</v>
          </cell>
          <cell r="F461">
            <v>994</v>
          </cell>
        </row>
        <row r="462">
          <cell r="B462">
            <v>37197</v>
          </cell>
          <cell r="C462">
            <v>994.25</v>
          </cell>
          <cell r="D462">
            <v>1009.55</v>
          </cell>
          <cell r="E462">
            <v>991.95</v>
          </cell>
          <cell r="F462">
            <v>997.6</v>
          </cell>
        </row>
        <row r="463">
          <cell r="B463">
            <v>37200</v>
          </cell>
          <cell r="C463">
            <v>997.25</v>
          </cell>
          <cell r="D463">
            <v>1001.3</v>
          </cell>
          <cell r="E463">
            <v>987.85</v>
          </cell>
          <cell r="F463">
            <v>991.05</v>
          </cell>
        </row>
        <row r="464">
          <cell r="B464">
            <v>37201</v>
          </cell>
          <cell r="C464">
            <v>991.2</v>
          </cell>
          <cell r="D464">
            <v>1007.4</v>
          </cell>
          <cell r="E464">
            <v>991.15</v>
          </cell>
          <cell r="F464">
            <v>1001.9</v>
          </cell>
        </row>
        <row r="465">
          <cell r="B465">
            <v>37202</v>
          </cell>
          <cell r="C465">
            <v>1001.95</v>
          </cell>
          <cell r="D465">
            <v>1014.1</v>
          </cell>
          <cell r="E465">
            <v>984.45</v>
          </cell>
          <cell r="F465">
            <v>987.5</v>
          </cell>
        </row>
        <row r="466">
          <cell r="B466">
            <v>37203</v>
          </cell>
          <cell r="C466">
            <v>987.5</v>
          </cell>
          <cell r="D466">
            <v>1001.15</v>
          </cell>
          <cell r="E466">
            <v>985.75</v>
          </cell>
          <cell r="F466">
            <v>997.7</v>
          </cell>
        </row>
        <row r="467">
          <cell r="B467">
            <v>37204</v>
          </cell>
          <cell r="C467">
            <v>999.1</v>
          </cell>
          <cell r="D467">
            <v>1008.95</v>
          </cell>
          <cell r="E467">
            <v>999.1</v>
          </cell>
          <cell r="F467">
            <v>1004.05</v>
          </cell>
        </row>
        <row r="468">
          <cell r="B468">
            <v>37207</v>
          </cell>
          <cell r="C468">
            <v>1004.55</v>
          </cell>
          <cell r="D468">
            <v>1014.25</v>
          </cell>
          <cell r="E468">
            <v>1003.6</v>
          </cell>
          <cell r="F468">
            <v>1010.9</v>
          </cell>
        </row>
        <row r="469">
          <cell r="B469">
            <v>37208</v>
          </cell>
          <cell r="C469">
            <v>1010.95</v>
          </cell>
          <cell r="D469">
            <v>1013.25</v>
          </cell>
          <cell r="E469">
            <v>999.85</v>
          </cell>
          <cell r="F469">
            <v>1005.4</v>
          </cell>
        </row>
        <row r="470">
          <cell r="B470">
            <v>37209</v>
          </cell>
          <cell r="C470">
            <v>1005.45</v>
          </cell>
          <cell r="D470">
            <v>1017.2</v>
          </cell>
          <cell r="E470">
            <v>1004.7</v>
          </cell>
          <cell r="F470">
            <v>1015.8</v>
          </cell>
        </row>
        <row r="471">
          <cell r="B471">
            <v>37210</v>
          </cell>
          <cell r="C471">
            <v>1016.05</v>
          </cell>
          <cell r="D471">
            <v>1038.3499999999999</v>
          </cell>
          <cell r="E471">
            <v>1015.15</v>
          </cell>
          <cell r="F471">
            <v>1035.7</v>
          </cell>
        </row>
        <row r="472">
          <cell r="B472">
            <v>37214</v>
          </cell>
          <cell r="C472">
            <v>1034.2</v>
          </cell>
          <cell r="D472">
            <v>1072</v>
          </cell>
          <cell r="E472">
            <v>1032.8499999999999</v>
          </cell>
          <cell r="F472">
            <v>1068.1500000000001</v>
          </cell>
        </row>
        <row r="473">
          <cell r="B473">
            <v>37215</v>
          </cell>
          <cell r="C473">
            <v>1067.3</v>
          </cell>
          <cell r="D473">
            <v>1082.4000000000001</v>
          </cell>
          <cell r="E473">
            <v>1046.1500000000001</v>
          </cell>
          <cell r="F473">
            <v>1050.2</v>
          </cell>
        </row>
        <row r="474">
          <cell r="B474">
            <v>37216</v>
          </cell>
          <cell r="C474">
            <v>1050.4000000000001</v>
          </cell>
          <cell r="D474">
            <v>1064.8499999999999</v>
          </cell>
          <cell r="E474">
            <v>1046.3</v>
          </cell>
          <cell r="F474">
            <v>1056.3499999999999</v>
          </cell>
        </row>
        <row r="475">
          <cell r="B475">
            <v>37217</v>
          </cell>
          <cell r="C475">
            <v>1056.45</v>
          </cell>
          <cell r="D475">
            <v>1075.9000000000001</v>
          </cell>
          <cell r="E475">
            <v>1056.45</v>
          </cell>
          <cell r="F475">
            <v>1062.45</v>
          </cell>
        </row>
        <row r="476">
          <cell r="B476">
            <v>37218</v>
          </cell>
          <cell r="C476">
            <v>1063.05</v>
          </cell>
          <cell r="D476">
            <v>1075.05</v>
          </cell>
          <cell r="E476">
            <v>1057.3</v>
          </cell>
          <cell r="F476">
            <v>1059</v>
          </cell>
        </row>
        <row r="477">
          <cell r="B477">
            <v>37221</v>
          </cell>
          <cell r="C477">
            <v>1059.25</v>
          </cell>
          <cell r="D477">
            <v>1084.6500000000001</v>
          </cell>
          <cell r="E477">
            <v>1059.25</v>
          </cell>
          <cell r="F477">
            <v>1080.5999999999999</v>
          </cell>
        </row>
        <row r="478">
          <cell r="B478">
            <v>37222</v>
          </cell>
          <cell r="C478">
            <v>1087.5999999999999</v>
          </cell>
          <cell r="D478">
            <v>1097.5999999999999</v>
          </cell>
          <cell r="E478">
            <v>1071.05</v>
          </cell>
          <cell r="F478">
            <v>1076.05</v>
          </cell>
        </row>
        <row r="479">
          <cell r="B479">
            <v>37223</v>
          </cell>
          <cell r="C479">
            <v>1076.1500000000001</v>
          </cell>
          <cell r="D479">
            <v>1082.3</v>
          </cell>
          <cell r="E479">
            <v>1067.6500000000001</v>
          </cell>
          <cell r="F479">
            <v>1070.8</v>
          </cell>
        </row>
        <row r="480">
          <cell r="B480">
            <v>37224</v>
          </cell>
          <cell r="C480">
            <v>1070.3</v>
          </cell>
          <cell r="D480">
            <v>1071</v>
          </cell>
          <cell r="E480">
            <v>1063</v>
          </cell>
          <cell r="F480">
            <v>1067.1500000000001</v>
          </cell>
        </row>
        <row r="481">
          <cell r="B481">
            <v>37228</v>
          </cell>
          <cell r="C481">
            <v>1067.2</v>
          </cell>
          <cell r="D481">
            <v>1074.5</v>
          </cell>
          <cell r="E481">
            <v>1063.25</v>
          </cell>
          <cell r="F481">
            <v>1065.4000000000001</v>
          </cell>
        </row>
        <row r="482">
          <cell r="B482">
            <v>37229</v>
          </cell>
          <cell r="C482">
            <v>1066.05</v>
          </cell>
          <cell r="D482">
            <v>1082.5999999999999</v>
          </cell>
          <cell r="E482">
            <v>1065.6500000000001</v>
          </cell>
          <cell r="F482">
            <v>1077.7</v>
          </cell>
        </row>
        <row r="483">
          <cell r="B483">
            <v>37230</v>
          </cell>
          <cell r="C483">
            <v>1077.95</v>
          </cell>
          <cell r="D483">
            <v>1107.1500000000001</v>
          </cell>
          <cell r="E483">
            <v>1077.95</v>
          </cell>
          <cell r="F483">
            <v>1104.55</v>
          </cell>
        </row>
        <row r="484">
          <cell r="B484">
            <v>37231</v>
          </cell>
          <cell r="C484">
            <v>1105.0999999999999</v>
          </cell>
          <cell r="D484">
            <v>1132.6500000000001</v>
          </cell>
          <cell r="E484">
            <v>1105.0999999999999</v>
          </cell>
          <cell r="F484">
            <v>1110.45</v>
          </cell>
        </row>
        <row r="485">
          <cell r="B485">
            <v>37232</v>
          </cell>
          <cell r="C485">
            <v>1110.9000000000001</v>
          </cell>
          <cell r="D485">
            <v>1122.6500000000001</v>
          </cell>
          <cell r="E485">
            <v>1109.6500000000001</v>
          </cell>
          <cell r="F485">
            <v>1112.3</v>
          </cell>
        </row>
        <row r="486">
          <cell r="B486">
            <v>37235</v>
          </cell>
          <cell r="C486">
            <v>1112.1500000000001</v>
          </cell>
          <cell r="D486">
            <v>1123.55</v>
          </cell>
          <cell r="E486">
            <v>1112.1500000000001</v>
          </cell>
          <cell r="F486">
            <v>1115.25</v>
          </cell>
        </row>
        <row r="487">
          <cell r="B487">
            <v>37236</v>
          </cell>
          <cell r="C487">
            <v>1112.1500000000001</v>
          </cell>
          <cell r="D487">
            <v>1122.8499999999999</v>
          </cell>
          <cell r="E487">
            <v>1107.7</v>
          </cell>
          <cell r="F487">
            <v>1110.2</v>
          </cell>
        </row>
        <row r="488">
          <cell r="B488">
            <v>37237</v>
          </cell>
          <cell r="C488">
            <v>1110.6500000000001</v>
          </cell>
          <cell r="D488">
            <v>1121.55</v>
          </cell>
          <cell r="E488">
            <v>1104.75</v>
          </cell>
          <cell r="F488">
            <v>1107.6500000000001</v>
          </cell>
        </row>
        <row r="489">
          <cell r="B489">
            <v>37238</v>
          </cell>
          <cell r="C489">
            <v>1107.75</v>
          </cell>
          <cell r="D489">
            <v>1114.1500000000001</v>
          </cell>
          <cell r="E489">
            <v>1069.95</v>
          </cell>
          <cell r="F489">
            <v>1098.75</v>
          </cell>
        </row>
        <row r="490">
          <cell r="B490">
            <v>37239</v>
          </cell>
          <cell r="C490">
            <v>1098.6500000000001</v>
          </cell>
          <cell r="D490">
            <v>1102.9000000000001</v>
          </cell>
          <cell r="E490">
            <v>1082.75</v>
          </cell>
          <cell r="F490">
            <v>1087.8499999999999</v>
          </cell>
        </row>
        <row r="491">
          <cell r="B491">
            <v>37243</v>
          </cell>
          <cell r="C491">
            <v>1089.9000000000001</v>
          </cell>
          <cell r="D491">
            <v>1098</v>
          </cell>
          <cell r="E491">
            <v>1071.3499999999999</v>
          </cell>
          <cell r="F491">
            <v>1082.3</v>
          </cell>
        </row>
        <row r="492">
          <cell r="B492">
            <v>37244</v>
          </cell>
          <cell r="C492">
            <v>1082.5</v>
          </cell>
          <cell r="D492">
            <v>1086.3499999999999</v>
          </cell>
          <cell r="E492">
            <v>1057.0999999999999</v>
          </cell>
          <cell r="F492">
            <v>1060.75</v>
          </cell>
        </row>
        <row r="493">
          <cell r="B493">
            <v>37245</v>
          </cell>
          <cell r="C493">
            <v>1060.45</v>
          </cell>
          <cell r="D493">
            <v>1064.8</v>
          </cell>
          <cell r="E493">
            <v>1047.5</v>
          </cell>
          <cell r="F493">
            <v>1062</v>
          </cell>
        </row>
        <row r="494">
          <cell r="B494">
            <v>37246</v>
          </cell>
          <cell r="C494">
            <v>1061.8</v>
          </cell>
          <cell r="D494">
            <v>1061.8</v>
          </cell>
          <cell r="E494">
            <v>1043.6500000000001</v>
          </cell>
          <cell r="F494">
            <v>1050.8499999999999</v>
          </cell>
        </row>
        <row r="495">
          <cell r="B495">
            <v>37249</v>
          </cell>
          <cell r="C495">
            <v>1051</v>
          </cell>
          <cell r="D495">
            <v>1055</v>
          </cell>
          <cell r="E495">
            <v>1032.5999999999999</v>
          </cell>
          <cell r="F495">
            <v>1048.5</v>
          </cell>
        </row>
        <row r="496">
          <cell r="B496">
            <v>37251</v>
          </cell>
          <cell r="C496">
            <v>1048.9000000000001</v>
          </cell>
          <cell r="D496">
            <v>1058.3</v>
          </cell>
          <cell r="E496">
            <v>1030.5</v>
          </cell>
          <cell r="F496">
            <v>1034.25</v>
          </cell>
        </row>
        <row r="497">
          <cell r="B497">
            <v>37252</v>
          </cell>
          <cell r="C497">
            <v>1033.8499999999999</v>
          </cell>
          <cell r="D497">
            <v>1037.7</v>
          </cell>
          <cell r="E497">
            <v>1017.35</v>
          </cell>
          <cell r="F497">
            <v>1020</v>
          </cell>
        </row>
        <row r="498">
          <cell r="B498">
            <v>37253</v>
          </cell>
          <cell r="C498">
            <v>1019.9</v>
          </cell>
          <cell r="D498">
            <v>1036.3499999999999</v>
          </cell>
          <cell r="E498">
            <v>1010.45</v>
          </cell>
          <cell r="F498">
            <v>1033.8</v>
          </cell>
        </row>
        <row r="499">
          <cell r="B499">
            <v>37256</v>
          </cell>
          <cell r="C499">
            <v>1033.9000000000001</v>
          </cell>
          <cell r="D499">
            <v>1062.3</v>
          </cell>
          <cell r="E499">
            <v>1033.9000000000001</v>
          </cell>
          <cell r="F499">
            <v>1059.05</v>
          </cell>
        </row>
        <row r="500">
          <cell r="B500">
            <v>37257</v>
          </cell>
          <cell r="C500">
            <v>1058.8499999999999</v>
          </cell>
          <cell r="D500">
            <v>1071.1500000000001</v>
          </cell>
          <cell r="E500">
            <v>1052.05</v>
          </cell>
          <cell r="F500">
            <v>1055.3</v>
          </cell>
        </row>
        <row r="501">
          <cell r="B501">
            <v>37258</v>
          </cell>
          <cell r="C501">
            <v>1054.95</v>
          </cell>
          <cell r="D501">
            <v>1065.25</v>
          </cell>
          <cell r="E501">
            <v>1054.0999999999999</v>
          </cell>
          <cell r="F501">
            <v>1060.75</v>
          </cell>
        </row>
        <row r="502">
          <cell r="B502">
            <v>37259</v>
          </cell>
          <cell r="C502">
            <v>1063.45</v>
          </cell>
          <cell r="D502">
            <v>1074.8499999999999</v>
          </cell>
          <cell r="E502">
            <v>1062.9000000000001</v>
          </cell>
          <cell r="F502">
            <v>1072.25</v>
          </cell>
        </row>
        <row r="503">
          <cell r="B503">
            <v>37260</v>
          </cell>
          <cell r="C503">
            <v>1072.4000000000001</v>
          </cell>
          <cell r="D503">
            <v>1099.25</v>
          </cell>
          <cell r="E503">
            <v>1072.4000000000001</v>
          </cell>
          <cell r="F503">
            <v>1096.2</v>
          </cell>
        </row>
        <row r="504">
          <cell r="B504">
            <v>37263</v>
          </cell>
          <cell r="C504">
            <v>1093.05</v>
          </cell>
          <cell r="D504">
            <v>1111.55</v>
          </cell>
          <cell r="E504">
            <v>1093.05</v>
          </cell>
          <cell r="F504">
            <v>1100.1500000000001</v>
          </cell>
        </row>
        <row r="505">
          <cell r="B505">
            <v>37264</v>
          </cell>
          <cell r="C505">
            <v>1100.55</v>
          </cell>
          <cell r="D505">
            <v>1114.55</v>
          </cell>
          <cell r="E505">
            <v>1097.9000000000001</v>
          </cell>
          <cell r="F505">
            <v>1109.9000000000001</v>
          </cell>
        </row>
        <row r="506">
          <cell r="B506">
            <v>37265</v>
          </cell>
          <cell r="C506">
            <v>1110</v>
          </cell>
          <cell r="D506">
            <v>1119.4000000000001</v>
          </cell>
          <cell r="E506">
            <v>1098.7</v>
          </cell>
          <cell r="F506">
            <v>1102.8</v>
          </cell>
        </row>
        <row r="507">
          <cell r="B507">
            <v>37266</v>
          </cell>
          <cell r="C507">
            <v>1098.8</v>
          </cell>
          <cell r="D507">
            <v>1105.3499999999999</v>
          </cell>
          <cell r="E507">
            <v>1093.5999999999999</v>
          </cell>
          <cell r="F507">
            <v>1098.2</v>
          </cell>
        </row>
        <row r="508">
          <cell r="B508">
            <v>37267</v>
          </cell>
          <cell r="C508">
            <v>1098.1500000000001</v>
          </cell>
          <cell r="D508">
            <v>1105.9000000000001</v>
          </cell>
          <cell r="E508">
            <v>1073.45</v>
          </cell>
          <cell r="F508">
            <v>1088.55</v>
          </cell>
        </row>
        <row r="509">
          <cell r="B509">
            <v>37270</v>
          </cell>
          <cell r="C509">
            <v>1089.45</v>
          </cell>
          <cell r="D509">
            <v>1118.5</v>
          </cell>
          <cell r="E509">
            <v>1089.45</v>
          </cell>
          <cell r="F509">
            <v>1109.8</v>
          </cell>
        </row>
        <row r="510">
          <cell r="B510">
            <v>37271</v>
          </cell>
          <cell r="C510">
            <v>1109.45</v>
          </cell>
          <cell r="D510">
            <v>1112.5999999999999</v>
          </cell>
          <cell r="E510">
            <v>1090.2</v>
          </cell>
          <cell r="F510">
            <v>1094.1500000000001</v>
          </cell>
        </row>
        <row r="511">
          <cell r="B511">
            <v>37272</v>
          </cell>
          <cell r="C511">
            <v>1094.1500000000001</v>
          </cell>
          <cell r="D511">
            <v>1104.8</v>
          </cell>
          <cell r="E511">
            <v>1085.3</v>
          </cell>
          <cell r="F511">
            <v>1090.3</v>
          </cell>
        </row>
        <row r="512">
          <cell r="B512">
            <v>37273</v>
          </cell>
          <cell r="C512">
            <v>1090.25</v>
          </cell>
          <cell r="D512">
            <v>1116.05</v>
          </cell>
          <cell r="E512">
            <v>1078.95</v>
          </cell>
          <cell r="F512">
            <v>1109.2</v>
          </cell>
        </row>
        <row r="513">
          <cell r="B513">
            <v>37274</v>
          </cell>
          <cell r="C513">
            <v>1109.55</v>
          </cell>
          <cell r="D513">
            <v>1121.75</v>
          </cell>
          <cell r="E513">
            <v>1089.05</v>
          </cell>
          <cell r="F513">
            <v>1093.1500000000001</v>
          </cell>
        </row>
        <row r="514">
          <cell r="B514">
            <v>37277</v>
          </cell>
          <cell r="C514">
            <v>1093.25</v>
          </cell>
          <cell r="D514">
            <v>1099.8</v>
          </cell>
          <cell r="E514">
            <v>1082.6500000000001</v>
          </cell>
          <cell r="F514">
            <v>1091.3499999999999</v>
          </cell>
        </row>
        <row r="515">
          <cell r="B515">
            <v>37278</v>
          </cell>
          <cell r="C515">
            <v>1091.3499999999999</v>
          </cell>
          <cell r="D515">
            <v>1099</v>
          </cell>
          <cell r="E515">
            <v>1090</v>
          </cell>
          <cell r="F515">
            <v>1092.8499999999999</v>
          </cell>
        </row>
        <row r="516">
          <cell r="B516">
            <v>37279</v>
          </cell>
          <cell r="C516">
            <v>1092.8499999999999</v>
          </cell>
          <cell r="D516">
            <v>1096.95</v>
          </cell>
          <cell r="E516">
            <v>1087.5</v>
          </cell>
          <cell r="F516">
            <v>1089.4000000000001</v>
          </cell>
        </row>
        <row r="517">
          <cell r="B517">
            <v>37280</v>
          </cell>
          <cell r="C517">
            <v>1089.5999999999999</v>
          </cell>
          <cell r="D517">
            <v>1098.5999999999999</v>
          </cell>
          <cell r="E517">
            <v>1081.7</v>
          </cell>
          <cell r="F517">
            <v>1085.3</v>
          </cell>
        </row>
        <row r="518">
          <cell r="B518">
            <v>37281</v>
          </cell>
          <cell r="C518">
            <v>1085.8499999999999</v>
          </cell>
          <cell r="D518">
            <v>1089.7</v>
          </cell>
          <cell r="E518">
            <v>1077</v>
          </cell>
          <cell r="F518">
            <v>1080.0999999999999</v>
          </cell>
        </row>
        <row r="519">
          <cell r="B519">
            <v>37284</v>
          </cell>
          <cell r="C519">
            <v>1083.25</v>
          </cell>
          <cell r="D519">
            <v>1088.75</v>
          </cell>
          <cell r="E519">
            <v>1068.7</v>
          </cell>
          <cell r="F519">
            <v>1071.3499999999999</v>
          </cell>
        </row>
        <row r="520">
          <cell r="B520">
            <v>37285</v>
          </cell>
          <cell r="C520">
            <v>1071.3499999999999</v>
          </cell>
          <cell r="D520">
            <v>1076.45</v>
          </cell>
          <cell r="E520">
            <v>1068.8499999999999</v>
          </cell>
          <cell r="F520">
            <v>1071.6500000000001</v>
          </cell>
        </row>
        <row r="521">
          <cell r="B521">
            <v>37286</v>
          </cell>
          <cell r="C521">
            <v>1072.8499999999999</v>
          </cell>
          <cell r="D521">
            <v>1072.8499999999999</v>
          </cell>
          <cell r="E521">
            <v>1058.8</v>
          </cell>
          <cell r="F521">
            <v>1067.45</v>
          </cell>
        </row>
        <row r="522">
          <cell r="B522">
            <v>37287</v>
          </cell>
          <cell r="C522">
            <v>1067.6500000000001</v>
          </cell>
          <cell r="D522">
            <v>1082</v>
          </cell>
          <cell r="E522">
            <v>1067.6500000000001</v>
          </cell>
          <cell r="F522">
            <v>1075.4000000000001</v>
          </cell>
        </row>
        <row r="523">
          <cell r="B523">
            <v>37288</v>
          </cell>
          <cell r="C523">
            <v>1076.95</v>
          </cell>
          <cell r="D523">
            <v>1088.05</v>
          </cell>
          <cell r="E523">
            <v>1076.95</v>
          </cell>
          <cell r="F523">
            <v>1081.6500000000001</v>
          </cell>
        </row>
        <row r="524">
          <cell r="B524">
            <v>37291</v>
          </cell>
          <cell r="C524">
            <v>1083.05</v>
          </cell>
          <cell r="D524">
            <v>1086.95</v>
          </cell>
          <cell r="E524">
            <v>1074.1500000000001</v>
          </cell>
          <cell r="F524">
            <v>1076.9000000000001</v>
          </cell>
        </row>
        <row r="525">
          <cell r="B525">
            <v>37292</v>
          </cell>
          <cell r="C525">
            <v>1076.25</v>
          </cell>
          <cell r="D525">
            <v>1081.2</v>
          </cell>
          <cell r="E525">
            <v>1069.4000000000001</v>
          </cell>
          <cell r="F525">
            <v>1074.25</v>
          </cell>
        </row>
        <row r="526">
          <cell r="B526">
            <v>37293</v>
          </cell>
          <cell r="C526">
            <v>1074.4000000000001</v>
          </cell>
          <cell r="D526">
            <v>1117.0999999999999</v>
          </cell>
          <cell r="E526">
            <v>1074</v>
          </cell>
          <cell r="F526">
            <v>1113.0999999999999</v>
          </cell>
        </row>
        <row r="527">
          <cell r="B527">
            <v>37294</v>
          </cell>
          <cell r="C527">
            <v>1114.8499999999999</v>
          </cell>
          <cell r="D527">
            <v>1130.95</v>
          </cell>
          <cell r="E527">
            <v>1104.3</v>
          </cell>
          <cell r="F527">
            <v>1110.45</v>
          </cell>
        </row>
        <row r="528">
          <cell r="B528">
            <v>37295</v>
          </cell>
          <cell r="C528">
            <v>1112.8</v>
          </cell>
          <cell r="D528">
            <v>1131.8499999999999</v>
          </cell>
          <cell r="E528">
            <v>1104.45</v>
          </cell>
          <cell r="F528">
            <v>1123.75</v>
          </cell>
        </row>
        <row r="529">
          <cell r="B529">
            <v>37298</v>
          </cell>
          <cell r="C529">
            <v>1124.8499999999999</v>
          </cell>
          <cell r="D529">
            <v>1144.1500000000001</v>
          </cell>
          <cell r="E529">
            <v>1124.8499999999999</v>
          </cell>
          <cell r="F529">
            <v>1131.55</v>
          </cell>
        </row>
        <row r="530">
          <cell r="B530">
            <v>37299</v>
          </cell>
          <cell r="C530">
            <v>1131.95</v>
          </cell>
          <cell r="D530">
            <v>1143.3</v>
          </cell>
          <cell r="E530">
            <v>1125.55</v>
          </cell>
          <cell r="F530">
            <v>1129.5</v>
          </cell>
        </row>
        <row r="531">
          <cell r="B531">
            <v>37300</v>
          </cell>
          <cell r="C531">
            <v>1129.8</v>
          </cell>
          <cell r="D531">
            <v>1142.3</v>
          </cell>
          <cell r="E531">
            <v>1129.5999999999999</v>
          </cell>
          <cell r="F531">
            <v>1135.0999999999999</v>
          </cell>
        </row>
        <row r="532">
          <cell r="B532">
            <v>37301</v>
          </cell>
          <cell r="C532">
            <v>1135.5</v>
          </cell>
          <cell r="D532">
            <v>1151.6500000000001</v>
          </cell>
          <cell r="E532">
            <v>1133.8499999999999</v>
          </cell>
          <cell r="F532">
            <v>1150</v>
          </cell>
        </row>
        <row r="533">
          <cell r="B533">
            <v>37302</v>
          </cell>
          <cell r="C533">
            <v>1150.6500000000001</v>
          </cell>
          <cell r="D533">
            <v>1164.0999999999999</v>
          </cell>
          <cell r="E533">
            <v>1150.3</v>
          </cell>
          <cell r="F533">
            <v>1159.95</v>
          </cell>
        </row>
        <row r="534">
          <cell r="B534">
            <v>37305</v>
          </cell>
          <cell r="C534">
            <v>1159.8499999999999</v>
          </cell>
          <cell r="D534">
            <v>1177.05</v>
          </cell>
          <cell r="E534">
            <v>1156.7</v>
          </cell>
          <cell r="F534">
            <v>1172.8499999999999</v>
          </cell>
        </row>
        <row r="535">
          <cell r="B535">
            <v>37306</v>
          </cell>
          <cell r="C535">
            <v>1172.8499999999999</v>
          </cell>
          <cell r="D535">
            <v>1178.0999999999999</v>
          </cell>
          <cell r="E535">
            <v>1155.0999999999999</v>
          </cell>
          <cell r="F535">
            <v>1158.9000000000001</v>
          </cell>
        </row>
        <row r="536">
          <cell r="B536">
            <v>37307</v>
          </cell>
          <cell r="C536">
            <v>1158.45</v>
          </cell>
          <cell r="D536">
            <v>1158.45</v>
          </cell>
          <cell r="E536">
            <v>1134.6500000000001</v>
          </cell>
          <cell r="F536">
            <v>1145.95</v>
          </cell>
        </row>
        <row r="537">
          <cell r="B537">
            <v>37308</v>
          </cell>
          <cell r="C537">
            <v>1146.05</v>
          </cell>
          <cell r="D537">
            <v>1158.05</v>
          </cell>
          <cell r="E537">
            <v>1146.05</v>
          </cell>
          <cell r="F537">
            <v>1149.8499999999999</v>
          </cell>
        </row>
        <row r="538">
          <cell r="B538">
            <v>37309</v>
          </cell>
          <cell r="C538">
            <v>1149.8499999999999</v>
          </cell>
          <cell r="D538">
            <v>1165.7</v>
          </cell>
          <cell r="E538">
            <v>1145.5</v>
          </cell>
          <cell r="F538">
            <v>1163.5</v>
          </cell>
        </row>
        <row r="539">
          <cell r="B539">
            <v>37312</v>
          </cell>
          <cell r="C539">
            <v>1163.6500000000001</v>
          </cell>
          <cell r="D539">
            <v>1167.5999999999999</v>
          </cell>
          <cell r="E539">
            <v>1155.45</v>
          </cell>
          <cell r="F539">
            <v>1165.45</v>
          </cell>
        </row>
        <row r="540">
          <cell r="B540">
            <v>37313</v>
          </cell>
          <cell r="C540">
            <v>1165.75</v>
          </cell>
          <cell r="D540">
            <v>1192.6500000000001</v>
          </cell>
          <cell r="E540">
            <v>1165.75</v>
          </cell>
          <cell r="F540">
            <v>1189.4000000000001</v>
          </cell>
        </row>
        <row r="541">
          <cell r="B541">
            <v>37314</v>
          </cell>
          <cell r="C541">
            <v>1190.1500000000001</v>
          </cell>
          <cell r="D541">
            <v>1205.95</v>
          </cell>
          <cell r="E541">
            <v>1180</v>
          </cell>
          <cell r="F541">
            <v>1189.2</v>
          </cell>
        </row>
        <row r="542">
          <cell r="B542">
            <v>37315</v>
          </cell>
          <cell r="C542">
            <v>1189.5999999999999</v>
          </cell>
          <cell r="D542">
            <v>1197</v>
          </cell>
          <cell r="E542">
            <v>1135.2</v>
          </cell>
          <cell r="F542">
            <v>1142.05</v>
          </cell>
        </row>
        <row r="543">
          <cell r="B543">
            <v>37316</v>
          </cell>
          <cell r="C543">
            <v>1142.05</v>
          </cell>
          <cell r="D543">
            <v>1181.25</v>
          </cell>
          <cell r="E543">
            <v>1135.45</v>
          </cell>
          <cell r="F543">
            <v>1178</v>
          </cell>
        </row>
        <row r="544">
          <cell r="B544">
            <v>37319</v>
          </cell>
          <cell r="C544">
            <v>1178.45</v>
          </cell>
          <cell r="D544">
            <v>1201.0999999999999</v>
          </cell>
          <cell r="E544">
            <v>1172.3</v>
          </cell>
          <cell r="F544">
            <v>1177.3499999999999</v>
          </cell>
        </row>
        <row r="545">
          <cell r="B545">
            <v>37320</v>
          </cell>
          <cell r="C545">
            <v>1176.4000000000001</v>
          </cell>
          <cell r="D545">
            <v>1193.0999999999999</v>
          </cell>
          <cell r="E545">
            <v>1175.1500000000001</v>
          </cell>
          <cell r="F545">
            <v>1178.5</v>
          </cell>
        </row>
        <row r="546">
          <cell r="B546">
            <v>37321</v>
          </cell>
          <cell r="C546">
            <v>1176.55</v>
          </cell>
          <cell r="D546">
            <v>1182.6500000000001</v>
          </cell>
          <cell r="E546">
            <v>1162.75</v>
          </cell>
          <cell r="F546">
            <v>1172.5999999999999</v>
          </cell>
        </row>
        <row r="547">
          <cell r="B547">
            <v>37322</v>
          </cell>
          <cell r="C547">
            <v>1173.5999999999999</v>
          </cell>
          <cell r="D547">
            <v>1195.2</v>
          </cell>
          <cell r="E547">
            <v>1173.5999999999999</v>
          </cell>
          <cell r="F547">
            <v>1193.05</v>
          </cell>
        </row>
        <row r="548">
          <cell r="B548">
            <v>37323</v>
          </cell>
          <cell r="C548">
            <v>1193.5999999999999</v>
          </cell>
          <cell r="D548">
            <v>1199.5999999999999</v>
          </cell>
          <cell r="E548">
            <v>1182.55</v>
          </cell>
          <cell r="F548">
            <v>1187.6500000000001</v>
          </cell>
        </row>
        <row r="549">
          <cell r="B549">
            <v>37326</v>
          </cell>
          <cell r="C549">
            <v>1187.5</v>
          </cell>
          <cell r="D549">
            <v>1192.75</v>
          </cell>
          <cell r="E549">
            <v>1164.55</v>
          </cell>
          <cell r="F549">
            <v>1167.8499999999999</v>
          </cell>
        </row>
        <row r="550">
          <cell r="B550">
            <v>37327</v>
          </cell>
          <cell r="C550">
            <v>1167.8499999999999</v>
          </cell>
          <cell r="D550">
            <v>1171.2</v>
          </cell>
          <cell r="E550">
            <v>1144.3</v>
          </cell>
          <cell r="F550">
            <v>1150.45</v>
          </cell>
        </row>
        <row r="551">
          <cell r="B551">
            <v>37328</v>
          </cell>
          <cell r="C551">
            <v>1150.2</v>
          </cell>
          <cell r="D551">
            <v>1165.4000000000001</v>
          </cell>
          <cell r="E551">
            <v>1143.55</v>
          </cell>
          <cell r="F551">
            <v>1157.05</v>
          </cell>
        </row>
        <row r="552">
          <cell r="B552">
            <v>37329</v>
          </cell>
          <cell r="C552">
            <v>1156.8499999999999</v>
          </cell>
          <cell r="D552">
            <v>1163.6500000000001</v>
          </cell>
          <cell r="E552">
            <v>1153.1500000000001</v>
          </cell>
          <cell r="F552">
            <v>1159.45</v>
          </cell>
        </row>
        <row r="553">
          <cell r="B553">
            <v>37330</v>
          </cell>
          <cell r="C553">
            <v>1159.5999999999999</v>
          </cell>
          <cell r="D553">
            <v>1173.75</v>
          </cell>
          <cell r="E553">
            <v>1159.5999999999999</v>
          </cell>
          <cell r="F553">
            <v>1169.75</v>
          </cell>
        </row>
        <row r="554">
          <cell r="B554">
            <v>37333</v>
          </cell>
          <cell r="C554">
            <v>1169.95</v>
          </cell>
          <cell r="D554">
            <v>1184.7</v>
          </cell>
          <cell r="E554">
            <v>1163.75</v>
          </cell>
          <cell r="F554">
            <v>1169.3</v>
          </cell>
        </row>
        <row r="555">
          <cell r="B555">
            <v>37334</v>
          </cell>
          <cell r="C555">
            <v>1169.4000000000001</v>
          </cell>
          <cell r="D555">
            <v>1170.8</v>
          </cell>
          <cell r="E555">
            <v>1150.3</v>
          </cell>
          <cell r="F555">
            <v>1152.1500000000001</v>
          </cell>
        </row>
        <row r="556">
          <cell r="B556">
            <v>37335</v>
          </cell>
          <cell r="C556">
            <v>1152.05</v>
          </cell>
          <cell r="D556">
            <v>1158.95</v>
          </cell>
          <cell r="E556">
            <v>1148.5</v>
          </cell>
          <cell r="F556">
            <v>1155.5999999999999</v>
          </cell>
        </row>
        <row r="557">
          <cell r="B557">
            <v>37336</v>
          </cell>
          <cell r="C557">
            <v>1155.55</v>
          </cell>
          <cell r="D557">
            <v>1155.55</v>
          </cell>
          <cell r="E557">
            <v>1141.05</v>
          </cell>
          <cell r="F557">
            <v>1144.2</v>
          </cell>
        </row>
        <row r="558">
          <cell r="B558">
            <v>37337</v>
          </cell>
          <cell r="C558">
            <v>1144.5</v>
          </cell>
          <cell r="D558">
            <v>1148.6500000000001</v>
          </cell>
          <cell r="E558">
            <v>1135.9000000000001</v>
          </cell>
          <cell r="F558">
            <v>1138.45</v>
          </cell>
        </row>
        <row r="559">
          <cell r="B559">
            <v>37341</v>
          </cell>
          <cell r="C559">
            <v>1138.0999999999999</v>
          </cell>
          <cell r="D559">
            <v>1140.2</v>
          </cell>
          <cell r="E559">
            <v>1117.8499999999999</v>
          </cell>
          <cell r="F559">
            <v>1123.05</v>
          </cell>
        </row>
        <row r="560">
          <cell r="B560">
            <v>37342</v>
          </cell>
          <cell r="C560">
            <v>1130</v>
          </cell>
          <cell r="D560">
            <v>1134.0999999999999</v>
          </cell>
          <cell r="E560">
            <v>1121.3499999999999</v>
          </cell>
          <cell r="F560">
            <v>1123.3499999999999</v>
          </cell>
        </row>
        <row r="561">
          <cell r="B561">
            <v>37343</v>
          </cell>
          <cell r="C561">
            <v>1123.5999999999999</v>
          </cell>
          <cell r="D561">
            <v>1138.45</v>
          </cell>
          <cell r="E561">
            <v>1123.5999999999999</v>
          </cell>
          <cell r="F561">
            <v>1129.55</v>
          </cell>
        </row>
        <row r="562">
          <cell r="B562">
            <v>37347</v>
          </cell>
          <cell r="C562">
            <v>1129.8499999999999</v>
          </cell>
          <cell r="D562">
            <v>1143.3</v>
          </cell>
          <cell r="E562">
            <v>1129.8499999999999</v>
          </cell>
          <cell r="F562">
            <v>1138.95</v>
          </cell>
        </row>
        <row r="563">
          <cell r="B563">
            <v>37348</v>
          </cell>
          <cell r="C563">
            <v>1138.8</v>
          </cell>
          <cell r="D563">
            <v>1147.3</v>
          </cell>
          <cell r="E563">
            <v>1132.3</v>
          </cell>
          <cell r="F563">
            <v>1136.95</v>
          </cell>
        </row>
        <row r="564">
          <cell r="B564">
            <v>37349</v>
          </cell>
          <cell r="C564">
            <v>1136.5999999999999</v>
          </cell>
          <cell r="D564">
            <v>1136.9000000000001</v>
          </cell>
          <cell r="E564">
            <v>1121.45</v>
          </cell>
          <cell r="F564">
            <v>1123.5</v>
          </cell>
        </row>
        <row r="565">
          <cell r="B565">
            <v>37350</v>
          </cell>
          <cell r="C565">
            <v>1124.05</v>
          </cell>
          <cell r="D565">
            <v>1149.6500000000001</v>
          </cell>
          <cell r="E565">
            <v>1123.9000000000001</v>
          </cell>
          <cell r="F565">
            <v>1145.9000000000001</v>
          </cell>
        </row>
        <row r="566">
          <cell r="B566">
            <v>37351</v>
          </cell>
          <cell r="C566">
            <v>1146.05</v>
          </cell>
          <cell r="D566">
            <v>1153.3</v>
          </cell>
          <cell r="E566">
            <v>1139.9000000000001</v>
          </cell>
          <cell r="F566">
            <v>1141.95</v>
          </cell>
        </row>
        <row r="567">
          <cell r="B567">
            <v>37354</v>
          </cell>
          <cell r="C567">
            <v>1141.9000000000001</v>
          </cell>
          <cell r="D567">
            <v>1147.9000000000001</v>
          </cell>
          <cell r="E567">
            <v>1134</v>
          </cell>
          <cell r="F567">
            <v>1135.25</v>
          </cell>
        </row>
        <row r="568">
          <cell r="B568">
            <v>37355</v>
          </cell>
          <cell r="C568">
            <v>1135.1500000000001</v>
          </cell>
          <cell r="D568">
            <v>1137.45</v>
          </cell>
          <cell r="E568">
            <v>1122.0999999999999</v>
          </cell>
          <cell r="F568">
            <v>1126.7</v>
          </cell>
        </row>
        <row r="569">
          <cell r="B569">
            <v>37356</v>
          </cell>
          <cell r="C569">
            <v>1126.7</v>
          </cell>
          <cell r="D569">
            <v>1140.25</v>
          </cell>
          <cell r="E569">
            <v>1125.75</v>
          </cell>
          <cell r="F569">
            <v>1138.5</v>
          </cell>
        </row>
        <row r="570">
          <cell r="B570">
            <v>37357</v>
          </cell>
          <cell r="C570">
            <v>1138.55</v>
          </cell>
          <cell r="D570">
            <v>1150.2</v>
          </cell>
          <cell r="E570">
            <v>1138.55</v>
          </cell>
          <cell r="F570">
            <v>1143.5999999999999</v>
          </cell>
        </row>
        <row r="571">
          <cell r="B571">
            <v>37358</v>
          </cell>
          <cell r="C571">
            <v>1143.25</v>
          </cell>
          <cell r="D571">
            <v>1151.55</v>
          </cell>
          <cell r="E571">
            <v>1138.6500000000001</v>
          </cell>
          <cell r="F571">
            <v>1146.5</v>
          </cell>
        </row>
        <row r="572">
          <cell r="B572">
            <v>37361</v>
          </cell>
          <cell r="C572">
            <v>1146.55</v>
          </cell>
          <cell r="D572">
            <v>1152.55</v>
          </cell>
          <cell r="E572">
            <v>1130.45</v>
          </cell>
          <cell r="F572">
            <v>1134.1500000000001</v>
          </cell>
        </row>
        <row r="573">
          <cell r="B573">
            <v>37362</v>
          </cell>
          <cell r="C573">
            <v>1130.8</v>
          </cell>
          <cell r="D573">
            <v>1133.5</v>
          </cell>
          <cell r="E573">
            <v>1116.6500000000001</v>
          </cell>
          <cell r="F573">
            <v>1118.75</v>
          </cell>
        </row>
        <row r="574">
          <cell r="B574">
            <v>37363</v>
          </cell>
          <cell r="C574">
            <v>1119</v>
          </cell>
          <cell r="D574">
            <v>1136.5999999999999</v>
          </cell>
          <cell r="E574">
            <v>1118.95</v>
          </cell>
          <cell r="F574">
            <v>1125.0999999999999</v>
          </cell>
        </row>
        <row r="575">
          <cell r="B575">
            <v>37364</v>
          </cell>
          <cell r="C575">
            <v>1125.25</v>
          </cell>
          <cell r="D575">
            <v>1135</v>
          </cell>
          <cell r="E575">
            <v>1123.8</v>
          </cell>
          <cell r="F575">
            <v>1129</v>
          </cell>
        </row>
        <row r="576">
          <cell r="B576">
            <v>37365</v>
          </cell>
          <cell r="C576">
            <v>1125.55</v>
          </cell>
          <cell r="D576">
            <v>1127.05</v>
          </cell>
          <cell r="E576">
            <v>1097.5999999999999</v>
          </cell>
          <cell r="F576">
            <v>1100.3</v>
          </cell>
        </row>
        <row r="577">
          <cell r="B577">
            <v>37368</v>
          </cell>
          <cell r="C577">
            <v>1100.5</v>
          </cell>
          <cell r="D577">
            <v>1107.2</v>
          </cell>
          <cell r="E577">
            <v>1088.05</v>
          </cell>
          <cell r="F577">
            <v>1104.1500000000001</v>
          </cell>
        </row>
        <row r="578">
          <cell r="B578">
            <v>37369</v>
          </cell>
          <cell r="C578">
            <v>1104</v>
          </cell>
          <cell r="D578">
            <v>1108.8</v>
          </cell>
          <cell r="E578">
            <v>1095</v>
          </cell>
          <cell r="F578">
            <v>1106</v>
          </cell>
        </row>
        <row r="579">
          <cell r="B579">
            <v>37370</v>
          </cell>
          <cell r="C579">
            <v>1106.25</v>
          </cell>
          <cell r="D579">
            <v>1116.8499999999999</v>
          </cell>
          <cell r="E579">
            <v>1105.7</v>
          </cell>
          <cell r="F579">
            <v>1110.5999999999999</v>
          </cell>
        </row>
        <row r="580">
          <cell r="B580">
            <v>37371</v>
          </cell>
          <cell r="C580">
            <v>1110.6500000000001</v>
          </cell>
          <cell r="D580">
            <v>1113.8499999999999</v>
          </cell>
          <cell r="E580">
            <v>1089</v>
          </cell>
          <cell r="F580">
            <v>1094.3</v>
          </cell>
        </row>
        <row r="581">
          <cell r="B581">
            <v>37372</v>
          </cell>
          <cell r="C581">
            <v>1094.25</v>
          </cell>
          <cell r="D581">
            <v>1103.3499999999999</v>
          </cell>
          <cell r="E581">
            <v>1094.0999999999999</v>
          </cell>
          <cell r="F581">
            <v>1097.4000000000001</v>
          </cell>
        </row>
        <row r="582">
          <cell r="B582">
            <v>37375</v>
          </cell>
          <cell r="C582">
            <v>1097.55</v>
          </cell>
          <cell r="D582">
            <v>1098.6500000000001</v>
          </cell>
          <cell r="E582">
            <v>1073.3</v>
          </cell>
          <cell r="F582">
            <v>1074.2</v>
          </cell>
        </row>
        <row r="583">
          <cell r="B583">
            <v>37376</v>
          </cell>
          <cell r="C583">
            <v>1074.25</v>
          </cell>
          <cell r="D583">
            <v>1085.75</v>
          </cell>
          <cell r="E583">
            <v>1073.4000000000001</v>
          </cell>
          <cell r="F583">
            <v>1084.5</v>
          </cell>
        </row>
        <row r="584">
          <cell r="B584">
            <v>37378</v>
          </cell>
          <cell r="C584">
            <v>1084.8</v>
          </cell>
          <cell r="D584">
            <v>1101.0999999999999</v>
          </cell>
          <cell r="E584">
            <v>1084.8</v>
          </cell>
          <cell r="F584">
            <v>1093.3</v>
          </cell>
        </row>
        <row r="585">
          <cell r="B585">
            <v>37379</v>
          </cell>
          <cell r="C585">
            <v>1093.4000000000001</v>
          </cell>
          <cell r="D585">
            <v>1098.5999999999999</v>
          </cell>
          <cell r="E585">
            <v>1091.5</v>
          </cell>
          <cell r="F585">
            <v>1096.95</v>
          </cell>
        </row>
        <row r="586">
          <cell r="B586">
            <v>37382</v>
          </cell>
          <cell r="C586">
            <v>1096.95</v>
          </cell>
          <cell r="D586">
            <v>1102.05</v>
          </cell>
          <cell r="E586">
            <v>1096.25</v>
          </cell>
          <cell r="F586">
            <v>1100.95</v>
          </cell>
        </row>
        <row r="587">
          <cell r="B587">
            <v>37383</v>
          </cell>
          <cell r="C587">
            <v>1100.9000000000001</v>
          </cell>
          <cell r="D587">
            <v>1111.8499999999999</v>
          </cell>
          <cell r="E587">
            <v>1096.6500000000001</v>
          </cell>
          <cell r="F587">
            <v>1110.7</v>
          </cell>
        </row>
        <row r="588">
          <cell r="B588">
            <v>37384</v>
          </cell>
          <cell r="C588">
            <v>1110.7</v>
          </cell>
          <cell r="D588">
            <v>1122.7</v>
          </cell>
          <cell r="E588">
            <v>1110.7</v>
          </cell>
          <cell r="F588">
            <v>1117.5999999999999</v>
          </cell>
        </row>
        <row r="589">
          <cell r="B589">
            <v>37385</v>
          </cell>
          <cell r="C589">
            <v>1117.7</v>
          </cell>
          <cell r="D589">
            <v>1136.55</v>
          </cell>
          <cell r="E589">
            <v>1117.7</v>
          </cell>
          <cell r="F589">
            <v>1127.5999999999999</v>
          </cell>
        </row>
        <row r="590">
          <cell r="B590">
            <v>37386</v>
          </cell>
          <cell r="C590">
            <v>1127.05</v>
          </cell>
          <cell r="D590">
            <v>1127.3</v>
          </cell>
          <cell r="E590">
            <v>1111.1500000000001</v>
          </cell>
          <cell r="F590">
            <v>1116.4000000000001</v>
          </cell>
        </row>
        <row r="591">
          <cell r="B591">
            <v>37389</v>
          </cell>
          <cell r="C591">
            <v>1116.8</v>
          </cell>
          <cell r="D591">
            <v>1121.95</v>
          </cell>
          <cell r="E591">
            <v>1114.2</v>
          </cell>
          <cell r="F591">
            <v>1119.6500000000001</v>
          </cell>
        </row>
        <row r="592">
          <cell r="B592">
            <v>37390</v>
          </cell>
          <cell r="C592">
            <v>1119.95</v>
          </cell>
          <cell r="D592">
            <v>1125.95</v>
          </cell>
          <cell r="E592">
            <v>1111.45</v>
          </cell>
          <cell r="F592">
            <v>1115.0999999999999</v>
          </cell>
        </row>
        <row r="593">
          <cell r="B593">
            <v>37391</v>
          </cell>
          <cell r="C593">
            <v>1115.1500000000001</v>
          </cell>
          <cell r="D593">
            <v>1121.5</v>
          </cell>
          <cell r="E593">
            <v>1102.6500000000001</v>
          </cell>
          <cell r="F593">
            <v>1107.8</v>
          </cell>
        </row>
        <row r="594">
          <cell r="B594">
            <v>37392</v>
          </cell>
          <cell r="C594">
            <v>1108.25</v>
          </cell>
          <cell r="D594">
            <v>1111.25</v>
          </cell>
          <cell r="E594">
            <v>1089.8499999999999</v>
          </cell>
          <cell r="F594">
            <v>1092.8</v>
          </cell>
        </row>
        <row r="595">
          <cell r="B595">
            <v>37393</v>
          </cell>
          <cell r="C595">
            <v>1092.8</v>
          </cell>
          <cell r="D595">
            <v>1099.75</v>
          </cell>
          <cell r="E595">
            <v>1079.95</v>
          </cell>
          <cell r="F595">
            <v>1090.6500000000001</v>
          </cell>
        </row>
        <row r="596">
          <cell r="B596">
            <v>37396</v>
          </cell>
          <cell r="C596">
            <v>1091.7</v>
          </cell>
          <cell r="D596">
            <v>1097.95</v>
          </cell>
          <cell r="E596">
            <v>1071.3499999999999</v>
          </cell>
          <cell r="F596">
            <v>1074.3499999999999</v>
          </cell>
        </row>
        <row r="597">
          <cell r="B597">
            <v>37397</v>
          </cell>
          <cell r="C597">
            <v>1074.75</v>
          </cell>
          <cell r="D597">
            <v>1074.8499999999999</v>
          </cell>
          <cell r="E597">
            <v>1028.25</v>
          </cell>
          <cell r="F597">
            <v>1049.2</v>
          </cell>
        </row>
        <row r="598">
          <cell r="B598">
            <v>37398</v>
          </cell>
          <cell r="C598">
            <v>1049.5</v>
          </cell>
          <cell r="D598">
            <v>1050.9000000000001</v>
          </cell>
          <cell r="E598">
            <v>1035.5</v>
          </cell>
          <cell r="F598">
            <v>1045.3</v>
          </cell>
        </row>
        <row r="599">
          <cell r="B599">
            <v>37399</v>
          </cell>
          <cell r="C599">
            <v>1045.2</v>
          </cell>
          <cell r="D599">
            <v>1045.3499999999999</v>
          </cell>
          <cell r="E599">
            <v>1024.3</v>
          </cell>
          <cell r="F599">
            <v>1026.75</v>
          </cell>
        </row>
        <row r="600">
          <cell r="B600">
            <v>37400</v>
          </cell>
          <cell r="C600">
            <v>1026.9000000000001</v>
          </cell>
          <cell r="D600">
            <v>1069.2</v>
          </cell>
          <cell r="E600">
            <v>1026.9000000000001</v>
          </cell>
          <cell r="F600">
            <v>1067</v>
          </cell>
        </row>
        <row r="601">
          <cell r="B601">
            <v>37403</v>
          </cell>
          <cell r="C601">
            <v>1067</v>
          </cell>
          <cell r="D601">
            <v>1071.5</v>
          </cell>
          <cell r="E601">
            <v>1054.0999999999999</v>
          </cell>
          <cell r="F601">
            <v>1062.7</v>
          </cell>
        </row>
        <row r="602">
          <cell r="B602">
            <v>37404</v>
          </cell>
          <cell r="C602">
            <v>1061.9000000000001</v>
          </cell>
          <cell r="D602">
            <v>1062.3</v>
          </cell>
          <cell r="E602">
            <v>1034.0999999999999</v>
          </cell>
          <cell r="F602">
            <v>1038.2</v>
          </cell>
        </row>
        <row r="603">
          <cell r="B603">
            <v>37405</v>
          </cell>
          <cell r="C603">
            <v>1038.2</v>
          </cell>
          <cell r="D603">
            <v>1047.95</v>
          </cell>
          <cell r="E603">
            <v>1026.5</v>
          </cell>
          <cell r="F603">
            <v>1041.6500000000001</v>
          </cell>
        </row>
        <row r="604">
          <cell r="B604">
            <v>37406</v>
          </cell>
          <cell r="C604">
            <v>1041.4000000000001</v>
          </cell>
          <cell r="D604">
            <v>1049.95</v>
          </cell>
          <cell r="E604">
            <v>1030.0999999999999</v>
          </cell>
          <cell r="F604">
            <v>1032.1500000000001</v>
          </cell>
        </row>
        <row r="605">
          <cell r="B605">
            <v>37407</v>
          </cell>
          <cell r="C605">
            <v>1032.5</v>
          </cell>
          <cell r="D605">
            <v>1037.7</v>
          </cell>
          <cell r="E605">
            <v>1020.1</v>
          </cell>
          <cell r="F605">
            <v>1028.8</v>
          </cell>
        </row>
        <row r="606">
          <cell r="B606">
            <v>37410</v>
          </cell>
          <cell r="C606">
            <v>1029.25</v>
          </cell>
          <cell r="D606">
            <v>1047.25</v>
          </cell>
          <cell r="E606">
            <v>1029.25</v>
          </cell>
          <cell r="F606">
            <v>1039.75</v>
          </cell>
        </row>
        <row r="607">
          <cell r="B607">
            <v>37411</v>
          </cell>
          <cell r="C607">
            <v>1040.1500000000001</v>
          </cell>
          <cell r="D607">
            <v>1047.4000000000001</v>
          </cell>
          <cell r="E607">
            <v>1036.55</v>
          </cell>
          <cell r="F607">
            <v>1045.4000000000001</v>
          </cell>
        </row>
        <row r="608">
          <cell r="B608">
            <v>37412</v>
          </cell>
          <cell r="C608">
            <v>1045.55</v>
          </cell>
          <cell r="D608">
            <v>1067.5</v>
          </cell>
          <cell r="E608">
            <v>1045</v>
          </cell>
          <cell r="F608">
            <v>1064.2</v>
          </cell>
        </row>
        <row r="609">
          <cell r="B609">
            <v>37413</v>
          </cell>
          <cell r="C609">
            <v>1064.1500000000001</v>
          </cell>
          <cell r="D609">
            <v>1072</v>
          </cell>
          <cell r="E609">
            <v>1055.5</v>
          </cell>
          <cell r="F609">
            <v>1064.3499999999999</v>
          </cell>
        </row>
        <row r="610">
          <cell r="B610">
            <v>37414</v>
          </cell>
          <cell r="C610">
            <v>1063.75</v>
          </cell>
          <cell r="D610">
            <v>1063.75</v>
          </cell>
          <cell r="E610">
            <v>1044.3499999999999</v>
          </cell>
          <cell r="F610">
            <v>1048.8</v>
          </cell>
        </row>
        <row r="611">
          <cell r="B611">
            <v>37417</v>
          </cell>
          <cell r="C611">
            <v>1049.95</v>
          </cell>
          <cell r="D611">
            <v>1072.5</v>
          </cell>
          <cell r="E611">
            <v>1049.95</v>
          </cell>
          <cell r="F611">
            <v>1069.9000000000001</v>
          </cell>
        </row>
        <row r="612">
          <cell r="B612">
            <v>37418</v>
          </cell>
          <cell r="C612">
            <v>1070.95</v>
          </cell>
          <cell r="D612">
            <v>1099.5</v>
          </cell>
          <cell r="E612">
            <v>1070.55</v>
          </cell>
          <cell r="F612">
            <v>1097.05</v>
          </cell>
        </row>
        <row r="613">
          <cell r="B613">
            <v>37419</v>
          </cell>
          <cell r="C613">
            <v>1097.1500000000001</v>
          </cell>
          <cell r="D613">
            <v>1100.45</v>
          </cell>
          <cell r="E613">
            <v>1088.5</v>
          </cell>
          <cell r="F613">
            <v>1092.8</v>
          </cell>
        </row>
        <row r="614">
          <cell r="B614">
            <v>37420</v>
          </cell>
          <cell r="C614">
            <v>1093</v>
          </cell>
          <cell r="D614">
            <v>1102.05</v>
          </cell>
          <cell r="E614">
            <v>1080.8</v>
          </cell>
          <cell r="F614">
            <v>1082.8499999999999</v>
          </cell>
        </row>
        <row r="615">
          <cell r="B615">
            <v>37421</v>
          </cell>
          <cell r="C615">
            <v>1081.75</v>
          </cell>
          <cell r="D615">
            <v>1087.5999999999999</v>
          </cell>
          <cell r="E615">
            <v>1079.45</v>
          </cell>
          <cell r="F615">
            <v>1085.7</v>
          </cell>
        </row>
        <row r="616">
          <cell r="B616">
            <v>37424</v>
          </cell>
          <cell r="C616">
            <v>1085.8</v>
          </cell>
          <cell r="D616">
            <v>1097.55</v>
          </cell>
          <cell r="E616">
            <v>1085.7</v>
          </cell>
          <cell r="F616">
            <v>1088.9000000000001</v>
          </cell>
        </row>
        <row r="617">
          <cell r="B617">
            <v>37425</v>
          </cell>
          <cell r="C617">
            <v>1088.9000000000001</v>
          </cell>
          <cell r="D617">
            <v>1097.4000000000001</v>
          </cell>
          <cell r="E617">
            <v>1073.75</v>
          </cell>
          <cell r="F617">
            <v>1074.95</v>
          </cell>
        </row>
        <row r="618">
          <cell r="B618">
            <v>37426</v>
          </cell>
          <cell r="C618">
            <v>1074.7</v>
          </cell>
          <cell r="D618">
            <v>1079.2</v>
          </cell>
          <cell r="E618">
            <v>1056.45</v>
          </cell>
          <cell r="F618">
            <v>1062.9000000000001</v>
          </cell>
        </row>
        <row r="619">
          <cell r="B619">
            <v>37427</v>
          </cell>
          <cell r="C619">
            <v>1063.0999999999999</v>
          </cell>
          <cell r="D619">
            <v>1074</v>
          </cell>
          <cell r="E619">
            <v>1056.25</v>
          </cell>
          <cell r="F619">
            <v>1070.05</v>
          </cell>
        </row>
        <row r="620">
          <cell r="B620">
            <v>37428</v>
          </cell>
          <cell r="C620">
            <v>1069.5</v>
          </cell>
          <cell r="D620">
            <v>1069.8</v>
          </cell>
          <cell r="E620">
            <v>1058.95</v>
          </cell>
          <cell r="F620">
            <v>1062.55</v>
          </cell>
        </row>
        <row r="621">
          <cell r="B621">
            <v>37431</v>
          </cell>
          <cell r="C621">
            <v>1065.5999999999999</v>
          </cell>
          <cell r="D621">
            <v>1065.5999999999999</v>
          </cell>
          <cell r="E621">
            <v>1054.45</v>
          </cell>
          <cell r="F621">
            <v>1061.8499999999999</v>
          </cell>
        </row>
        <row r="622">
          <cell r="B622">
            <v>37432</v>
          </cell>
          <cell r="C622">
            <v>1061.9000000000001</v>
          </cell>
          <cell r="D622">
            <v>1063.3</v>
          </cell>
          <cell r="E622">
            <v>1048.55</v>
          </cell>
          <cell r="F622">
            <v>1055.4000000000001</v>
          </cell>
        </row>
        <row r="623">
          <cell r="B623">
            <v>37433</v>
          </cell>
          <cell r="C623">
            <v>1055.3499999999999</v>
          </cell>
          <cell r="D623">
            <v>1061.05</v>
          </cell>
          <cell r="E623">
            <v>1042.2</v>
          </cell>
          <cell r="F623">
            <v>1044.2</v>
          </cell>
        </row>
        <row r="624">
          <cell r="B624">
            <v>37434</v>
          </cell>
          <cell r="C624">
            <v>1044.5</v>
          </cell>
          <cell r="D624">
            <v>1053.7</v>
          </cell>
          <cell r="E624">
            <v>1044</v>
          </cell>
          <cell r="F624">
            <v>1048.55</v>
          </cell>
        </row>
        <row r="625">
          <cell r="B625">
            <v>37435</v>
          </cell>
          <cell r="C625">
            <v>1049.4000000000001</v>
          </cell>
          <cell r="D625">
            <v>1068.9000000000001</v>
          </cell>
          <cell r="E625">
            <v>1049.4000000000001</v>
          </cell>
          <cell r="F625">
            <v>1057.8</v>
          </cell>
        </row>
        <row r="626">
          <cell r="B626">
            <v>37438</v>
          </cell>
          <cell r="C626">
            <v>1058</v>
          </cell>
          <cell r="D626">
            <v>1070.1500000000001</v>
          </cell>
          <cell r="E626">
            <v>1058</v>
          </cell>
          <cell r="F626">
            <v>1068.95</v>
          </cell>
        </row>
        <row r="627">
          <cell r="B627">
            <v>37439</v>
          </cell>
          <cell r="C627">
            <v>1067.9000000000001</v>
          </cell>
          <cell r="D627">
            <v>1071.7</v>
          </cell>
          <cell r="E627">
            <v>1064.95</v>
          </cell>
          <cell r="F627">
            <v>1068.05</v>
          </cell>
        </row>
        <row r="628">
          <cell r="B628">
            <v>37440</v>
          </cell>
          <cell r="C628">
            <v>1067.8</v>
          </cell>
          <cell r="D628">
            <v>1074</v>
          </cell>
          <cell r="E628">
            <v>1065.55</v>
          </cell>
          <cell r="F628">
            <v>1069.9000000000001</v>
          </cell>
        </row>
        <row r="629">
          <cell r="B629">
            <v>37441</v>
          </cell>
          <cell r="C629">
            <v>1069.95</v>
          </cell>
          <cell r="D629">
            <v>1078.55</v>
          </cell>
          <cell r="E629">
            <v>1068.4000000000001</v>
          </cell>
          <cell r="F629">
            <v>1070.55</v>
          </cell>
        </row>
        <row r="630">
          <cell r="B630">
            <v>37442</v>
          </cell>
          <cell r="C630">
            <v>1071</v>
          </cell>
          <cell r="D630">
            <v>1076.2</v>
          </cell>
          <cell r="E630">
            <v>1067.45</v>
          </cell>
          <cell r="F630">
            <v>1073.8</v>
          </cell>
        </row>
        <row r="631">
          <cell r="B631">
            <v>37445</v>
          </cell>
          <cell r="C631">
            <v>1074</v>
          </cell>
          <cell r="D631">
            <v>1085.3</v>
          </cell>
          <cell r="E631">
            <v>1072.9000000000001</v>
          </cell>
          <cell r="F631">
            <v>1082.05</v>
          </cell>
        </row>
        <row r="632">
          <cell r="B632">
            <v>37446</v>
          </cell>
          <cell r="C632">
            <v>1081.9000000000001</v>
          </cell>
          <cell r="D632">
            <v>1083.6500000000001</v>
          </cell>
          <cell r="E632">
            <v>1077.55</v>
          </cell>
          <cell r="F632">
            <v>1080.3</v>
          </cell>
        </row>
        <row r="633">
          <cell r="B633">
            <v>37447</v>
          </cell>
          <cell r="C633">
            <v>1081.55</v>
          </cell>
          <cell r="D633">
            <v>1087.4000000000001</v>
          </cell>
          <cell r="E633">
            <v>1069.45</v>
          </cell>
          <cell r="F633">
            <v>1071.7</v>
          </cell>
        </row>
        <row r="634">
          <cell r="B634">
            <v>37448</v>
          </cell>
          <cell r="C634">
            <v>1070.95</v>
          </cell>
          <cell r="D634">
            <v>1070.95</v>
          </cell>
          <cell r="E634">
            <v>1055.3</v>
          </cell>
          <cell r="F634">
            <v>1056.5999999999999</v>
          </cell>
        </row>
        <row r="635">
          <cell r="B635">
            <v>37449</v>
          </cell>
          <cell r="C635">
            <v>1057.0999999999999</v>
          </cell>
          <cell r="D635">
            <v>1064.9000000000001</v>
          </cell>
          <cell r="E635">
            <v>1054.9000000000001</v>
          </cell>
          <cell r="F635">
            <v>1058.25</v>
          </cell>
        </row>
        <row r="636">
          <cell r="B636">
            <v>37452</v>
          </cell>
          <cell r="C636">
            <v>1057.95</v>
          </cell>
          <cell r="D636">
            <v>1058.45</v>
          </cell>
          <cell r="E636">
            <v>1043.3</v>
          </cell>
          <cell r="F636">
            <v>1048</v>
          </cell>
        </row>
        <row r="637">
          <cell r="B637">
            <v>37453</v>
          </cell>
          <cell r="C637">
            <v>1047.9000000000001</v>
          </cell>
          <cell r="D637">
            <v>1051.8499999999999</v>
          </cell>
          <cell r="E637">
            <v>1033.95</v>
          </cell>
          <cell r="F637">
            <v>1035.95</v>
          </cell>
        </row>
        <row r="638">
          <cell r="B638">
            <v>37454</v>
          </cell>
          <cell r="C638">
            <v>1035.95</v>
          </cell>
          <cell r="D638">
            <v>1037.5</v>
          </cell>
          <cell r="E638">
            <v>1025</v>
          </cell>
          <cell r="F638">
            <v>1032.55</v>
          </cell>
        </row>
        <row r="639">
          <cell r="B639">
            <v>37455</v>
          </cell>
          <cell r="C639">
            <v>1032.55</v>
          </cell>
          <cell r="D639">
            <v>1044</v>
          </cell>
          <cell r="E639">
            <v>1032.55</v>
          </cell>
          <cell r="F639">
            <v>1041.3</v>
          </cell>
        </row>
        <row r="640">
          <cell r="B640">
            <v>37456</v>
          </cell>
          <cell r="C640">
            <v>1041.3499999999999</v>
          </cell>
          <cell r="D640">
            <v>1041.5</v>
          </cell>
          <cell r="E640">
            <v>1032.25</v>
          </cell>
          <cell r="F640">
            <v>1035.9000000000001</v>
          </cell>
        </row>
        <row r="641">
          <cell r="B641">
            <v>37459</v>
          </cell>
          <cell r="C641">
            <v>1035.2</v>
          </cell>
          <cell r="D641">
            <v>1035.2</v>
          </cell>
          <cell r="E641">
            <v>1009</v>
          </cell>
          <cell r="F641">
            <v>1012</v>
          </cell>
        </row>
        <row r="642">
          <cell r="B642">
            <v>37460</v>
          </cell>
          <cell r="C642">
            <v>1012.05</v>
          </cell>
          <cell r="D642">
            <v>1023.65</v>
          </cell>
          <cell r="E642">
            <v>1005.75</v>
          </cell>
          <cell r="F642">
            <v>1021.9</v>
          </cell>
        </row>
        <row r="643">
          <cell r="B643">
            <v>37461</v>
          </cell>
          <cell r="C643">
            <v>1021.8</v>
          </cell>
          <cell r="D643">
            <v>1022.2</v>
          </cell>
          <cell r="E643">
            <v>1001.9</v>
          </cell>
          <cell r="F643">
            <v>1004.05</v>
          </cell>
        </row>
        <row r="644">
          <cell r="B644">
            <v>37462</v>
          </cell>
          <cell r="C644">
            <v>1004.2</v>
          </cell>
          <cell r="D644">
            <v>1021.3</v>
          </cell>
          <cell r="E644">
            <v>997.85</v>
          </cell>
          <cell r="F644">
            <v>1001.55</v>
          </cell>
        </row>
        <row r="645">
          <cell r="B645">
            <v>37463</v>
          </cell>
          <cell r="C645">
            <v>1001.05</v>
          </cell>
          <cell r="D645">
            <v>1001.05</v>
          </cell>
          <cell r="E645">
            <v>972.55</v>
          </cell>
          <cell r="F645">
            <v>973.5</v>
          </cell>
        </row>
        <row r="646">
          <cell r="B646">
            <v>37466</v>
          </cell>
          <cell r="C646">
            <v>973</v>
          </cell>
          <cell r="D646">
            <v>977.95</v>
          </cell>
          <cell r="E646">
            <v>953.15</v>
          </cell>
          <cell r="F646">
            <v>971.65</v>
          </cell>
        </row>
        <row r="647">
          <cell r="B647">
            <v>37467</v>
          </cell>
          <cell r="C647">
            <v>973</v>
          </cell>
          <cell r="D647">
            <v>987.5</v>
          </cell>
          <cell r="E647">
            <v>956.8</v>
          </cell>
          <cell r="F647">
            <v>960.65</v>
          </cell>
        </row>
        <row r="648">
          <cell r="B648">
            <v>37468</v>
          </cell>
          <cell r="C648">
            <v>960.3</v>
          </cell>
          <cell r="D648">
            <v>964.1</v>
          </cell>
          <cell r="E648">
            <v>943.6</v>
          </cell>
          <cell r="F648">
            <v>958.9</v>
          </cell>
        </row>
        <row r="649">
          <cell r="B649">
            <v>37469</v>
          </cell>
          <cell r="C649">
            <v>959.2</v>
          </cell>
          <cell r="D649">
            <v>972.05</v>
          </cell>
          <cell r="E649">
            <v>954.15</v>
          </cell>
          <cell r="F649">
            <v>957.7</v>
          </cell>
        </row>
        <row r="650">
          <cell r="B650">
            <v>37470</v>
          </cell>
          <cell r="C650">
            <v>957.55</v>
          </cell>
          <cell r="D650">
            <v>957.55</v>
          </cell>
          <cell r="E650">
            <v>935.55</v>
          </cell>
          <cell r="F650">
            <v>954.75</v>
          </cell>
        </row>
        <row r="651">
          <cell r="B651">
            <v>37473</v>
          </cell>
          <cell r="C651">
            <v>954.9</v>
          </cell>
          <cell r="D651">
            <v>966.5</v>
          </cell>
          <cell r="E651">
            <v>953.9</v>
          </cell>
          <cell r="F651">
            <v>963.25</v>
          </cell>
        </row>
        <row r="652">
          <cell r="B652">
            <v>37474</v>
          </cell>
          <cell r="C652">
            <v>963.3</v>
          </cell>
          <cell r="D652">
            <v>969.55</v>
          </cell>
          <cell r="E652">
            <v>955.4</v>
          </cell>
          <cell r="F652">
            <v>966.65</v>
          </cell>
        </row>
        <row r="653">
          <cell r="B653">
            <v>37475</v>
          </cell>
          <cell r="C653">
            <v>967.7</v>
          </cell>
          <cell r="D653">
            <v>978.6</v>
          </cell>
          <cell r="E653">
            <v>966.55</v>
          </cell>
          <cell r="F653">
            <v>969.1</v>
          </cell>
        </row>
        <row r="654">
          <cell r="B654">
            <v>37476</v>
          </cell>
          <cell r="C654">
            <v>969.15</v>
          </cell>
          <cell r="D654">
            <v>971.75</v>
          </cell>
          <cell r="E654">
            <v>951.2</v>
          </cell>
          <cell r="F654">
            <v>953.55</v>
          </cell>
        </row>
        <row r="655">
          <cell r="B655">
            <v>37477</v>
          </cell>
          <cell r="C655">
            <v>953.8</v>
          </cell>
          <cell r="D655">
            <v>963.85</v>
          </cell>
          <cell r="E655">
            <v>948</v>
          </cell>
          <cell r="F655">
            <v>961.95</v>
          </cell>
        </row>
        <row r="656">
          <cell r="B656">
            <v>37480</v>
          </cell>
          <cell r="C656">
            <v>961.15</v>
          </cell>
          <cell r="D656">
            <v>971.55</v>
          </cell>
          <cell r="E656">
            <v>961.15</v>
          </cell>
          <cell r="F656">
            <v>969.85</v>
          </cell>
        </row>
        <row r="657">
          <cell r="B657">
            <v>37481</v>
          </cell>
          <cell r="C657">
            <v>970.4</v>
          </cell>
          <cell r="D657">
            <v>977.2</v>
          </cell>
          <cell r="E657">
            <v>969.9</v>
          </cell>
          <cell r="F657">
            <v>976.05</v>
          </cell>
        </row>
        <row r="658">
          <cell r="B658">
            <v>37482</v>
          </cell>
          <cell r="C658">
            <v>976.05</v>
          </cell>
          <cell r="D658">
            <v>976.25</v>
          </cell>
          <cell r="E658">
            <v>967.25</v>
          </cell>
          <cell r="F658">
            <v>969.65</v>
          </cell>
        </row>
        <row r="659">
          <cell r="B659">
            <v>37484</v>
          </cell>
          <cell r="C659">
            <v>970.75</v>
          </cell>
          <cell r="D659">
            <v>981.2</v>
          </cell>
          <cell r="E659">
            <v>968.35</v>
          </cell>
          <cell r="F659">
            <v>979.25</v>
          </cell>
        </row>
        <row r="660">
          <cell r="B660">
            <v>37487</v>
          </cell>
          <cell r="C660">
            <v>979.4</v>
          </cell>
          <cell r="D660">
            <v>983.55</v>
          </cell>
          <cell r="E660">
            <v>978.2</v>
          </cell>
          <cell r="F660">
            <v>979.85</v>
          </cell>
        </row>
        <row r="661">
          <cell r="B661">
            <v>37488</v>
          </cell>
          <cell r="C661">
            <v>979.75</v>
          </cell>
          <cell r="D661">
            <v>990.85</v>
          </cell>
          <cell r="E661">
            <v>979.05</v>
          </cell>
          <cell r="F661">
            <v>988.55</v>
          </cell>
        </row>
        <row r="662">
          <cell r="B662">
            <v>37489</v>
          </cell>
          <cell r="C662">
            <v>988.6</v>
          </cell>
          <cell r="D662">
            <v>994.25</v>
          </cell>
          <cell r="E662">
            <v>984.35</v>
          </cell>
          <cell r="F662">
            <v>988.45</v>
          </cell>
        </row>
        <row r="663">
          <cell r="B663">
            <v>37490</v>
          </cell>
          <cell r="C663">
            <v>988.55</v>
          </cell>
          <cell r="D663">
            <v>995.3</v>
          </cell>
          <cell r="E663">
            <v>983.45</v>
          </cell>
          <cell r="F663">
            <v>985.7</v>
          </cell>
        </row>
        <row r="664">
          <cell r="B664">
            <v>37491</v>
          </cell>
          <cell r="C664">
            <v>985.75</v>
          </cell>
          <cell r="D664">
            <v>996.4</v>
          </cell>
          <cell r="E664">
            <v>984.7</v>
          </cell>
          <cell r="F664">
            <v>995.2</v>
          </cell>
        </row>
        <row r="665">
          <cell r="B665">
            <v>37494</v>
          </cell>
          <cell r="C665">
            <v>992.4</v>
          </cell>
          <cell r="D665">
            <v>1001.45</v>
          </cell>
          <cell r="E665">
            <v>986.15</v>
          </cell>
          <cell r="F665">
            <v>998.85</v>
          </cell>
        </row>
        <row r="666">
          <cell r="B666">
            <v>37495</v>
          </cell>
          <cell r="C666">
            <v>998.85</v>
          </cell>
          <cell r="D666">
            <v>1003.3</v>
          </cell>
          <cell r="E666">
            <v>985.7</v>
          </cell>
          <cell r="F666">
            <v>987.7</v>
          </cell>
        </row>
        <row r="667">
          <cell r="B667">
            <v>37496</v>
          </cell>
          <cell r="C667">
            <v>987.35</v>
          </cell>
          <cell r="D667">
            <v>988.1</v>
          </cell>
          <cell r="E667">
            <v>981.1</v>
          </cell>
          <cell r="F667">
            <v>985.7</v>
          </cell>
        </row>
        <row r="668">
          <cell r="B668">
            <v>37497</v>
          </cell>
          <cell r="C668">
            <v>985.85</v>
          </cell>
          <cell r="D668">
            <v>989.4</v>
          </cell>
          <cell r="E668">
            <v>981.45</v>
          </cell>
          <cell r="F668">
            <v>987.25</v>
          </cell>
        </row>
        <row r="669">
          <cell r="B669">
            <v>37498</v>
          </cell>
          <cell r="C669">
            <v>987.65</v>
          </cell>
          <cell r="D669">
            <v>1012.75</v>
          </cell>
          <cell r="E669">
            <v>986.7</v>
          </cell>
          <cell r="F669">
            <v>1010.6</v>
          </cell>
        </row>
        <row r="670">
          <cell r="B670">
            <v>37501</v>
          </cell>
          <cell r="C670">
            <v>1010.9</v>
          </cell>
          <cell r="D670">
            <v>1024.6500000000001</v>
          </cell>
          <cell r="E670">
            <v>1010.85</v>
          </cell>
          <cell r="F670">
            <v>1013.5</v>
          </cell>
        </row>
        <row r="671">
          <cell r="B671">
            <v>37502</v>
          </cell>
          <cell r="C671">
            <v>1013.65</v>
          </cell>
          <cell r="D671">
            <v>1014.8</v>
          </cell>
          <cell r="E671">
            <v>999.4</v>
          </cell>
          <cell r="F671">
            <v>1001.1</v>
          </cell>
        </row>
        <row r="672">
          <cell r="B672">
            <v>37503</v>
          </cell>
          <cell r="C672">
            <v>1000.7</v>
          </cell>
          <cell r="D672">
            <v>1008.8</v>
          </cell>
          <cell r="E672">
            <v>990.85</v>
          </cell>
          <cell r="F672">
            <v>1006.95</v>
          </cell>
        </row>
        <row r="673">
          <cell r="B673">
            <v>37504</v>
          </cell>
          <cell r="C673">
            <v>1006.9</v>
          </cell>
          <cell r="D673">
            <v>1013.45</v>
          </cell>
          <cell r="E673">
            <v>1004.2</v>
          </cell>
          <cell r="F673">
            <v>1008.6</v>
          </cell>
        </row>
        <row r="674">
          <cell r="B674">
            <v>37505</v>
          </cell>
          <cell r="C674">
            <v>1008.45</v>
          </cell>
          <cell r="D674">
            <v>1008.45</v>
          </cell>
          <cell r="E674">
            <v>992.7</v>
          </cell>
          <cell r="F674">
            <v>995.2</v>
          </cell>
        </row>
        <row r="675">
          <cell r="B675">
            <v>37508</v>
          </cell>
          <cell r="C675">
            <v>992.05</v>
          </cell>
          <cell r="D675">
            <v>1005.85</v>
          </cell>
          <cell r="E675">
            <v>985.25</v>
          </cell>
          <cell r="F675">
            <v>998.55</v>
          </cell>
        </row>
        <row r="676">
          <cell r="B676">
            <v>37510</v>
          </cell>
          <cell r="C676">
            <v>998.6</v>
          </cell>
          <cell r="D676">
            <v>1002.35</v>
          </cell>
          <cell r="E676">
            <v>993.35</v>
          </cell>
          <cell r="F676">
            <v>998.85</v>
          </cell>
        </row>
        <row r="677">
          <cell r="B677">
            <v>37511</v>
          </cell>
          <cell r="C677">
            <v>998.95</v>
          </cell>
          <cell r="D677">
            <v>1005.15</v>
          </cell>
          <cell r="E677">
            <v>998.8</v>
          </cell>
          <cell r="F677">
            <v>1001.65</v>
          </cell>
        </row>
        <row r="678">
          <cell r="B678">
            <v>37512</v>
          </cell>
          <cell r="C678">
            <v>1001.4</v>
          </cell>
          <cell r="D678">
            <v>1001.4</v>
          </cell>
          <cell r="E678">
            <v>989.85</v>
          </cell>
          <cell r="F678">
            <v>992</v>
          </cell>
        </row>
        <row r="679">
          <cell r="B679">
            <v>37515</v>
          </cell>
          <cell r="C679">
            <v>991.75</v>
          </cell>
          <cell r="D679">
            <v>997</v>
          </cell>
          <cell r="E679">
            <v>983.55</v>
          </cell>
          <cell r="F679">
            <v>985.75</v>
          </cell>
        </row>
        <row r="680">
          <cell r="B680">
            <v>37516</v>
          </cell>
          <cell r="C680">
            <v>985.75</v>
          </cell>
          <cell r="D680">
            <v>996.8</v>
          </cell>
          <cell r="E680">
            <v>985.75</v>
          </cell>
          <cell r="F680">
            <v>994.9</v>
          </cell>
        </row>
        <row r="681">
          <cell r="B681">
            <v>37517</v>
          </cell>
          <cell r="C681">
            <v>994.15</v>
          </cell>
          <cell r="D681">
            <v>994.15</v>
          </cell>
          <cell r="E681">
            <v>981.6</v>
          </cell>
          <cell r="F681">
            <v>983.6</v>
          </cell>
        </row>
        <row r="682">
          <cell r="B682">
            <v>37518</v>
          </cell>
          <cell r="C682">
            <v>983.45</v>
          </cell>
          <cell r="D682">
            <v>985.25</v>
          </cell>
          <cell r="E682">
            <v>970.8</v>
          </cell>
          <cell r="F682">
            <v>976.05</v>
          </cell>
        </row>
        <row r="683">
          <cell r="B683">
            <v>37519</v>
          </cell>
          <cell r="C683">
            <v>975.6</v>
          </cell>
          <cell r="D683">
            <v>975.6</v>
          </cell>
          <cell r="E683">
            <v>960.7</v>
          </cell>
          <cell r="F683">
            <v>969.6</v>
          </cell>
        </row>
        <row r="684">
          <cell r="B684">
            <v>37522</v>
          </cell>
          <cell r="C684">
            <v>969.85</v>
          </cell>
          <cell r="D684">
            <v>974.75</v>
          </cell>
          <cell r="E684">
            <v>967.35</v>
          </cell>
          <cell r="F684">
            <v>970.3</v>
          </cell>
        </row>
        <row r="685">
          <cell r="B685">
            <v>37523</v>
          </cell>
          <cell r="C685">
            <v>969.95</v>
          </cell>
          <cell r="D685">
            <v>969.95</v>
          </cell>
          <cell r="E685">
            <v>960.2</v>
          </cell>
          <cell r="F685">
            <v>966.2</v>
          </cell>
        </row>
        <row r="686">
          <cell r="B686">
            <v>37524</v>
          </cell>
          <cell r="C686">
            <v>964.65</v>
          </cell>
          <cell r="D686">
            <v>971.85</v>
          </cell>
          <cell r="E686">
            <v>960.5</v>
          </cell>
          <cell r="F686">
            <v>970.05</v>
          </cell>
        </row>
        <row r="687">
          <cell r="B687">
            <v>37525</v>
          </cell>
          <cell r="C687">
            <v>970.1</v>
          </cell>
          <cell r="D687">
            <v>976.25</v>
          </cell>
          <cell r="E687">
            <v>968.25</v>
          </cell>
          <cell r="F687">
            <v>969.9</v>
          </cell>
        </row>
        <row r="688">
          <cell r="B688">
            <v>37526</v>
          </cell>
          <cell r="C688">
            <v>969.95</v>
          </cell>
          <cell r="D688">
            <v>978</v>
          </cell>
          <cell r="E688">
            <v>969.25</v>
          </cell>
          <cell r="F688">
            <v>976.45</v>
          </cell>
        </row>
        <row r="689">
          <cell r="B689">
            <v>37529</v>
          </cell>
          <cell r="C689">
            <v>976.15</v>
          </cell>
          <cell r="D689">
            <v>976.15</v>
          </cell>
          <cell r="E689">
            <v>961.55</v>
          </cell>
          <cell r="F689">
            <v>963.15</v>
          </cell>
        </row>
        <row r="690">
          <cell r="B690">
            <v>37530</v>
          </cell>
          <cell r="C690">
            <v>961.15</v>
          </cell>
          <cell r="D690">
            <v>964.2</v>
          </cell>
          <cell r="E690">
            <v>950.3</v>
          </cell>
          <cell r="F690">
            <v>955.2</v>
          </cell>
        </row>
        <row r="691">
          <cell r="B691">
            <v>37532</v>
          </cell>
          <cell r="C691">
            <v>955.35</v>
          </cell>
          <cell r="D691">
            <v>957.9</v>
          </cell>
          <cell r="E691">
            <v>945.8</v>
          </cell>
          <cell r="F691">
            <v>948.2</v>
          </cell>
        </row>
        <row r="692">
          <cell r="B692">
            <v>37533</v>
          </cell>
          <cell r="C692">
            <v>948.1</v>
          </cell>
          <cell r="D692">
            <v>951.8</v>
          </cell>
          <cell r="E692">
            <v>944.5</v>
          </cell>
          <cell r="F692">
            <v>948.2</v>
          </cell>
        </row>
        <row r="693">
          <cell r="B693">
            <v>37536</v>
          </cell>
          <cell r="C693">
            <v>947.8</v>
          </cell>
          <cell r="D693">
            <v>956.35</v>
          </cell>
          <cell r="E693">
            <v>946.25</v>
          </cell>
          <cell r="F693">
            <v>954.75</v>
          </cell>
        </row>
        <row r="694">
          <cell r="B694">
            <v>37537</v>
          </cell>
          <cell r="C694">
            <v>954.8</v>
          </cell>
          <cell r="D694">
            <v>963.15</v>
          </cell>
          <cell r="E694">
            <v>952.5</v>
          </cell>
          <cell r="F694">
            <v>960.8</v>
          </cell>
        </row>
        <row r="695">
          <cell r="B695">
            <v>37538</v>
          </cell>
          <cell r="C695">
            <v>960.85</v>
          </cell>
          <cell r="D695">
            <v>968.75</v>
          </cell>
          <cell r="E695">
            <v>952.95</v>
          </cell>
          <cell r="F695">
            <v>954.75</v>
          </cell>
        </row>
        <row r="696">
          <cell r="B696">
            <v>37539</v>
          </cell>
          <cell r="C696">
            <v>954.8</v>
          </cell>
          <cell r="D696">
            <v>960.45</v>
          </cell>
          <cell r="E696">
            <v>945</v>
          </cell>
          <cell r="F696">
            <v>958.45</v>
          </cell>
        </row>
        <row r="697">
          <cell r="B697">
            <v>37540</v>
          </cell>
          <cell r="C697">
            <v>958.45</v>
          </cell>
          <cell r="D697">
            <v>973.5</v>
          </cell>
          <cell r="E697">
            <v>958.45</v>
          </cell>
          <cell r="F697">
            <v>971.05</v>
          </cell>
        </row>
        <row r="698">
          <cell r="B698">
            <v>37543</v>
          </cell>
          <cell r="C698">
            <v>971.5</v>
          </cell>
          <cell r="D698">
            <v>976.5</v>
          </cell>
          <cell r="E698">
            <v>969</v>
          </cell>
          <cell r="F698">
            <v>972.45</v>
          </cell>
        </row>
        <row r="699">
          <cell r="B699">
            <v>37545</v>
          </cell>
          <cell r="C699">
            <v>972.9</v>
          </cell>
          <cell r="D699">
            <v>983.6</v>
          </cell>
          <cell r="E699">
            <v>971.7</v>
          </cell>
          <cell r="F699">
            <v>973.6</v>
          </cell>
        </row>
        <row r="700">
          <cell r="B700">
            <v>37546</v>
          </cell>
          <cell r="C700">
            <v>973.7</v>
          </cell>
          <cell r="D700">
            <v>976.05</v>
          </cell>
          <cell r="E700">
            <v>966.55</v>
          </cell>
          <cell r="F700">
            <v>973.3</v>
          </cell>
        </row>
        <row r="701">
          <cell r="B701">
            <v>37547</v>
          </cell>
          <cell r="C701">
            <v>973.8</v>
          </cell>
          <cell r="D701">
            <v>982.5</v>
          </cell>
          <cell r="E701">
            <v>968.8</v>
          </cell>
          <cell r="F701">
            <v>971.65</v>
          </cell>
        </row>
        <row r="702">
          <cell r="B702">
            <v>37550</v>
          </cell>
          <cell r="C702">
            <v>971.75</v>
          </cell>
          <cell r="D702">
            <v>976.2</v>
          </cell>
          <cell r="E702">
            <v>965.65</v>
          </cell>
          <cell r="F702">
            <v>967.35</v>
          </cell>
        </row>
        <row r="703">
          <cell r="B703">
            <v>37551</v>
          </cell>
          <cell r="C703">
            <v>967.5</v>
          </cell>
          <cell r="D703">
            <v>976.35</v>
          </cell>
          <cell r="E703">
            <v>961.65</v>
          </cell>
          <cell r="F703">
            <v>962.5</v>
          </cell>
        </row>
        <row r="704">
          <cell r="B704">
            <v>37552</v>
          </cell>
          <cell r="C704">
            <v>962.9</v>
          </cell>
          <cell r="D704">
            <v>963.75</v>
          </cell>
          <cell r="E704">
            <v>955.45</v>
          </cell>
          <cell r="F704">
            <v>957.35</v>
          </cell>
        </row>
        <row r="705">
          <cell r="B705">
            <v>37553</v>
          </cell>
          <cell r="C705">
            <v>957.7</v>
          </cell>
          <cell r="D705">
            <v>959.8</v>
          </cell>
          <cell r="E705">
            <v>945</v>
          </cell>
          <cell r="F705">
            <v>946.9</v>
          </cell>
        </row>
        <row r="706">
          <cell r="B706">
            <v>37554</v>
          </cell>
          <cell r="C706">
            <v>946.8</v>
          </cell>
          <cell r="D706">
            <v>946.8</v>
          </cell>
          <cell r="E706">
            <v>929.25</v>
          </cell>
          <cell r="F706">
            <v>932.2</v>
          </cell>
        </row>
        <row r="707">
          <cell r="B707">
            <v>37557</v>
          </cell>
          <cell r="C707">
            <v>932.35</v>
          </cell>
          <cell r="D707">
            <v>934.9</v>
          </cell>
          <cell r="E707">
            <v>920.1</v>
          </cell>
          <cell r="F707">
            <v>922.7</v>
          </cell>
        </row>
        <row r="708">
          <cell r="B708">
            <v>37558</v>
          </cell>
          <cell r="C708">
            <v>922.55</v>
          </cell>
          <cell r="D708">
            <v>939.7</v>
          </cell>
          <cell r="E708">
            <v>921.65</v>
          </cell>
          <cell r="F708">
            <v>936.9</v>
          </cell>
        </row>
        <row r="709">
          <cell r="B709">
            <v>37559</v>
          </cell>
          <cell r="C709">
            <v>936.15</v>
          </cell>
          <cell r="D709">
            <v>944.35</v>
          </cell>
          <cell r="E709">
            <v>935.9</v>
          </cell>
          <cell r="F709">
            <v>937.75</v>
          </cell>
        </row>
        <row r="710">
          <cell r="B710">
            <v>37560</v>
          </cell>
          <cell r="C710">
            <v>937.35</v>
          </cell>
          <cell r="D710">
            <v>953.3</v>
          </cell>
          <cell r="E710">
            <v>937.05</v>
          </cell>
          <cell r="F710">
            <v>951.4</v>
          </cell>
        </row>
        <row r="711">
          <cell r="B711">
            <v>37561</v>
          </cell>
          <cell r="C711">
            <v>951.45</v>
          </cell>
          <cell r="D711">
            <v>956.95</v>
          </cell>
          <cell r="E711">
            <v>946.4</v>
          </cell>
          <cell r="F711">
            <v>951.45</v>
          </cell>
        </row>
        <row r="712">
          <cell r="B712">
            <v>37564</v>
          </cell>
          <cell r="C712">
            <v>951.6</v>
          </cell>
          <cell r="D712">
            <v>965.5</v>
          </cell>
          <cell r="E712">
            <v>951.6</v>
          </cell>
          <cell r="F712">
            <v>962.1</v>
          </cell>
        </row>
        <row r="713">
          <cell r="B713">
            <v>37565</v>
          </cell>
          <cell r="C713">
            <v>962.85</v>
          </cell>
          <cell r="D713">
            <v>963.7</v>
          </cell>
          <cell r="E713">
            <v>957.2</v>
          </cell>
          <cell r="F713">
            <v>962.3</v>
          </cell>
        </row>
        <row r="714">
          <cell r="B714">
            <v>37567</v>
          </cell>
          <cell r="C714">
            <v>962.35</v>
          </cell>
          <cell r="D714">
            <v>970.2</v>
          </cell>
          <cell r="E714">
            <v>957.95</v>
          </cell>
          <cell r="F714">
            <v>960.7</v>
          </cell>
        </row>
        <row r="715">
          <cell r="B715">
            <v>37568</v>
          </cell>
          <cell r="C715">
            <v>960.5</v>
          </cell>
          <cell r="D715">
            <v>960.95</v>
          </cell>
          <cell r="E715">
            <v>954.35</v>
          </cell>
          <cell r="F715">
            <v>956.95</v>
          </cell>
        </row>
        <row r="716">
          <cell r="B716">
            <v>37571</v>
          </cell>
          <cell r="C716">
            <v>957.55</v>
          </cell>
          <cell r="D716">
            <v>958.55</v>
          </cell>
          <cell r="E716">
            <v>952.1</v>
          </cell>
          <cell r="F716">
            <v>954.05</v>
          </cell>
        </row>
        <row r="717">
          <cell r="B717">
            <v>37572</v>
          </cell>
          <cell r="C717">
            <v>953.9</v>
          </cell>
          <cell r="D717">
            <v>960.85</v>
          </cell>
          <cell r="E717">
            <v>948.05</v>
          </cell>
          <cell r="F717">
            <v>959.85</v>
          </cell>
        </row>
        <row r="718">
          <cell r="B718">
            <v>37573</v>
          </cell>
          <cell r="C718">
            <v>960.35</v>
          </cell>
          <cell r="D718">
            <v>965.75</v>
          </cell>
          <cell r="E718">
            <v>956.9</v>
          </cell>
          <cell r="F718">
            <v>962.65</v>
          </cell>
        </row>
        <row r="719">
          <cell r="B719">
            <v>37574</v>
          </cell>
          <cell r="C719">
            <v>964.15</v>
          </cell>
          <cell r="D719">
            <v>974.1</v>
          </cell>
          <cell r="E719">
            <v>963.5</v>
          </cell>
          <cell r="F719">
            <v>971.9</v>
          </cell>
        </row>
        <row r="720">
          <cell r="B720">
            <v>37575</v>
          </cell>
          <cell r="C720">
            <v>972.3</v>
          </cell>
          <cell r="D720">
            <v>992.05</v>
          </cell>
          <cell r="E720">
            <v>972.3</v>
          </cell>
          <cell r="F720">
            <v>990.35</v>
          </cell>
        </row>
        <row r="721">
          <cell r="B721">
            <v>37578</v>
          </cell>
          <cell r="C721">
            <v>990.35</v>
          </cell>
          <cell r="D721">
            <v>1000.3</v>
          </cell>
          <cell r="E721">
            <v>989.05</v>
          </cell>
          <cell r="F721">
            <v>996.85</v>
          </cell>
        </row>
        <row r="722">
          <cell r="B722">
            <v>37580</v>
          </cell>
          <cell r="C722">
            <v>996.85</v>
          </cell>
          <cell r="D722">
            <v>1007.2</v>
          </cell>
          <cell r="E722">
            <v>992.3</v>
          </cell>
          <cell r="F722">
            <v>1001.6</v>
          </cell>
        </row>
        <row r="723">
          <cell r="B723">
            <v>37581</v>
          </cell>
          <cell r="C723">
            <v>1001.8</v>
          </cell>
          <cell r="D723">
            <v>1012.75</v>
          </cell>
          <cell r="E723">
            <v>1001.8</v>
          </cell>
          <cell r="F723">
            <v>1008.75</v>
          </cell>
        </row>
        <row r="724">
          <cell r="B724">
            <v>37582</v>
          </cell>
          <cell r="C724">
            <v>1009.5</v>
          </cell>
          <cell r="D724">
            <v>1026</v>
          </cell>
          <cell r="E724">
            <v>1009.5</v>
          </cell>
          <cell r="F724">
            <v>1020.15</v>
          </cell>
        </row>
        <row r="725">
          <cell r="B725">
            <v>37585</v>
          </cell>
          <cell r="C725">
            <v>1020.9</v>
          </cell>
          <cell r="D725">
            <v>1030.3499999999999</v>
          </cell>
          <cell r="E725">
            <v>1017.5</v>
          </cell>
          <cell r="F725">
            <v>1026.2</v>
          </cell>
        </row>
        <row r="726">
          <cell r="B726">
            <v>37586</v>
          </cell>
          <cell r="C726">
            <v>1026.4000000000001</v>
          </cell>
          <cell r="D726">
            <v>1040.45</v>
          </cell>
          <cell r="E726">
            <v>1026</v>
          </cell>
          <cell r="F726">
            <v>1036.1500000000001</v>
          </cell>
        </row>
        <row r="727">
          <cell r="B727">
            <v>37587</v>
          </cell>
          <cell r="C727">
            <v>1036.3499999999999</v>
          </cell>
          <cell r="D727">
            <v>1042.2</v>
          </cell>
          <cell r="E727">
            <v>1027.7</v>
          </cell>
          <cell r="F727">
            <v>1031.0999999999999</v>
          </cell>
        </row>
        <row r="728">
          <cell r="B728">
            <v>37588</v>
          </cell>
          <cell r="C728">
            <v>1031.25</v>
          </cell>
          <cell r="D728">
            <v>1051.75</v>
          </cell>
          <cell r="E728">
            <v>1031.25</v>
          </cell>
          <cell r="F728">
            <v>1049.7</v>
          </cell>
        </row>
        <row r="729">
          <cell r="B729">
            <v>37589</v>
          </cell>
          <cell r="C729">
            <v>1049.55</v>
          </cell>
          <cell r="D729">
            <v>1057.45</v>
          </cell>
          <cell r="E729">
            <v>1040.95</v>
          </cell>
          <cell r="F729">
            <v>1050.1500000000001</v>
          </cell>
        </row>
        <row r="730">
          <cell r="B730">
            <v>37592</v>
          </cell>
          <cell r="C730">
            <v>1050.1500000000001</v>
          </cell>
          <cell r="D730">
            <v>1070.1500000000001</v>
          </cell>
          <cell r="E730">
            <v>1050.1500000000001</v>
          </cell>
          <cell r="F730">
            <v>1067.9000000000001</v>
          </cell>
        </row>
        <row r="731">
          <cell r="B731">
            <v>37593</v>
          </cell>
          <cell r="C731">
            <v>1067.7</v>
          </cell>
          <cell r="D731">
            <v>1075.75</v>
          </cell>
          <cell r="E731">
            <v>1051.8</v>
          </cell>
          <cell r="F731">
            <v>1055</v>
          </cell>
        </row>
        <row r="732">
          <cell r="B732">
            <v>37594</v>
          </cell>
          <cell r="C732">
            <v>1055.75</v>
          </cell>
          <cell r="D732">
            <v>1055.75</v>
          </cell>
          <cell r="E732">
            <v>1034.0999999999999</v>
          </cell>
          <cell r="F732">
            <v>1036.4000000000001</v>
          </cell>
        </row>
        <row r="733">
          <cell r="B733">
            <v>37595</v>
          </cell>
          <cell r="C733">
            <v>1036.75</v>
          </cell>
          <cell r="D733">
            <v>1052.45</v>
          </cell>
          <cell r="E733">
            <v>1036.75</v>
          </cell>
          <cell r="F733">
            <v>1045.95</v>
          </cell>
        </row>
        <row r="734">
          <cell r="B734">
            <v>37596</v>
          </cell>
          <cell r="C734">
            <v>1047.55</v>
          </cell>
          <cell r="D734">
            <v>1072.25</v>
          </cell>
          <cell r="E734">
            <v>1047.55</v>
          </cell>
          <cell r="F734">
            <v>1069.8</v>
          </cell>
        </row>
        <row r="735">
          <cell r="B735">
            <v>37599</v>
          </cell>
          <cell r="C735">
            <v>1070.5</v>
          </cell>
          <cell r="D735">
            <v>1085.75</v>
          </cell>
          <cell r="E735">
            <v>1054.95</v>
          </cell>
          <cell r="F735">
            <v>1058.6500000000001</v>
          </cell>
        </row>
        <row r="736">
          <cell r="B736">
            <v>37600</v>
          </cell>
          <cell r="C736">
            <v>1058.3499999999999</v>
          </cell>
          <cell r="D736">
            <v>1066.0999999999999</v>
          </cell>
          <cell r="E736">
            <v>1045.6500000000001</v>
          </cell>
          <cell r="F736">
            <v>1063.7</v>
          </cell>
        </row>
        <row r="737">
          <cell r="B737">
            <v>37601</v>
          </cell>
          <cell r="C737">
            <v>1064.0999999999999</v>
          </cell>
          <cell r="D737">
            <v>1076.95</v>
          </cell>
          <cell r="E737">
            <v>1062.3</v>
          </cell>
          <cell r="F737">
            <v>1069.75</v>
          </cell>
        </row>
        <row r="738">
          <cell r="B738">
            <v>37602</v>
          </cell>
          <cell r="C738">
            <v>1069.95</v>
          </cell>
          <cell r="D738">
            <v>1078.8499999999999</v>
          </cell>
          <cell r="E738">
            <v>1066.8</v>
          </cell>
          <cell r="F738">
            <v>1077</v>
          </cell>
        </row>
        <row r="739">
          <cell r="B739">
            <v>37603</v>
          </cell>
          <cell r="C739">
            <v>1074.45</v>
          </cell>
          <cell r="D739">
            <v>1087.3499999999999</v>
          </cell>
          <cell r="E739">
            <v>1074.45</v>
          </cell>
          <cell r="F739">
            <v>1086.2</v>
          </cell>
        </row>
        <row r="740">
          <cell r="B740">
            <v>37606</v>
          </cell>
          <cell r="C740">
            <v>1089</v>
          </cell>
          <cell r="D740">
            <v>1100</v>
          </cell>
          <cell r="E740">
            <v>1075.55</v>
          </cell>
          <cell r="F740">
            <v>1078.45</v>
          </cell>
        </row>
        <row r="741">
          <cell r="B741">
            <v>37607</v>
          </cell>
          <cell r="C741">
            <v>1078.7</v>
          </cell>
          <cell r="D741">
            <v>1084.95</v>
          </cell>
          <cell r="E741">
            <v>1069</v>
          </cell>
          <cell r="F741">
            <v>1073.25</v>
          </cell>
        </row>
        <row r="742">
          <cell r="B742">
            <v>37608</v>
          </cell>
          <cell r="C742">
            <v>1073.2</v>
          </cell>
          <cell r="D742">
            <v>1083.6500000000001</v>
          </cell>
          <cell r="E742">
            <v>1072.8499999999999</v>
          </cell>
          <cell r="F742">
            <v>1077.95</v>
          </cell>
        </row>
        <row r="743">
          <cell r="B743">
            <v>37609</v>
          </cell>
          <cell r="C743">
            <v>1077.8499999999999</v>
          </cell>
          <cell r="D743">
            <v>1079.9000000000001</v>
          </cell>
          <cell r="E743">
            <v>1070.5</v>
          </cell>
          <cell r="F743">
            <v>1076</v>
          </cell>
        </row>
        <row r="744">
          <cell r="B744">
            <v>37610</v>
          </cell>
          <cell r="C744">
            <v>1075.45</v>
          </cell>
          <cell r="D744">
            <v>1084.95</v>
          </cell>
          <cell r="E744">
            <v>1075.4000000000001</v>
          </cell>
          <cell r="F744">
            <v>1079.3</v>
          </cell>
        </row>
        <row r="745">
          <cell r="B745">
            <v>37613</v>
          </cell>
          <cell r="C745">
            <v>1079.3</v>
          </cell>
          <cell r="D745">
            <v>1082.5999999999999</v>
          </cell>
          <cell r="E745">
            <v>1073.3499999999999</v>
          </cell>
          <cell r="F745">
            <v>1076</v>
          </cell>
        </row>
        <row r="746">
          <cell r="B746">
            <v>37614</v>
          </cell>
          <cell r="C746">
            <v>1075.95</v>
          </cell>
          <cell r="D746">
            <v>1087</v>
          </cell>
          <cell r="E746">
            <v>1072.6500000000001</v>
          </cell>
          <cell r="F746">
            <v>1085</v>
          </cell>
        </row>
        <row r="747">
          <cell r="B747">
            <v>37616</v>
          </cell>
          <cell r="C747">
            <v>1085.05</v>
          </cell>
          <cell r="D747">
            <v>1100.4000000000001</v>
          </cell>
          <cell r="E747">
            <v>1085.05</v>
          </cell>
          <cell r="F747">
            <v>1094.8</v>
          </cell>
        </row>
        <row r="748">
          <cell r="B748">
            <v>37617</v>
          </cell>
          <cell r="C748">
            <v>1095.6500000000001</v>
          </cell>
          <cell r="D748">
            <v>1103.95</v>
          </cell>
          <cell r="E748">
            <v>1095.5999999999999</v>
          </cell>
          <cell r="F748">
            <v>1098.4000000000001</v>
          </cell>
        </row>
        <row r="749">
          <cell r="B749">
            <v>37620</v>
          </cell>
          <cell r="C749">
            <v>1095.8</v>
          </cell>
          <cell r="D749">
            <v>1095.8</v>
          </cell>
          <cell r="E749">
            <v>1084.3499999999999</v>
          </cell>
          <cell r="F749">
            <v>1091.95</v>
          </cell>
        </row>
        <row r="750">
          <cell r="B750">
            <v>37621</v>
          </cell>
          <cell r="C750">
            <v>1091.8499999999999</v>
          </cell>
          <cell r="D750">
            <v>1100.0999999999999</v>
          </cell>
          <cell r="E750">
            <v>1091.7</v>
          </cell>
          <cell r="F750">
            <v>1093.5</v>
          </cell>
        </row>
        <row r="751">
          <cell r="B751">
            <v>37622</v>
          </cell>
          <cell r="C751">
            <v>1093.5999999999999</v>
          </cell>
          <cell r="D751">
            <v>1102.0999999999999</v>
          </cell>
          <cell r="E751">
            <v>1093.5999999999999</v>
          </cell>
          <cell r="F751">
            <v>1100.1500000000001</v>
          </cell>
        </row>
        <row r="752">
          <cell r="B752">
            <v>37623</v>
          </cell>
          <cell r="C752">
            <v>1100.55</v>
          </cell>
          <cell r="D752">
            <v>1105.5999999999999</v>
          </cell>
          <cell r="E752">
            <v>1091.2</v>
          </cell>
          <cell r="F752">
            <v>1093.05</v>
          </cell>
        </row>
        <row r="753">
          <cell r="B753">
            <v>37624</v>
          </cell>
          <cell r="C753">
            <v>1094.45</v>
          </cell>
          <cell r="D753">
            <v>1099.8499999999999</v>
          </cell>
          <cell r="E753">
            <v>1087.3</v>
          </cell>
          <cell r="F753">
            <v>1089.5999999999999</v>
          </cell>
        </row>
        <row r="754">
          <cell r="B754">
            <v>37627</v>
          </cell>
          <cell r="C754">
            <v>1089.75</v>
          </cell>
          <cell r="D754">
            <v>1093.05</v>
          </cell>
          <cell r="E754">
            <v>1081.25</v>
          </cell>
          <cell r="F754">
            <v>1084.3499999999999</v>
          </cell>
        </row>
        <row r="755">
          <cell r="B755">
            <v>37628</v>
          </cell>
          <cell r="C755">
            <v>1084.4000000000001</v>
          </cell>
          <cell r="D755">
            <v>1089.8499999999999</v>
          </cell>
          <cell r="E755">
            <v>1078.95</v>
          </cell>
          <cell r="F755">
            <v>1081.8</v>
          </cell>
        </row>
        <row r="756">
          <cell r="B756">
            <v>37629</v>
          </cell>
          <cell r="C756">
            <v>1082.4000000000001</v>
          </cell>
          <cell r="D756">
            <v>1091.45</v>
          </cell>
          <cell r="E756">
            <v>1082.3</v>
          </cell>
          <cell r="F756">
            <v>1089.3499999999999</v>
          </cell>
        </row>
        <row r="757">
          <cell r="B757">
            <v>37630</v>
          </cell>
          <cell r="C757">
            <v>1089.75</v>
          </cell>
          <cell r="D757">
            <v>1099.1500000000001</v>
          </cell>
          <cell r="E757">
            <v>1087.75</v>
          </cell>
          <cell r="F757">
            <v>1097.3499999999999</v>
          </cell>
        </row>
        <row r="758">
          <cell r="B758">
            <v>37631</v>
          </cell>
          <cell r="C758">
            <v>1097.5999999999999</v>
          </cell>
          <cell r="D758">
            <v>1103.25</v>
          </cell>
          <cell r="E758">
            <v>1077.4000000000001</v>
          </cell>
          <cell r="F758">
            <v>1080.25</v>
          </cell>
        </row>
        <row r="759">
          <cell r="B759">
            <v>37634</v>
          </cell>
          <cell r="C759">
            <v>1080.25</v>
          </cell>
          <cell r="D759">
            <v>1080.4000000000001</v>
          </cell>
          <cell r="E759">
            <v>1070.75</v>
          </cell>
          <cell r="F759">
            <v>1073.75</v>
          </cell>
        </row>
        <row r="760">
          <cell r="B760">
            <v>37635</v>
          </cell>
          <cell r="C760">
            <v>1072.7</v>
          </cell>
          <cell r="D760">
            <v>1080.8</v>
          </cell>
          <cell r="E760">
            <v>1070.3</v>
          </cell>
          <cell r="F760">
            <v>1078.95</v>
          </cell>
        </row>
        <row r="761">
          <cell r="B761">
            <v>37636</v>
          </cell>
          <cell r="C761">
            <v>1077.9000000000001</v>
          </cell>
          <cell r="D761">
            <v>1087.5</v>
          </cell>
          <cell r="E761">
            <v>1077.8</v>
          </cell>
          <cell r="F761">
            <v>1085</v>
          </cell>
        </row>
        <row r="762">
          <cell r="B762">
            <v>37637</v>
          </cell>
          <cell r="C762">
            <v>1085.05</v>
          </cell>
          <cell r="D762">
            <v>1091.3499999999999</v>
          </cell>
          <cell r="E762">
            <v>1083.95</v>
          </cell>
          <cell r="F762">
            <v>1088.3499999999999</v>
          </cell>
        </row>
        <row r="763">
          <cell r="B763">
            <v>37638</v>
          </cell>
          <cell r="C763">
            <v>1089.3</v>
          </cell>
          <cell r="D763">
            <v>1090.25</v>
          </cell>
          <cell r="E763">
            <v>1083.2</v>
          </cell>
          <cell r="F763">
            <v>1086.5</v>
          </cell>
        </row>
        <row r="764">
          <cell r="B764">
            <v>37641</v>
          </cell>
          <cell r="C764">
            <v>1086.25</v>
          </cell>
          <cell r="D764">
            <v>1087</v>
          </cell>
          <cell r="E764">
            <v>1074.2</v>
          </cell>
          <cell r="F764">
            <v>1076.3499999999999</v>
          </cell>
        </row>
        <row r="765">
          <cell r="B765">
            <v>37642</v>
          </cell>
          <cell r="C765">
            <v>1076.3</v>
          </cell>
          <cell r="D765">
            <v>1080.5</v>
          </cell>
          <cell r="E765">
            <v>1074.0999999999999</v>
          </cell>
          <cell r="F765">
            <v>1077.9000000000001</v>
          </cell>
        </row>
        <row r="766">
          <cell r="B766">
            <v>37643</v>
          </cell>
          <cell r="C766">
            <v>1078.45</v>
          </cell>
          <cell r="D766">
            <v>1086.2</v>
          </cell>
          <cell r="E766">
            <v>1073.5999999999999</v>
          </cell>
          <cell r="F766">
            <v>1082.9000000000001</v>
          </cell>
        </row>
        <row r="767">
          <cell r="B767">
            <v>37644</v>
          </cell>
          <cell r="C767">
            <v>1081.4000000000001</v>
          </cell>
          <cell r="D767">
            <v>1083.1500000000001</v>
          </cell>
          <cell r="E767">
            <v>1069.05</v>
          </cell>
          <cell r="F767">
            <v>1070.9000000000001</v>
          </cell>
        </row>
        <row r="768">
          <cell r="B768">
            <v>37645</v>
          </cell>
          <cell r="C768">
            <v>1070.5999999999999</v>
          </cell>
          <cell r="D768">
            <v>1075.2</v>
          </cell>
          <cell r="E768">
            <v>1053.4000000000001</v>
          </cell>
          <cell r="F768">
            <v>1056.05</v>
          </cell>
        </row>
        <row r="769">
          <cell r="B769">
            <v>37648</v>
          </cell>
          <cell r="C769">
            <v>1057.8</v>
          </cell>
          <cell r="D769">
            <v>1059.3499999999999</v>
          </cell>
          <cell r="E769">
            <v>1030.3499999999999</v>
          </cell>
          <cell r="F769">
            <v>1037.6500000000001</v>
          </cell>
        </row>
        <row r="770">
          <cell r="B770">
            <v>37649</v>
          </cell>
          <cell r="C770">
            <v>1036.3499999999999</v>
          </cell>
          <cell r="D770">
            <v>1047.95</v>
          </cell>
          <cell r="E770">
            <v>1026.75</v>
          </cell>
          <cell r="F770">
            <v>1046.2</v>
          </cell>
        </row>
        <row r="771">
          <cell r="B771">
            <v>37650</v>
          </cell>
          <cell r="C771">
            <v>1059.8</v>
          </cell>
          <cell r="D771">
            <v>1059.8</v>
          </cell>
          <cell r="E771">
            <v>1033.3</v>
          </cell>
          <cell r="F771">
            <v>1037.2</v>
          </cell>
        </row>
        <row r="772">
          <cell r="B772">
            <v>37651</v>
          </cell>
          <cell r="C772">
            <v>1037.1500000000001</v>
          </cell>
          <cell r="D772">
            <v>1050.55</v>
          </cell>
          <cell r="E772">
            <v>1031.3499999999999</v>
          </cell>
          <cell r="F772">
            <v>1034.5999999999999</v>
          </cell>
        </row>
        <row r="773">
          <cell r="B773">
            <v>37652</v>
          </cell>
          <cell r="C773">
            <v>1034.75</v>
          </cell>
          <cell r="D773">
            <v>1044.25</v>
          </cell>
          <cell r="E773">
            <v>1026.2</v>
          </cell>
          <cell r="F773">
            <v>1041.8499999999999</v>
          </cell>
        </row>
        <row r="774">
          <cell r="B774">
            <v>37655</v>
          </cell>
          <cell r="C774">
            <v>1040.25</v>
          </cell>
          <cell r="D774">
            <v>1056.5999999999999</v>
          </cell>
          <cell r="E774">
            <v>1036.5</v>
          </cell>
          <cell r="F774">
            <v>1055.3</v>
          </cell>
        </row>
        <row r="775">
          <cell r="B775">
            <v>37656</v>
          </cell>
          <cell r="C775">
            <v>1056.55</v>
          </cell>
          <cell r="D775">
            <v>1063.7</v>
          </cell>
          <cell r="E775">
            <v>1050.45</v>
          </cell>
          <cell r="F775">
            <v>1054.8</v>
          </cell>
        </row>
        <row r="776">
          <cell r="B776">
            <v>37657</v>
          </cell>
          <cell r="C776">
            <v>1054.3</v>
          </cell>
          <cell r="D776">
            <v>1054.6500000000001</v>
          </cell>
          <cell r="E776">
            <v>1041.75</v>
          </cell>
          <cell r="F776">
            <v>1047.4000000000001</v>
          </cell>
        </row>
        <row r="777">
          <cell r="B777">
            <v>37658</v>
          </cell>
          <cell r="C777">
            <v>1047.25</v>
          </cell>
          <cell r="D777">
            <v>1065.95</v>
          </cell>
          <cell r="E777">
            <v>1043.7</v>
          </cell>
          <cell r="F777">
            <v>1063.5999999999999</v>
          </cell>
        </row>
        <row r="778">
          <cell r="B778">
            <v>37659</v>
          </cell>
          <cell r="C778">
            <v>1063.75</v>
          </cell>
          <cell r="D778">
            <v>1065.8</v>
          </cell>
          <cell r="E778">
            <v>1055.5</v>
          </cell>
          <cell r="F778">
            <v>1057.5</v>
          </cell>
        </row>
        <row r="779">
          <cell r="B779">
            <v>37662</v>
          </cell>
          <cell r="C779">
            <v>1058.2</v>
          </cell>
          <cell r="D779">
            <v>1058.75</v>
          </cell>
          <cell r="E779">
            <v>1047.1500000000001</v>
          </cell>
          <cell r="F779">
            <v>1048.5999999999999</v>
          </cell>
        </row>
        <row r="780">
          <cell r="B780">
            <v>37663</v>
          </cell>
          <cell r="C780">
            <v>1048.5999999999999</v>
          </cell>
          <cell r="D780">
            <v>1055.8</v>
          </cell>
          <cell r="E780">
            <v>1044.55</v>
          </cell>
          <cell r="F780">
            <v>1048</v>
          </cell>
        </row>
        <row r="781">
          <cell r="B781">
            <v>37664</v>
          </cell>
          <cell r="C781">
            <v>1048.1500000000001</v>
          </cell>
          <cell r="D781">
            <v>1051</v>
          </cell>
          <cell r="E781">
            <v>1040.4000000000001</v>
          </cell>
          <cell r="F781">
            <v>1044.45</v>
          </cell>
        </row>
        <row r="782">
          <cell r="B782">
            <v>37666</v>
          </cell>
          <cell r="C782">
            <v>1044.45</v>
          </cell>
          <cell r="D782">
            <v>1047.05</v>
          </cell>
          <cell r="E782">
            <v>1034.0999999999999</v>
          </cell>
          <cell r="F782">
            <v>1036</v>
          </cell>
        </row>
        <row r="783">
          <cell r="B783">
            <v>37669</v>
          </cell>
          <cell r="C783">
            <v>1036.2</v>
          </cell>
          <cell r="D783">
            <v>1060.5</v>
          </cell>
          <cell r="E783">
            <v>1036.2</v>
          </cell>
          <cell r="F783">
            <v>1058.2</v>
          </cell>
        </row>
        <row r="784">
          <cell r="B784">
            <v>37670</v>
          </cell>
          <cell r="C784">
            <v>1058.95</v>
          </cell>
          <cell r="D784">
            <v>1065.1500000000001</v>
          </cell>
          <cell r="E784">
            <v>1057.5999999999999</v>
          </cell>
          <cell r="F784">
            <v>1059.3</v>
          </cell>
        </row>
        <row r="785">
          <cell r="B785">
            <v>37671</v>
          </cell>
          <cell r="C785">
            <v>1059.3</v>
          </cell>
          <cell r="D785">
            <v>1068.8</v>
          </cell>
          <cell r="E785">
            <v>1059.3</v>
          </cell>
          <cell r="F785">
            <v>1064.3</v>
          </cell>
        </row>
        <row r="786">
          <cell r="B786">
            <v>37672</v>
          </cell>
          <cell r="C786">
            <v>1064.1500000000001</v>
          </cell>
          <cell r="D786">
            <v>1071.7</v>
          </cell>
          <cell r="E786">
            <v>1058.3499999999999</v>
          </cell>
          <cell r="F786">
            <v>1065.5999999999999</v>
          </cell>
        </row>
        <row r="787">
          <cell r="B787">
            <v>37673</v>
          </cell>
          <cell r="C787">
            <v>1065.5999999999999</v>
          </cell>
          <cell r="D787">
            <v>1069.2</v>
          </cell>
          <cell r="E787">
            <v>1061.0999999999999</v>
          </cell>
          <cell r="F787">
            <v>1066.1500000000001</v>
          </cell>
        </row>
        <row r="788">
          <cell r="B788">
            <v>37676</v>
          </cell>
          <cell r="C788">
            <v>1066.2</v>
          </cell>
          <cell r="D788">
            <v>1075.5</v>
          </cell>
          <cell r="E788">
            <v>1066.2</v>
          </cell>
          <cell r="F788">
            <v>1070.1500000000001</v>
          </cell>
        </row>
        <row r="789">
          <cell r="B789">
            <v>37677</v>
          </cell>
          <cell r="C789">
            <v>1070.0999999999999</v>
          </cell>
          <cell r="D789">
            <v>1073.25</v>
          </cell>
          <cell r="E789">
            <v>1054.9000000000001</v>
          </cell>
          <cell r="F789">
            <v>1055.55</v>
          </cell>
        </row>
        <row r="790">
          <cell r="B790">
            <v>37678</v>
          </cell>
          <cell r="C790">
            <v>1055.5999999999999</v>
          </cell>
          <cell r="D790">
            <v>1059.5999999999999</v>
          </cell>
          <cell r="E790">
            <v>1048.2</v>
          </cell>
          <cell r="F790">
            <v>1049.6500000000001</v>
          </cell>
        </row>
        <row r="791">
          <cell r="B791">
            <v>37679</v>
          </cell>
          <cell r="C791">
            <v>1049.5999999999999</v>
          </cell>
          <cell r="D791">
            <v>1057.45</v>
          </cell>
          <cell r="E791">
            <v>1044.9000000000001</v>
          </cell>
          <cell r="F791">
            <v>1052.95</v>
          </cell>
        </row>
        <row r="792">
          <cell r="B792">
            <v>37680</v>
          </cell>
          <cell r="C792">
            <v>1053.6500000000001</v>
          </cell>
          <cell r="D792">
            <v>1068.6500000000001</v>
          </cell>
          <cell r="E792">
            <v>1053.6500000000001</v>
          </cell>
          <cell r="F792">
            <v>1063.4000000000001</v>
          </cell>
        </row>
        <row r="793">
          <cell r="B793">
            <v>37683</v>
          </cell>
          <cell r="C793">
            <v>1063.55</v>
          </cell>
          <cell r="D793">
            <v>1070.8499999999999</v>
          </cell>
          <cell r="E793">
            <v>1057.55</v>
          </cell>
          <cell r="F793">
            <v>1058.8499999999999</v>
          </cell>
        </row>
        <row r="794">
          <cell r="B794">
            <v>37684</v>
          </cell>
          <cell r="C794">
            <v>1058.7</v>
          </cell>
          <cell r="D794">
            <v>1058.7</v>
          </cell>
          <cell r="E794">
            <v>1045.2</v>
          </cell>
          <cell r="F794">
            <v>1046.5999999999999</v>
          </cell>
        </row>
        <row r="795">
          <cell r="B795">
            <v>37685</v>
          </cell>
          <cell r="C795">
            <v>1046.55</v>
          </cell>
          <cell r="D795">
            <v>1046.55</v>
          </cell>
          <cell r="E795">
            <v>1029.9000000000001</v>
          </cell>
          <cell r="F795">
            <v>1040.7</v>
          </cell>
        </row>
        <row r="796">
          <cell r="B796">
            <v>37686</v>
          </cell>
          <cell r="C796">
            <v>1040.3</v>
          </cell>
          <cell r="D796">
            <v>1040.75</v>
          </cell>
          <cell r="E796">
            <v>1029.55</v>
          </cell>
          <cell r="F796">
            <v>1031.25</v>
          </cell>
        </row>
        <row r="797">
          <cell r="B797">
            <v>37687</v>
          </cell>
          <cell r="C797">
            <v>1031.05</v>
          </cell>
          <cell r="D797">
            <v>1031.05</v>
          </cell>
          <cell r="E797">
            <v>1014.3</v>
          </cell>
          <cell r="F797">
            <v>1017.1</v>
          </cell>
        </row>
        <row r="798">
          <cell r="B798">
            <v>37690</v>
          </cell>
          <cell r="C798">
            <v>1017.1</v>
          </cell>
          <cell r="D798">
            <v>1021.5</v>
          </cell>
          <cell r="E798">
            <v>1004.35</v>
          </cell>
          <cell r="F798">
            <v>1006.7</v>
          </cell>
        </row>
        <row r="799">
          <cell r="B799">
            <v>37691</v>
          </cell>
          <cell r="C799">
            <v>1006.65</v>
          </cell>
          <cell r="D799">
            <v>1016.7</v>
          </cell>
          <cell r="E799">
            <v>998.95</v>
          </cell>
          <cell r="F799">
            <v>1014.55</v>
          </cell>
        </row>
        <row r="800">
          <cell r="B800">
            <v>37692</v>
          </cell>
          <cell r="C800">
            <v>1014.25</v>
          </cell>
          <cell r="D800">
            <v>1017.75</v>
          </cell>
          <cell r="E800">
            <v>1000.05</v>
          </cell>
          <cell r="F800">
            <v>1001.7</v>
          </cell>
        </row>
        <row r="801">
          <cell r="B801">
            <v>37693</v>
          </cell>
          <cell r="C801">
            <v>1001.5</v>
          </cell>
          <cell r="D801">
            <v>1006.4</v>
          </cell>
          <cell r="E801">
            <v>994.2</v>
          </cell>
          <cell r="F801">
            <v>999.65</v>
          </cell>
        </row>
        <row r="802">
          <cell r="B802">
            <v>37697</v>
          </cell>
          <cell r="C802">
            <v>999.7</v>
          </cell>
          <cell r="D802">
            <v>1000.85</v>
          </cell>
          <cell r="E802">
            <v>982.7</v>
          </cell>
          <cell r="F802">
            <v>993</v>
          </cell>
        </row>
        <row r="803">
          <cell r="B803">
            <v>37699</v>
          </cell>
          <cell r="C803">
            <v>993.35</v>
          </cell>
          <cell r="D803">
            <v>1011.45</v>
          </cell>
          <cell r="E803">
            <v>992.9</v>
          </cell>
          <cell r="F803">
            <v>1003.9</v>
          </cell>
        </row>
        <row r="804">
          <cell r="B804">
            <v>37700</v>
          </cell>
          <cell r="C804">
            <v>1003.45</v>
          </cell>
          <cell r="D804">
            <v>1028.9000000000001</v>
          </cell>
          <cell r="E804">
            <v>1001.75</v>
          </cell>
          <cell r="F804">
            <v>1025.25</v>
          </cell>
        </row>
        <row r="805">
          <cell r="B805">
            <v>37701</v>
          </cell>
          <cell r="C805">
            <v>1025.55</v>
          </cell>
          <cell r="D805">
            <v>1033.7</v>
          </cell>
          <cell r="E805">
            <v>1022.05</v>
          </cell>
          <cell r="F805">
            <v>1030.55</v>
          </cell>
        </row>
        <row r="806">
          <cell r="B806">
            <v>37702</v>
          </cell>
          <cell r="C806">
            <v>1030.5999999999999</v>
          </cell>
          <cell r="D806">
            <v>1039.8</v>
          </cell>
          <cell r="E806">
            <v>1030.5999999999999</v>
          </cell>
          <cell r="F806">
            <v>1037.1500000000001</v>
          </cell>
        </row>
        <row r="807">
          <cell r="B807">
            <v>37704</v>
          </cell>
          <cell r="C807">
            <v>1037.1500000000001</v>
          </cell>
          <cell r="D807">
            <v>1038.55</v>
          </cell>
          <cell r="E807">
            <v>1011.95</v>
          </cell>
          <cell r="F807">
            <v>1013.9</v>
          </cell>
        </row>
        <row r="808">
          <cell r="B808">
            <v>37705</v>
          </cell>
          <cell r="C808">
            <v>1013.5</v>
          </cell>
          <cell r="D808">
            <v>1013.5</v>
          </cell>
          <cell r="E808">
            <v>998.4</v>
          </cell>
          <cell r="F808">
            <v>1011.3</v>
          </cell>
        </row>
        <row r="809">
          <cell r="B809">
            <v>37706</v>
          </cell>
          <cell r="C809">
            <v>1011.55</v>
          </cell>
          <cell r="D809">
            <v>1019.9</v>
          </cell>
          <cell r="E809">
            <v>1004.85</v>
          </cell>
          <cell r="F809">
            <v>1013.85</v>
          </cell>
        </row>
        <row r="810">
          <cell r="B810">
            <v>37707</v>
          </cell>
          <cell r="C810">
            <v>1013.9</v>
          </cell>
          <cell r="D810">
            <v>1013.9</v>
          </cell>
          <cell r="E810">
            <v>999.6</v>
          </cell>
          <cell r="F810">
            <v>1002.7</v>
          </cell>
        </row>
        <row r="811">
          <cell r="B811">
            <v>37708</v>
          </cell>
          <cell r="C811">
            <v>1002.8</v>
          </cell>
          <cell r="D811">
            <v>1006.3</v>
          </cell>
          <cell r="E811">
            <v>996.75</v>
          </cell>
          <cell r="F811">
            <v>1000.6</v>
          </cell>
        </row>
        <row r="812">
          <cell r="B812">
            <v>37711</v>
          </cell>
          <cell r="C812">
            <v>1000.6</v>
          </cell>
          <cell r="D812">
            <v>1000.6</v>
          </cell>
          <cell r="E812">
            <v>974.1</v>
          </cell>
          <cell r="F812">
            <v>978.2</v>
          </cell>
        </row>
        <row r="813">
          <cell r="B813">
            <v>37712</v>
          </cell>
          <cell r="C813">
            <v>977.4</v>
          </cell>
          <cell r="D813">
            <v>992.05</v>
          </cell>
          <cell r="E813">
            <v>973.5</v>
          </cell>
          <cell r="F813">
            <v>984.3</v>
          </cell>
        </row>
        <row r="814">
          <cell r="B814">
            <v>37713</v>
          </cell>
          <cell r="C814">
            <v>984.45</v>
          </cell>
          <cell r="D814">
            <v>1002.1</v>
          </cell>
          <cell r="E814">
            <v>984.45</v>
          </cell>
          <cell r="F814">
            <v>999.4</v>
          </cell>
        </row>
        <row r="815">
          <cell r="B815">
            <v>37714</v>
          </cell>
          <cell r="C815">
            <v>999.55</v>
          </cell>
          <cell r="D815">
            <v>1010.75</v>
          </cell>
          <cell r="E815">
            <v>999.55</v>
          </cell>
          <cell r="F815">
            <v>1009.15</v>
          </cell>
        </row>
        <row r="816">
          <cell r="B816">
            <v>37715</v>
          </cell>
          <cell r="C816">
            <v>1009.15</v>
          </cell>
          <cell r="D816">
            <v>1018.25</v>
          </cell>
          <cell r="E816">
            <v>1002.75</v>
          </cell>
          <cell r="F816">
            <v>1016.95</v>
          </cell>
        </row>
        <row r="817">
          <cell r="B817">
            <v>37718</v>
          </cell>
          <cell r="C817">
            <v>1017.05</v>
          </cell>
          <cell r="D817">
            <v>1033.45</v>
          </cell>
          <cell r="E817">
            <v>1017.05</v>
          </cell>
          <cell r="F817">
            <v>1031.5</v>
          </cell>
        </row>
        <row r="818">
          <cell r="B818">
            <v>37719</v>
          </cell>
          <cell r="C818">
            <v>1032</v>
          </cell>
          <cell r="D818">
            <v>1032</v>
          </cell>
          <cell r="E818">
            <v>1016.6</v>
          </cell>
          <cell r="F818">
            <v>1018.1</v>
          </cell>
        </row>
        <row r="819">
          <cell r="B819">
            <v>37720</v>
          </cell>
          <cell r="C819">
            <v>1018</v>
          </cell>
          <cell r="D819">
            <v>1018</v>
          </cell>
          <cell r="E819">
            <v>1002.3</v>
          </cell>
          <cell r="F819">
            <v>1004.85</v>
          </cell>
        </row>
        <row r="820">
          <cell r="B820">
            <v>37721</v>
          </cell>
          <cell r="C820">
            <v>1003.8</v>
          </cell>
          <cell r="D820">
            <v>1003.8</v>
          </cell>
          <cell r="E820">
            <v>958.2</v>
          </cell>
          <cell r="F820">
            <v>962.2</v>
          </cell>
        </row>
        <row r="821">
          <cell r="B821">
            <v>37722</v>
          </cell>
          <cell r="C821">
            <v>958.9</v>
          </cell>
          <cell r="D821">
            <v>965.15</v>
          </cell>
          <cell r="E821">
            <v>935.7</v>
          </cell>
          <cell r="F821">
            <v>949.8</v>
          </cell>
        </row>
        <row r="822">
          <cell r="B822">
            <v>37726</v>
          </cell>
          <cell r="C822">
            <v>951.8</v>
          </cell>
          <cell r="D822">
            <v>964.2</v>
          </cell>
          <cell r="E822">
            <v>938.8</v>
          </cell>
          <cell r="F822">
            <v>951.2</v>
          </cell>
        </row>
        <row r="823">
          <cell r="B823">
            <v>37727</v>
          </cell>
          <cell r="C823">
            <v>950.65</v>
          </cell>
          <cell r="D823">
            <v>961.75</v>
          </cell>
          <cell r="E823">
            <v>949</v>
          </cell>
          <cell r="F823">
            <v>958.65</v>
          </cell>
        </row>
        <row r="824">
          <cell r="B824">
            <v>37728</v>
          </cell>
          <cell r="C824">
            <v>958.65</v>
          </cell>
          <cell r="D824">
            <v>958.65</v>
          </cell>
          <cell r="E824">
            <v>936.7</v>
          </cell>
          <cell r="F824">
            <v>940.7</v>
          </cell>
        </row>
        <row r="825">
          <cell r="B825">
            <v>37732</v>
          </cell>
          <cell r="C825">
            <v>941.5</v>
          </cell>
          <cell r="D825">
            <v>949.7</v>
          </cell>
          <cell r="E825">
            <v>941.5</v>
          </cell>
          <cell r="F825">
            <v>947.2</v>
          </cell>
        </row>
        <row r="826">
          <cell r="B826">
            <v>37733</v>
          </cell>
          <cell r="C826">
            <v>947.1</v>
          </cell>
          <cell r="D826">
            <v>951.4</v>
          </cell>
          <cell r="E826">
            <v>937.85</v>
          </cell>
          <cell r="F826">
            <v>943.5</v>
          </cell>
        </row>
        <row r="827">
          <cell r="B827">
            <v>37734</v>
          </cell>
          <cell r="C827">
            <v>943.75</v>
          </cell>
          <cell r="D827">
            <v>951.2</v>
          </cell>
          <cell r="E827">
            <v>931.5</v>
          </cell>
          <cell r="F827">
            <v>934.2</v>
          </cell>
        </row>
        <row r="828">
          <cell r="B828">
            <v>37735</v>
          </cell>
          <cell r="C828">
            <v>934.2</v>
          </cell>
          <cell r="D828">
            <v>943.15</v>
          </cell>
          <cell r="E828">
            <v>927.8</v>
          </cell>
          <cell r="F828">
            <v>929.7</v>
          </cell>
        </row>
        <row r="829">
          <cell r="B829">
            <v>37736</v>
          </cell>
          <cell r="C829">
            <v>929.45</v>
          </cell>
          <cell r="D829">
            <v>931.35</v>
          </cell>
          <cell r="E829">
            <v>921.1</v>
          </cell>
          <cell r="F829">
            <v>924.3</v>
          </cell>
        </row>
        <row r="830">
          <cell r="B830">
            <v>37739</v>
          </cell>
          <cell r="C830">
            <v>922.85</v>
          </cell>
          <cell r="D830">
            <v>931.05</v>
          </cell>
          <cell r="E830">
            <v>920</v>
          </cell>
          <cell r="F830">
            <v>929.5</v>
          </cell>
        </row>
        <row r="831">
          <cell r="B831">
            <v>37740</v>
          </cell>
          <cell r="C831">
            <v>929.75</v>
          </cell>
          <cell r="D831">
            <v>936.9</v>
          </cell>
          <cell r="E831">
            <v>929.75</v>
          </cell>
          <cell r="F831">
            <v>932.3</v>
          </cell>
        </row>
        <row r="832">
          <cell r="B832">
            <v>37741</v>
          </cell>
          <cell r="C832">
            <v>935.25</v>
          </cell>
          <cell r="D832">
            <v>935.55</v>
          </cell>
          <cell r="E832">
            <v>929.85</v>
          </cell>
          <cell r="F832">
            <v>934.05</v>
          </cell>
        </row>
        <row r="833">
          <cell r="B833">
            <v>37743</v>
          </cell>
          <cell r="C833">
            <v>930.9</v>
          </cell>
          <cell r="D833">
            <v>940.2</v>
          </cell>
          <cell r="E833">
            <v>930.8</v>
          </cell>
          <cell r="F833">
            <v>938.3</v>
          </cell>
        </row>
        <row r="834">
          <cell r="B834">
            <v>37746</v>
          </cell>
          <cell r="C834">
            <v>937.45</v>
          </cell>
          <cell r="D834">
            <v>948.95</v>
          </cell>
          <cell r="E834">
            <v>936.65</v>
          </cell>
          <cell r="F834">
            <v>945.4</v>
          </cell>
        </row>
        <row r="835">
          <cell r="B835">
            <v>37747</v>
          </cell>
          <cell r="C835">
            <v>945.85</v>
          </cell>
          <cell r="D835">
            <v>955</v>
          </cell>
          <cell r="E835">
            <v>943.2</v>
          </cell>
          <cell r="F835">
            <v>951.85</v>
          </cell>
        </row>
        <row r="836">
          <cell r="B836">
            <v>37748</v>
          </cell>
          <cell r="C836">
            <v>950.4</v>
          </cell>
          <cell r="D836">
            <v>956.65</v>
          </cell>
          <cell r="E836">
            <v>948.9</v>
          </cell>
          <cell r="F836">
            <v>950.15</v>
          </cell>
        </row>
        <row r="837">
          <cell r="B837">
            <v>37749</v>
          </cell>
          <cell r="C837">
            <v>950.15</v>
          </cell>
          <cell r="D837">
            <v>951.3</v>
          </cell>
          <cell r="E837">
            <v>938.7</v>
          </cell>
          <cell r="F837">
            <v>941.55</v>
          </cell>
        </row>
        <row r="838">
          <cell r="B838">
            <v>37750</v>
          </cell>
          <cell r="C838">
            <v>941.6</v>
          </cell>
          <cell r="D838">
            <v>941.65</v>
          </cell>
          <cell r="E838">
            <v>935.8</v>
          </cell>
          <cell r="F838">
            <v>937.85</v>
          </cell>
        </row>
        <row r="839">
          <cell r="B839">
            <v>37753</v>
          </cell>
          <cell r="C839">
            <v>938.5</v>
          </cell>
          <cell r="D839">
            <v>944.45</v>
          </cell>
          <cell r="E839">
            <v>934</v>
          </cell>
          <cell r="F839">
            <v>936</v>
          </cell>
        </row>
        <row r="840">
          <cell r="B840">
            <v>37754</v>
          </cell>
          <cell r="C840">
            <v>936.9</v>
          </cell>
          <cell r="D840">
            <v>945.8</v>
          </cell>
          <cell r="E840">
            <v>936.7</v>
          </cell>
          <cell r="F840">
            <v>944.2</v>
          </cell>
        </row>
        <row r="841">
          <cell r="B841">
            <v>37755</v>
          </cell>
          <cell r="C841">
            <v>944.2</v>
          </cell>
          <cell r="D841">
            <v>953.45</v>
          </cell>
          <cell r="E841">
            <v>943.15</v>
          </cell>
          <cell r="F841">
            <v>952.15</v>
          </cell>
        </row>
        <row r="842">
          <cell r="B842">
            <v>37756</v>
          </cell>
          <cell r="C842">
            <v>952.15</v>
          </cell>
          <cell r="D842">
            <v>961.6</v>
          </cell>
          <cell r="E842">
            <v>951.15</v>
          </cell>
          <cell r="F842">
            <v>959.85</v>
          </cell>
        </row>
        <row r="843">
          <cell r="B843">
            <v>37757</v>
          </cell>
          <cell r="C843">
            <v>959.85</v>
          </cell>
          <cell r="D843">
            <v>974.4</v>
          </cell>
          <cell r="E843">
            <v>959.85</v>
          </cell>
          <cell r="F843">
            <v>973.1</v>
          </cell>
        </row>
        <row r="844">
          <cell r="B844">
            <v>37760</v>
          </cell>
          <cell r="C844">
            <v>973.7</v>
          </cell>
          <cell r="D844">
            <v>979.85</v>
          </cell>
          <cell r="E844">
            <v>964.6</v>
          </cell>
          <cell r="F844">
            <v>966.55</v>
          </cell>
        </row>
        <row r="845">
          <cell r="B845">
            <v>37761</v>
          </cell>
          <cell r="C845">
            <v>964.65</v>
          </cell>
          <cell r="D845">
            <v>974.05</v>
          </cell>
          <cell r="E845">
            <v>959.8</v>
          </cell>
          <cell r="F845">
            <v>971.55</v>
          </cell>
        </row>
        <row r="846">
          <cell r="B846">
            <v>37762</v>
          </cell>
          <cell r="C846">
            <v>972.05</v>
          </cell>
          <cell r="D846">
            <v>980.75</v>
          </cell>
          <cell r="E846">
            <v>965.55</v>
          </cell>
          <cell r="F846">
            <v>968</v>
          </cell>
        </row>
        <row r="847">
          <cell r="B847">
            <v>37763</v>
          </cell>
          <cell r="C847">
            <v>967.95</v>
          </cell>
          <cell r="D847">
            <v>972.4</v>
          </cell>
          <cell r="E847">
            <v>960.05</v>
          </cell>
          <cell r="F847">
            <v>963.25</v>
          </cell>
        </row>
        <row r="848">
          <cell r="B848">
            <v>37764</v>
          </cell>
          <cell r="C848">
            <v>963.5</v>
          </cell>
          <cell r="D848">
            <v>972.9</v>
          </cell>
          <cell r="E848">
            <v>962.4</v>
          </cell>
          <cell r="F848">
            <v>967.9</v>
          </cell>
        </row>
        <row r="849">
          <cell r="B849">
            <v>37767</v>
          </cell>
          <cell r="C849">
            <v>967.85</v>
          </cell>
          <cell r="D849">
            <v>983.9</v>
          </cell>
          <cell r="E849">
            <v>967.1</v>
          </cell>
          <cell r="F849">
            <v>982.45</v>
          </cell>
        </row>
        <row r="850">
          <cell r="B850">
            <v>37768</v>
          </cell>
          <cell r="C850">
            <v>982.35</v>
          </cell>
          <cell r="D850">
            <v>990</v>
          </cell>
          <cell r="E850">
            <v>974.25</v>
          </cell>
          <cell r="F850">
            <v>976.85</v>
          </cell>
        </row>
        <row r="851">
          <cell r="B851">
            <v>37769</v>
          </cell>
          <cell r="C851">
            <v>977.65</v>
          </cell>
          <cell r="D851">
            <v>992.25</v>
          </cell>
          <cell r="E851">
            <v>977.55</v>
          </cell>
          <cell r="F851">
            <v>990.8</v>
          </cell>
        </row>
        <row r="852">
          <cell r="B852">
            <v>37770</v>
          </cell>
          <cell r="C852">
            <v>990.8</v>
          </cell>
          <cell r="D852">
            <v>1004.85</v>
          </cell>
          <cell r="E852">
            <v>989.5</v>
          </cell>
          <cell r="F852">
            <v>1002.6</v>
          </cell>
        </row>
        <row r="853">
          <cell r="B853">
            <v>37771</v>
          </cell>
          <cell r="C853">
            <v>1000.05</v>
          </cell>
          <cell r="D853">
            <v>1013.85</v>
          </cell>
          <cell r="E853">
            <v>994.65</v>
          </cell>
          <cell r="F853">
            <v>1006.8</v>
          </cell>
        </row>
        <row r="854">
          <cell r="B854">
            <v>37774</v>
          </cell>
          <cell r="C854">
            <v>1006.85</v>
          </cell>
          <cell r="D854">
            <v>1020.5</v>
          </cell>
          <cell r="E854">
            <v>1004.7</v>
          </cell>
          <cell r="F854">
            <v>1015.15</v>
          </cell>
        </row>
        <row r="855">
          <cell r="B855">
            <v>37775</v>
          </cell>
          <cell r="C855">
            <v>1015.9</v>
          </cell>
          <cell r="D855">
            <v>1016.9</v>
          </cell>
          <cell r="E855">
            <v>1007.65</v>
          </cell>
          <cell r="F855">
            <v>1010.65</v>
          </cell>
        </row>
        <row r="856">
          <cell r="B856">
            <v>37776</v>
          </cell>
          <cell r="C856">
            <v>1010.7</v>
          </cell>
          <cell r="D856">
            <v>1022.75</v>
          </cell>
          <cell r="E856">
            <v>1010.1</v>
          </cell>
          <cell r="F856">
            <v>1021.05</v>
          </cell>
        </row>
        <row r="857">
          <cell r="B857">
            <v>37777</v>
          </cell>
          <cell r="C857">
            <v>1021.1</v>
          </cell>
          <cell r="D857">
            <v>1038.3</v>
          </cell>
          <cell r="E857">
            <v>1021.1</v>
          </cell>
          <cell r="F857">
            <v>1035.05</v>
          </cell>
        </row>
        <row r="858">
          <cell r="B858">
            <v>37778</v>
          </cell>
          <cell r="C858">
            <v>1036.2</v>
          </cell>
          <cell r="D858">
            <v>1048.8499999999999</v>
          </cell>
          <cell r="E858">
            <v>1035.95</v>
          </cell>
          <cell r="F858">
            <v>1046.4000000000001</v>
          </cell>
        </row>
        <row r="859">
          <cell r="B859">
            <v>37781</v>
          </cell>
          <cell r="C859">
            <v>1046</v>
          </cell>
          <cell r="D859">
            <v>1057.05</v>
          </cell>
          <cell r="E859">
            <v>1039.8499999999999</v>
          </cell>
          <cell r="F859">
            <v>1052.0999999999999</v>
          </cell>
        </row>
        <row r="860">
          <cell r="B860">
            <v>37782</v>
          </cell>
          <cell r="C860">
            <v>1052</v>
          </cell>
          <cell r="D860">
            <v>1056.55</v>
          </cell>
          <cell r="E860">
            <v>1033.95</v>
          </cell>
          <cell r="F860">
            <v>1037.8</v>
          </cell>
        </row>
        <row r="861">
          <cell r="B861">
            <v>37783</v>
          </cell>
          <cell r="C861">
            <v>1038</v>
          </cell>
          <cell r="D861">
            <v>1048.25</v>
          </cell>
          <cell r="E861">
            <v>1035</v>
          </cell>
          <cell r="F861">
            <v>1044.0999999999999</v>
          </cell>
        </row>
        <row r="862">
          <cell r="B862">
            <v>37784</v>
          </cell>
          <cell r="C862">
            <v>1044.2</v>
          </cell>
          <cell r="D862">
            <v>1052.5999999999999</v>
          </cell>
          <cell r="E862">
            <v>1043.0999999999999</v>
          </cell>
          <cell r="F862">
            <v>1051.3</v>
          </cell>
        </row>
        <row r="863">
          <cell r="B863">
            <v>37785</v>
          </cell>
          <cell r="C863">
            <v>1050.95</v>
          </cell>
          <cell r="D863">
            <v>1059.45</v>
          </cell>
          <cell r="E863">
            <v>1050.95</v>
          </cell>
          <cell r="F863">
            <v>1056.2</v>
          </cell>
        </row>
        <row r="864">
          <cell r="B864">
            <v>37788</v>
          </cell>
          <cell r="C864">
            <v>1056.5</v>
          </cell>
          <cell r="D864">
            <v>1059.8</v>
          </cell>
          <cell r="E864">
            <v>1045.55</v>
          </cell>
          <cell r="F864">
            <v>1051.8</v>
          </cell>
        </row>
        <row r="865">
          <cell r="B865">
            <v>37789</v>
          </cell>
          <cell r="C865">
            <v>1052.3</v>
          </cell>
          <cell r="D865">
            <v>1083.2</v>
          </cell>
          <cell r="E865">
            <v>1052.3</v>
          </cell>
          <cell r="F865">
            <v>1081.95</v>
          </cell>
        </row>
        <row r="866">
          <cell r="B866">
            <v>37790</v>
          </cell>
          <cell r="C866">
            <v>1082.8</v>
          </cell>
          <cell r="D866">
            <v>1093.2</v>
          </cell>
          <cell r="E866">
            <v>1080.9000000000001</v>
          </cell>
          <cell r="F866">
            <v>1086.75</v>
          </cell>
        </row>
        <row r="867">
          <cell r="B867">
            <v>37791</v>
          </cell>
          <cell r="C867">
            <v>1085.95</v>
          </cell>
          <cell r="D867">
            <v>1097</v>
          </cell>
          <cell r="E867">
            <v>1078.9000000000001</v>
          </cell>
          <cell r="F867">
            <v>1092.55</v>
          </cell>
        </row>
        <row r="868">
          <cell r="B868">
            <v>37792</v>
          </cell>
          <cell r="C868">
            <v>1092.6500000000001</v>
          </cell>
          <cell r="D868">
            <v>1101.5999999999999</v>
          </cell>
          <cell r="E868">
            <v>1081.3499999999999</v>
          </cell>
          <cell r="F868">
            <v>1100.25</v>
          </cell>
        </row>
        <row r="869">
          <cell r="B869">
            <v>37795</v>
          </cell>
          <cell r="C869">
            <v>1100.5999999999999</v>
          </cell>
          <cell r="D869">
            <v>1106.1500000000001</v>
          </cell>
          <cell r="E869">
            <v>1087.6500000000001</v>
          </cell>
          <cell r="F869">
            <v>1089.2</v>
          </cell>
        </row>
        <row r="870">
          <cell r="B870">
            <v>37796</v>
          </cell>
          <cell r="C870">
            <v>1089.2</v>
          </cell>
          <cell r="D870">
            <v>1092.6500000000001</v>
          </cell>
          <cell r="E870">
            <v>1079.0999999999999</v>
          </cell>
          <cell r="F870">
            <v>1085.3499999999999</v>
          </cell>
        </row>
        <row r="871">
          <cell r="B871">
            <v>37797</v>
          </cell>
          <cell r="C871">
            <v>1085.6500000000001</v>
          </cell>
          <cell r="D871">
            <v>1109.75</v>
          </cell>
          <cell r="E871">
            <v>1084.3499999999999</v>
          </cell>
          <cell r="F871">
            <v>1106.6500000000001</v>
          </cell>
        </row>
        <row r="872">
          <cell r="B872">
            <v>37798</v>
          </cell>
          <cell r="C872">
            <v>1106.8</v>
          </cell>
          <cell r="D872">
            <v>1118.9000000000001</v>
          </cell>
          <cell r="E872">
            <v>1106.8</v>
          </cell>
          <cell r="F872">
            <v>1116.3499999999999</v>
          </cell>
        </row>
        <row r="873">
          <cell r="B873">
            <v>37799</v>
          </cell>
          <cell r="C873">
            <v>1117.45</v>
          </cell>
          <cell r="D873">
            <v>1126.8</v>
          </cell>
          <cell r="E873">
            <v>1109.3499999999999</v>
          </cell>
          <cell r="F873">
            <v>1125.55</v>
          </cell>
        </row>
        <row r="874">
          <cell r="B874">
            <v>37802</v>
          </cell>
          <cell r="C874">
            <v>1125.5999999999999</v>
          </cell>
          <cell r="D874">
            <v>1141.3</v>
          </cell>
          <cell r="E874">
            <v>1125.5</v>
          </cell>
          <cell r="F874">
            <v>1134.1500000000001</v>
          </cell>
        </row>
        <row r="875">
          <cell r="B875">
            <v>37803</v>
          </cell>
          <cell r="C875">
            <v>1133.95</v>
          </cell>
          <cell r="D875">
            <v>1139</v>
          </cell>
          <cell r="E875">
            <v>1125.75</v>
          </cell>
          <cell r="F875">
            <v>1130.7</v>
          </cell>
        </row>
        <row r="876">
          <cell r="B876">
            <v>37804</v>
          </cell>
          <cell r="C876">
            <v>1131.55</v>
          </cell>
          <cell r="D876">
            <v>1145.4000000000001</v>
          </cell>
          <cell r="E876">
            <v>1130.2</v>
          </cell>
          <cell r="F876">
            <v>1133.8</v>
          </cell>
        </row>
        <row r="877">
          <cell r="B877">
            <v>37805</v>
          </cell>
          <cell r="C877">
            <v>1133.8</v>
          </cell>
          <cell r="D877">
            <v>1150.75</v>
          </cell>
          <cell r="E877">
            <v>1126.3499999999999</v>
          </cell>
          <cell r="F877">
            <v>1144.6500000000001</v>
          </cell>
        </row>
        <row r="878">
          <cell r="B878">
            <v>37806</v>
          </cell>
          <cell r="C878">
            <v>1145.5999999999999</v>
          </cell>
          <cell r="D878">
            <v>1148.8499999999999</v>
          </cell>
          <cell r="E878">
            <v>1134</v>
          </cell>
          <cell r="F878">
            <v>1138.45</v>
          </cell>
        </row>
        <row r="879">
          <cell r="B879">
            <v>37809</v>
          </cell>
          <cell r="C879">
            <v>1138.9000000000001</v>
          </cell>
          <cell r="D879">
            <v>1145.75</v>
          </cell>
          <cell r="E879">
            <v>1134.5999999999999</v>
          </cell>
          <cell r="F879">
            <v>1140.55</v>
          </cell>
        </row>
        <row r="880">
          <cell r="B880">
            <v>37810</v>
          </cell>
          <cell r="C880">
            <v>1141.45</v>
          </cell>
          <cell r="D880">
            <v>1153.1500000000001</v>
          </cell>
          <cell r="E880">
            <v>1141.3</v>
          </cell>
          <cell r="F880">
            <v>1145.9000000000001</v>
          </cell>
        </row>
        <row r="881">
          <cell r="B881">
            <v>37811</v>
          </cell>
          <cell r="C881">
            <v>1146.3499999999999</v>
          </cell>
          <cell r="D881">
            <v>1155.3</v>
          </cell>
          <cell r="E881">
            <v>1137.1500000000001</v>
          </cell>
          <cell r="F881">
            <v>1141.05</v>
          </cell>
        </row>
        <row r="882">
          <cell r="B882">
            <v>37812</v>
          </cell>
          <cell r="C882">
            <v>1146</v>
          </cell>
          <cell r="D882">
            <v>1163.5999999999999</v>
          </cell>
          <cell r="E882">
            <v>1146</v>
          </cell>
          <cell r="F882">
            <v>1162.3499999999999</v>
          </cell>
        </row>
        <row r="883">
          <cell r="B883">
            <v>37813</v>
          </cell>
          <cell r="C883">
            <v>1162.3</v>
          </cell>
          <cell r="D883">
            <v>1170.75</v>
          </cell>
          <cell r="E883">
            <v>1157.45</v>
          </cell>
          <cell r="F883">
            <v>1161.6500000000001</v>
          </cell>
        </row>
        <row r="884">
          <cell r="B884">
            <v>37816</v>
          </cell>
          <cell r="C884">
            <v>1161.2</v>
          </cell>
          <cell r="D884">
            <v>1173.95</v>
          </cell>
          <cell r="E884">
            <v>1161.2</v>
          </cell>
          <cell r="F884">
            <v>1171.5</v>
          </cell>
        </row>
        <row r="885">
          <cell r="B885">
            <v>37817</v>
          </cell>
          <cell r="C885">
            <v>1171.5</v>
          </cell>
          <cell r="D885">
            <v>1175.55</v>
          </cell>
          <cell r="E885">
            <v>1148.8</v>
          </cell>
          <cell r="F885">
            <v>1159.8499999999999</v>
          </cell>
        </row>
        <row r="886">
          <cell r="B886">
            <v>37818</v>
          </cell>
          <cell r="C886">
            <v>1158.7</v>
          </cell>
          <cell r="D886">
            <v>1170.45</v>
          </cell>
          <cell r="E886">
            <v>1148.5999999999999</v>
          </cell>
          <cell r="F886">
            <v>1168.75</v>
          </cell>
        </row>
        <row r="887">
          <cell r="B887">
            <v>37819</v>
          </cell>
          <cell r="C887">
            <v>1168.8499999999999</v>
          </cell>
          <cell r="D887">
            <v>1175.95</v>
          </cell>
          <cell r="E887">
            <v>1145.6500000000001</v>
          </cell>
          <cell r="F887">
            <v>1152</v>
          </cell>
        </row>
        <row r="888">
          <cell r="B888">
            <v>37820</v>
          </cell>
          <cell r="C888">
            <v>1151.8499999999999</v>
          </cell>
          <cell r="D888">
            <v>1162.5999999999999</v>
          </cell>
          <cell r="E888">
            <v>1130.45</v>
          </cell>
          <cell r="F888">
            <v>1140</v>
          </cell>
        </row>
        <row r="889">
          <cell r="B889">
            <v>37823</v>
          </cell>
          <cell r="C889">
            <v>1140</v>
          </cell>
          <cell r="D889">
            <v>1146.4000000000001</v>
          </cell>
          <cell r="E889">
            <v>1112.55</v>
          </cell>
          <cell r="F889">
            <v>1115.8</v>
          </cell>
        </row>
        <row r="890">
          <cell r="B890">
            <v>37824</v>
          </cell>
          <cell r="C890">
            <v>1115.3499999999999</v>
          </cell>
          <cell r="D890">
            <v>1118.25</v>
          </cell>
          <cell r="E890">
            <v>1089.3</v>
          </cell>
          <cell r="F890">
            <v>1109.2</v>
          </cell>
        </row>
        <row r="891">
          <cell r="B891">
            <v>37825</v>
          </cell>
          <cell r="C891">
            <v>1109.5999999999999</v>
          </cell>
          <cell r="D891">
            <v>1124.7</v>
          </cell>
          <cell r="E891">
            <v>1109.5999999999999</v>
          </cell>
          <cell r="F891">
            <v>1119.05</v>
          </cell>
        </row>
        <row r="892">
          <cell r="B892">
            <v>37826</v>
          </cell>
          <cell r="C892">
            <v>1119.95</v>
          </cell>
          <cell r="D892">
            <v>1144.3499999999999</v>
          </cell>
          <cell r="E892">
            <v>1118.55</v>
          </cell>
          <cell r="F892">
            <v>1139.45</v>
          </cell>
        </row>
        <row r="893">
          <cell r="B893">
            <v>37827</v>
          </cell>
          <cell r="C893">
            <v>1135.5</v>
          </cell>
          <cell r="D893">
            <v>1164.7</v>
          </cell>
          <cell r="E893">
            <v>1135.05</v>
          </cell>
          <cell r="F893">
            <v>1162.75</v>
          </cell>
        </row>
        <row r="894">
          <cell r="B894">
            <v>37830</v>
          </cell>
          <cell r="C894">
            <v>1163.25</v>
          </cell>
          <cell r="D894">
            <v>1180.5999999999999</v>
          </cell>
          <cell r="E894">
            <v>1163.25</v>
          </cell>
          <cell r="F894">
            <v>1169.2</v>
          </cell>
        </row>
        <row r="895">
          <cell r="B895">
            <v>37831</v>
          </cell>
          <cell r="C895">
            <v>1169.25</v>
          </cell>
          <cell r="D895">
            <v>1177.25</v>
          </cell>
          <cell r="E895">
            <v>1154.8</v>
          </cell>
          <cell r="F895">
            <v>1174.75</v>
          </cell>
        </row>
        <row r="896">
          <cell r="B896">
            <v>37832</v>
          </cell>
          <cell r="C896">
            <v>1175.3</v>
          </cell>
          <cell r="D896">
            <v>1187.7</v>
          </cell>
          <cell r="E896">
            <v>1168.45</v>
          </cell>
          <cell r="F896">
            <v>1183</v>
          </cell>
        </row>
        <row r="897">
          <cell r="B897">
            <v>37833</v>
          </cell>
          <cell r="C897">
            <v>1183.3</v>
          </cell>
          <cell r="D897">
            <v>1198.5</v>
          </cell>
          <cell r="E897">
            <v>1181.9000000000001</v>
          </cell>
          <cell r="F897">
            <v>1185.8499999999999</v>
          </cell>
        </row>
        <row r="898">
          <cell r="B898">
            <v>37834</v>
          </cell>
          <cell r="C898">
            <v>1185.8</v>
          </cell>
          <cell r="D898">
            <v>1198.8</v>
          </cell>
          <cell r="E898">
            <v>1180.3</v>
          </cell>
          <cell r="F898">
            <v>1195.75</v>
          </cell>
        </row>
        <row r="899">
          <cell r="B899">
            <v>37837</v>
          </cell>
          <cell r="C899">
            <v>1196.05</v>
          </cell>
          <cell r="D899">
            <v>1206.0999999999999</v>
          </cell>
          <cell r="E899">
            <v>1185.95</v>
          </cell>
          <cell r="F899">
            <v>1203.5999999999999</v>
          </cell>
        </row>
        <row r="900">
          <cell r="B900">
            <v>37838</v>
          </cell>
          <cell r="C900">
            <v>1203.9000000000001</v>
          </cell>
          <cell r="D900">
            <v>1218.5</v>
          </cell>
          <cell r="E900">
            <v>1181</v>
          </cell>
          <cell r="F900">
            <v>1184.45</v>
          </cell>
        </row>
        <row r="901">
          <cell r="B901">
            <v>37839</v>
          </cell>
          <cell r="C901">
            <v>1184.0999999999999</v>
          </cell>
          <cell r="D901">
            <v>1191.05</v>
          </cell>
          <cell r="E901">
            <v>1164.75</v>
          </cell>
          <cell r="F901">
            <v>1171.05</v>
          </cell>
        </row>
        <row r="902">
          <cell r="B902">
            <v>37840</v>
          </cell>
          <cell r="C902">
            <v>1170.75</v>
          </cell>
          <cell r="D902">
            <v>1199.7</v>
          </cell>
          <cell r="E902">
            <v>1170.75</v>
          </cell>
          <cell r="F902">
            <v>1196.95</v>
          </cell>
        </row>
        <row r="903">
          <cell r="B903">
            <v>37841</v>
          </cell>
          <cell r="C903">
            <v>1199.7</v>
          </cell>
          <cell r="D903">
            <v>1224.5</v>
          </cell>
          <cell r="E903">
            <v>1199.7</v>
          </cell>
          <cell r="F903">
            <v>1222.6500000000001</v>
          </cell>
        </row>
        <row r="904">
          <cell r="B904">
            <v>37844</v>
          </cell>
          <cell r="C904">
            <v>1222.5999999999999</v>
          </cell>
          <cell r="D904">
            <v>1240.3499999999999</v>
          </cell>
          <cell r="E904">
            <v>1215.75</v>
          </cell>
          <cell r="F904">
            <v>1232.8499999999999</v>
          </cell>
        </row>
        <row r="905">
          <cell r="B905">
            <v>37845</v>
          </cell>
          <cell r="C905">
            <v>1233.95</v>
          </cell>
          <cell r="D905">
            <v>1249.3499999999999</v>
          </cell>
          <cell r="E905">
            <v>1229.8</v>
          </cell>
          <cell r="F905">
            <v>1234.75</v>
          </cell>
        </row>
        <row r="906">
          <cell r="B906">
            <v>37846</v>
          </cell>
          <cell r="C906">
            <v>1235.3499999999999</v>
          </cell>
          <cell r="D906">
            <v>1249.3499999999999</v>
          </cell>
          <cell r="E906">
            <v>1229.3</v>
          </cell>
          <cell r="F906">
            <v>1246.9000000000001</v>
          </cell>
        </row>
        <row r="907">
          <cell r="B907">
            <v>37847</v>
          </cell>
          <cell r="C907">
            <v>1247</v>
          </cell>
          <cell r="D907">
            <v>1260.3499999999999</v>
          </cell>
          <cell r="E907">
            <v>1243.4000000000001</v>
          </cell>
          <cell r="F907">
            <v>1247.75</v>
          </cell>
        </row>
        <row r="908">
          <cell r="B908">
            <v>37851</v>
          </cell>
          <cell r="C908">
            <v>1247.9000000000001</v>
          </cell>
          <cell r="D908">
            <v>1285.7</v>
          </cell>
          <cell r="E908">
            <v>1247.9000000000001</v>
          </cell>
          <cell r="F908">
            <v>1281.4000000000001</v>
          </cell>
        </row>
        <row r="909">
          <cell r="B909">
            <v>37852</v>
          </cell>
          <cell r="C909">
            <v>1286.05</v>
          </cell>
          <cell r="D909">
            <v>1307.5999999999999</v>
          </cell>
          <cell r="E909">
            <v>1268.0999999999999</v>
          </cell>
          <cell r="F909">
            <v>1277.7</v>
          </cell>
        </row>
        <row r="910">
          <cell r="B910">
            <v>37853</v>
          </cell>
          <cell r="C910">
            <v>1280.8</v>
          </cell>
          <cell r="D910">
            <v>1292.95</v>
          </cell>
          <cell r="E910">
            <v>1280.8</v>
          </cell>
          <cell r="F910">
            <v>1287.4000000000001</v>
          </cell>
        </row>
        <row r="911">
          <cell r="B911">
            <v>37854</v>
          </cell>
          <cell r="C911">
            <v>1288.2</v>
          </cell>
          <cell r="D911">
            <v>1304.1500000000001</v>
          </cell>
          <cell r="E911">
            <v>1287</v>
          </cell>
          <cell r="F911">
            <v>1300.95</v>
          </cell>
        </row>
        <row r="912">
          <cell r="B912">
            <v>37855</v>
          </cell>
          <cell r="C912">
            <v>1301.5</v>
          </cell>
          <cell r="D912">
            <v>1319.45</v>
          </cell>
          <cell r="E912">
            <v>1298.8</v>
          </cell>
          <cell r="F912">
            <v>1311.15</v>
          </cell>
        </row>
        <row r="913">
          <cell r="B913">
            <v>37858</v>
          </cell>
          <cell r="C913">
            <v>1311.95</v>
          </cell>
          <cell r="D913">
            <v>1332.55</v>
          </cell>
          <cell r="E913">
            <v>1245.8499999999999</v>
          </cell>
          <cell r="F913">
            <v>1271.0999999999999</v>
          </cell>
        </row>
        <row r="914">
          <cell r="B914">
            <v>37859</v>
          </cell>
          <cell r="C914">
            <v>1270.2</v>
          </cell>
          <cell r="D914">
            <v>1322.95</v>
          </cell>
          <cell r="E914">
            <v>1269.5</v>
          </cell>
          <cell r="F914">
            <v>1318.2</v>
          </cell>
        </row>
        <row r="915">
          <cell r="B915">
            <v>37860</v>
          </cell>
          <cell r="C915">
            <v>1318.75</v>
          </cell>
          <cell r="D915">
            <v>1346.3</v>
          </cell>
          <cell r="E915">
            <v>1318.75</v>
          </cell>
          <cell r="F915">
            <v>1340.3</v>
          </cell>
        </row>
        <row r="916">
          <cell r="B916">
            <v>37861</v>
          </cell>
          <cell r="C916">
            <v>1340.2</v>
          </cell>
          <cell r="D916">
            <v>1349</v>
          </cell>
          <cell r="E916">
            <v>1328.35</v>
          </cell>
          <cell r="F916">
            <v>1341.05</v>
          </cell>
        </row>
        <row r="917">
          <cell r="B917">
            <v>37862</v>
          </cell>
          <cell r="C917">
            <v>1341.2</v>
          </cell>
          <cell r="D917">
            <v>1365.8</v>
          </cell>
          <cell r="E917">
            <v>1340.8</v>
          </cell>
          <cell r="F917">
            <v>1356.55</v>
          </cell>
        </row>
        <row r="918">
          <cell r="B918">
            <v>37865</v>
          </cell>
          <cell r="C918">
            <v>1356.7</v>
          </cell>
          <cell r="D918">
            <v>1379.4</v>
          </cell>
          <cell r="E918">
            <v>1356.65</v>
          </cell>
          <cell r="F918">
            <v>1375.95</v>
          </cell>
        </row>
        <row r="919">
          <cell r="B919">
            <v>37866</v>
          </cell>
          <cell r="C919">
            <v>1375.95</v>
          </cell>
          <cell r="D919">
            <v>1388.95</v>
          </cell>
          <cell r="E919">
            <v>1366.9</v>
          </cell>
          <cell r="F919">
            <v>1385.45</v>
          </cell>
        </row>
        <row r="920">
          <cell r="B920">
            <v>37867</v>
          </cell>
          <cell r="C920">
            <v>1387.2</v>
          </cell>
          <cell r="D920">
            <v>1394.95</v>
          </cell>
          <cell r="E920">
            <v>1353.6</v>
          </cell>
          <cell r="F920">
            <v>1359.35</v>
          </cell>
        </row>
        <row r="921">
          <cell r="B921">
            <v>37868</v>
          </cell>
          <cell r="C921">
            <v>1358.9</v>
          </cell>
          <cell r="D921">
            <v>1382.6</v>
          </cell>
          <cell r="E921">
            <v>1355.8</v>
          </cell>
          <cell r="F921">
            <v>1372.7</v>
          </cell>
        </row>
        <row r="922">
          <cell r="B922">
            <v>37869</v>
          </cell>
          <cell r="C922">
            <v>1373</v>
          </cell>
          <cell r="D922">
            <v>1400.9</v>
          </cell>
          <cell r="E922">
            <v>1372.75</v>
          </cell>
          <cell r="F922">
            <v>1398.4</v>
          </cell>
        </row>
        <row r="923">
          <cell r="B923">
            <v>37872</v>
          </cell>
          <cell r="C923">
            <v>1398.4</v>
          </cell>
          <cell r="D923">
            <v>1420.25</v>
          </cell>
          <cell r="E923">
            <v>1398.35</v>
          </cell>
          <cell r="F923">
            <v>1417.35</v>
          </cell>
        </row>
        <row r="924">
          <cell r="B924">
            <v>37873</v>
          </cell>
          <cell r="C924">
            <v>1417.8</v>
          </cell>
          <cell r="D924">
            <v>1430.7</v>
          </cell>
          <cell r="E924">
            <v>1397.65</v>
          </cell>
          <cell r="F924">
            <v>1407.05</v>
          </cell>
        </row>
        <row r="925">
          <cell r="B925">
            <v>37874</v>
          </cell>
          <cell r="C925">
            <v>1407</v>
          </cell>
          <cell r="D925">
            <v>1414.1</v>
          </cell>
          <cell r="E925">
            <v>1389.65</v>
          </cell>
          <cell r="F925">
            <v>1409.55</v>
          </cell>
        </row>
        <row r="926">
          <cell r="B926">
            <v>37875</v>
          </cell>
          <cell r="C926">
            <v>1409.65</v>
          </cell>
          <cell r="D926">
            <v>1422.4</v>
          </cell>
          <cell r="E926">
            <v>1399.6</v>
          </cell>
          <cell r="F926">
            <v>1403.15</v>
          </cell>
        </row>
        <row r="927">
          <cell r="B927">
            <v>37876</v>
          </cell>
          <cell r="C927">
            <v>1405.55</v>
          </cell>
          <cell r="D927">
            <v>1415.65</v>
          </cell>
          <cell r="E927">
            <v>1367.15</v>
          </cell>
          <cell r="F927">
            <v>1372.1</v>
          </cell>
        </row>
        <row r="928">
          <cell r="B928">
            <v>37879</v>
          </cell>
          <cell r="C928">
            <v>1371.75</v>
          </cell>
          <cell r="D928">
            <v>1371.85</v>
          </cell>
          <cell r="E928">
            <v>1322.65</v>
          </cell>
          <cell r="F928">
            <v>1329.25</v>
          </cell>
        </row>
        <row r="929">
          <cell r="B929">
            <v>37880</v>
          </cell>
          <cell r="C929">
            <v>1330.15</v>
          </cell>
          <cell r="D929">
            <v>1362.1</v>
          </cell>
          <cell r="E929">
            <v>1299.5</v>
          </cell>
          <cell r="F929">
            <v>1357.95</v>
          </cell>
        </row>
        <row r="930">
          <cell r="B930">
            <v>37881</v>
          </cell>
          <cell r="C930">
            <v>1357.95</v>
          </cell>
          <cell r="D930">
            <v>1377.45</v>
          </cell>
          <cell r="E930">
            <v>1332.2</v>
          </cell>
          <cell r="F930">
            <v>1341.6</v>
          </cell>
        </row>
        <row r="931">
          <cell r="B931">
            <v>37882</v>
          </cell>
          <cell r="C931">
            <v>1341.45</v>
          </cell>
          <cell r="D931">
            <v>1342.6</v>
          </cell>
          <cell r="E931">
            <v>1299.25</v>
          </cell>
          <cell r="F931">
            <v>1302.3499999999999</v>
          </cell>
        </row>
        <row r="932">
          <cell r="B932">
            <v>37883</v>
          </cell>
          <cell r="C932">
            <v>1303.2</v>
          </cell>
          <cell r="D932">
            <v>1331.05</v>
          </cell>
          <cell r="E932">
            <v>1285.25</v>
          </cell>
          <cell r="F932">
            <v>1322.15</v>
          </cell>
        </row>
        <row r="933">
          <cell r="B933">
            <v>37886</v>
          </cell>
          <cell r="C933">
            <v>1319.25</v>
          </cell>
          <cell r="D933">
            <v>1333.55</v>
          </cell>
          <cell r="E933">
            <v>1300.25</v>
          </cell>
          <cell r="F933">
            <v>1302.9000000000001</v>
          </cell>
        </row>
        <row r="934">
          <cell r="B934">
            <v>37887</v>
          </cell>
          <cell r="C934">
            <v>1302.8499999999999</v>
          </cell>
          <cell r="D934">
            <v>1333.7</v>
          </cell>
          <cell r="E934">
            <v>1290.55</v>
          </cell>
          <cell r="F934">
            <v>1328.2</v>
          </cell>
        </row>
        <row r="935">
          <cell r="B935">
            <v>37888</v>
          </cell>
          <cell r="C935">
            <v>1324.85</v>
          </cell>
          <cell r="D935">
            <v>1373.9</v>
          </cell>
          <cell r="E935">
            <v>1322.65</v>
          </cell>
          <cell r="F935">
            <v>1372.05</v>
          </cell>
        </row>
        <row r="936">
          <cell r="B936">
            <v>37889</v>
          </cell>
          <cell r="C936">
            <v>1371.45</v>
          </cell>
          <cell r="D936">
            <v>1377.25</v>
          </cell>
          <cell r="E936">
            <v>1352.8</v>
          </cell>
          <cell r="F936">
            <v>1357.2</v>
          </cell>
        </row>
        <row r="937">
          <cell r="B937">
            <v>37890</v>
          </cell>
          <cell r="C937">
            <v>1357.55</v>
          </cell>
          <cell r="D937">
            <v>1389.3</v>
          </cell>
          <cell r="E937">
            <v>1357.35</v>
          </cell>
          <cell r="F937">
            <v>1386.95</v>
          </cell>
        </row>
        <row r="938">
          <cell r="B938">
            <v>37893</v>
          </cell>
          <cell r="C938">
            <v>1386.9</v>
          </cell>
          <cell r="D938">
            <v>1422.35</v>
          </cell>
          <cell r="E938">
            <v>1386.1</v>
          </cell>
          <cell r="F938">
            <v>1399.95</v>
          </cell>
        </row>
        <row r="939">
          <cell r="B939">
            <v>37894</v>
          </cell>
          <cell r="C939">
            <v>1400.7</v>
          </cell>
          <cell r="D939">
            <v>1418.1</v>
          </cell>
          <cell r="E939">
            <v>1399.8</v>
          </cell>
          <cell r="F939">
            <v>1417.1</v>
          </cell>
        </row>
        <row r="940">
          <cell r="B940">
            <v>37895</v>
          </cell>
          <cell r="C940">
            <v>1416.6</v>
          </cell>
          <cell r="D940">
            <v>1430.9</v>
          </cell>
          <cell r="E940">
            <v>1407.95</v>
          </cell>
          <cell r="F940">
            <v>1420.85</v>
          </cell>
        </row>
        <row r="941">
          <cell r="B941">
            <v>37897</v>
          </cell>
          <cell r="C941">
            <v>1420.85</v>
          </cell>
          <cell r="D941">
            <v>1451.2</v>
          </cell>
          <cell r="E941">
            <v>1420.85</v>
          </cell>
          <cell r="F941">
            <v>1449.3</v>
          </cell>
        </row>
        <row r="942">
          <cell r="B942">
            <v>37900</v>
          </cell>
          <cell r="C942">
            <v>1449.45</v>
          </cell>
          <cell r="D942">
            <v>1481.05</v>
          </cell>
          <cell r="E942">
            <v>1423.75</v>
          </cell>
          <cell r="F942">
            <v>1478.9</v>
          </cell>
        </row>
        <row r="943">
          <cell r="B943">
            <v>37901</v>
          </cell>
          <cell r="C943">
            <v>1478.95</v>
          </cell>
          <cell r="D943">
            <v>1498.45</v>
          </cell>
          <cell r="E943">
            <v>1467.75</v>
          </cell>
          <cell r="F943">
            <v>1477.85</v>
          </cell>
        </row>
        <row r="944">
          <cell r="B944">
            <v>37902</v>
          </cell>
          <cell r="C944">
            <v>1477.85</v>
          </cell>
          <cell r="D944">
            <v>1493.05</v>
          </cell>
          <cell r="E944">
            <v>1460.6</v>
          </cell>
          <cell r="F944">
            <v>1478.6</v>
          </cell>
        </row>
        <row r="945">
          <cell r="B945">
            <v>37903</v>
          </cell>
          <cell r="C945">
            <v>1487.85</v>
          </cell>
          <cell r="D945">
            <v>1505.05</v>
          </cell>
          <cell r="E945">
            <v>1478.4</v>
          </cell>
          <cell r="F945">
            <v>1502.1</v>
          </cell>
        </row>
        <row r="946">
          <cell r="B946">
            <v>37904</v>
          </cell>
          <cell r="C946">
            <v>1507.1</v>
          </cell>
          <cell r="D946">
            <v>1527.25</v>
          </cell>
          <cell r="E946">
            <v>1505.1</v>
          </cell>
          <cell r="F946">
            <v>1523.1</v>
          </cell>
        </row>
        <row r="947">
          <cell r="B947">
            <v>37907</v>
          </cell>
          <cell r="C947">
            <v>1523.35</v>
          </cell>
          <cell r="D947">
            <v>1550.9</v>
          </cell>
          <cell r="E947">
            <v>1516.05</v>
          </cell>
          <cell r="F947">
            <v>1546.75</v>
          </cell>
        </row>
        <row r="948">
          <cell r="B948">
            <v>37908</v>
          </cell>
          <cell r="C948">
            <v>1548.7</v>
          </cell>
          <cell r="D948">
            <v>1562.85</v>
          </cell>
          <cell r="E948">
            <v>1513.75</v>
          </cell>
          <cell r="F948">
            <v>1520.8</v>
          </cell>
        </row>
        <row r="949">
          <cell r="B949">
            <v>37909</v>
          </cell>
          <cell r="C949">
            <v>1521.45</v>
          </cell>
          <cell r="D949">
            <v>1543.85</v>
          </cell>
          <cell r="E949">
            <v>1503</v>
          </cell>
          <cell r="F949">
            <v>1537</v>
          </cell>
        </row>
        <row r="950">
          <cell r="B950">
            <v>37910</v>
          </cell>
          <cell r="C950">
            <v>1537.3</v>
          </cell>
          <cell r="D950">
            <v>1563.4</v>
          </cell>
          <cell r="E950">
            <v>1537.3</v>
          </cell>
          <cell r="F950">
            <v>1555.7</v>
          </cell>
        </row>
        <row r="951">
          <cell r="B951">
            <v>37911</v>
          </cell>
          <cell r="C951">
            <v>1565.2</v>
          </cell>
          <cell r="D951">
            <v>1574.1</v>
          </cell>
          <cell r="E951">
            <v>1552.15</v>
          </cell>
          <cell r="F951">
            <v>1569.45</v>
          </cell>
        </row>
        <row r="952">
          <cell r="B952">
            <v>37914</v>
          </cell>
          <cell r="C952">
            <v>1569.7</v>
          </cell>
          <cell r="D952">
            <v>1574.1</v>
          </cell>
          <cell r="E952">
            <v>1536.5</v>
          </cell>
          <cell r="F952">
            <v>1542.7</v>
          </cell>
        </row>
        <row r="953">
          <cell r="B953">
            <v>37915</v>
          </cell>
          <cell r="C953">
            <v>1546.2</v>
          </cell>
          <cell r="D953">
            <v>1549.65</v>
          </cell>
          <cell r="E953">
            <v>1496.95</v>
          </cell>
          <cell r="F953">
            <v>1506.5</v>
          </cell>
        </row>
        <row r="954">
          <cell r="B954">
            <v>37916</v>
          </cell>
          <cell r="C954">
            <v>1506.75</v>
          </cell>
          <cell r="D954">
            <v>1522.65</v>
          </cell>
          <cell r="E954">
            <v>1483</v>
          </cell>
          <cell r="F954">
            <v>1494.1</v>
          </cell>
        </row>
        <row r="955">
          <cell r="B955">
            <v>37917</v>
          </cell>
          <cell r="C955">
            <v>1494.75</v>
          </cell>
          <cell r="D955">
            <v>1503</v>
          </cell>
          <cell r="E955">
            <v>1466.25</v>
          </cell>
          <cell r="F955">
            <v>1470.45</v>
          </cell>
        </row>
        <row r="956">
          <cell r="B956">
            <v>37918</v>
          </cell>
          <cell r="C956">
            <v>1485.8</v>
          </cell>
          <cell r="D956">
            <v>1512.55</v>
          </cell>
          <cell r="E956">
            <v>1434.75</v>
          </cell>
          <cell r="F956">
            <v>1506.05</v>
          </cell>
        </row>
        <row r="957">
          <cell r="B957">
            <v>37919</v>
          </cell>
          <cell r="C957">
            <v>1506.05</v>
          </cell>
          <cell r="D957">
            <v>1533.05</v>
          </cell>
          <cell r="E957">
            <v>1506.05</v>
          </cell>
          <cell r="F957">
            <v>1521.95</v>
          </cell>
        </row>
        <row r="958">
          <cell r="B958">
            <v>37921</v>
          </cell>
          <cell r="C958">
            <v>1522.05</v>
          </cell>
          <cell r="D958">
            <v>1524.05</v>
          </cell>
          <cell r="E958">
            <v>1482</v>
          </cell>
          <cell r="F958">
            <v>1485.3</v>
          </cell>
        </row>
        <row r="959">
          <cell r="B959">
            <v>37922</v>
          </cell>
          <cell r="C959">
            <v>1485.45</v>
          </cell>
          <cell r="D959">
            <v>1500.8</v>
          </cell>
          <cell r="E959">
            <v>1471.3</v>
          </cell>
          <cell r="F959">
            <v>1481.75</v>
          </cell>
        </row>
        <row r="960">
          <cell r="B960">
            <v>37923</v>
          </cell>
          <cell r="C960">
            <v>1481.3</v>
          </cell>
          <cell r="D960">
            <v>1501.7</v>
          </cell>
          <cell r="E960">
            <v>1477.1</v>
          </cell>
          <cell r="F960">
            <v>1498.45</v>
          </cell>
        </row>
        <row r="961">
          <cell r="B961">
            <v>37924</v>
          </cell>
          <cell r="C961">
            <v>1499.25</v>
          </cell>
          <cell r="D961">
            <v>1524.25</v>
          </cell>
          <cell r="E961">
            <v>1495.8</v>
          </cell>
          <cell r="F961">
            <v>1516.85</v>
          </cell>
        </row>
        <row r="962">
          <cell r="B962">
            <v>37925</v>
          </cell>
          <cell r="C962">
            <v>1517.1</v>
          </cell>
          <cell r="D962">
            <v>1559.75</v>
          </cell>
          <cell r="E962">
            <v>1515.55</v>
          </cell>
          <cell r="F962">
            <v>1555.9</v>
          </cell>
        </row>
        <row r="963">
          <cell r="B963">
            <v>37928</v>
          </cell>
          <cell r="C963">
            <v>1556.5</v>
          </cell>
          <cell r="D963">
            <v>1605.6</v>
          </cell>
          <cell r="E963">
            <v>1556.5</v>
          </cell>
          <cell r="F963">
            <v>1601.65</v>
          </cell>
        </row>
        <row r="964">
          <cell r="B964">
            <v>37929</v>
          </cell>
          <cell r="C964">
            <v>1601.3</v>
          </cell>
          <cell r="D964">
            <v>1626.4</v>
          </cell>
          <cell r="E964">
            <v>1601.3</v>
          </cell>
          <cell r="F964">
            <v>1618.7</v>
          </cell>
        </row>
        <row r="965">
          <cell r="B965">
            <v>37930</v>
          </cell>
          <cell r="C965">
            <v>1618.7</v>
          </cell>
          <cell r="D965">
            <v>1627.6</v>
          </cell>
          <cell r="E965">
            <v>1592.55</v>
          </cell>
          <cell r="F965">
            <v>1609.15</v>
          </cell>
        </row>
        <row r="966">
          <cell r="B966">
            <v>37931</v>
          </cell>
          <cell r="C966">
            <v>1610.55</v>
          </cell>
          <cell r="D966">
            <v>1630.25</v>
          </cell>
          <cell r="E966">
            <v>1605.4</v>
          </cell>
          <cell r="F966">
            <v>1612.2</v>
          </cell>
        </row>
        <row r="967">
          <cell r="B967">
            <v>37932</v>
          </cell>
          <cell r="C967">
            <v>1612.1</v>
          </cell>
          <cell r="D967">
            <v>1624.5</v>
          </cell>
          <cell r="E967">
            <v>1585.35</v>
          </cell>
          <cell r="F967">
            <v>1592.05</v>
          </cell>
        </row>
        <row r="968">
          <cell r="B968">
            <v>37935</v>
          </cell>
          <cell r="C968">
            <v>1603.55</v>
          </cell>
          <cell r="D968">
            <v>1603.65</v>
          </cell>
          <cell r="E968">
            <v>1568.1</v>
          </cell>
          <cell r="F968">
            <v>1594.5</v>
          </cell>
        </row>
        <row r="969">
          <cell r="B969">
            <v>37936</v>
          </cell>
          <cell r="C969">
            <v>1594.5</v>
          </cell>
          <cell r="D969">
            <v>1608.85</v>
          </cell>
          <cell r="E969">
            <v>1590.95</v>
          </cell>
          <cell r="F969">
            <v>1601.15</v>
          </cell>
        </row>
        <row r="970">
          <cell r="B970">
            <v>37937</v>
          </cell>
          <cell r="C970">
            <v>1601.3</v>
          </cell>
          <cell r="D970">
            <v>1617.75</v>
          </cell>
          <cell r="E970">
            <v>1598</v>
          </cell>
          <cell r="F970">
            <v>1603.8</v>
          </cell>
        </row>
        <row r="971">
          <cell r="B971">
            <v>37938</v>
          </cell>
          <cell r="C971">
            <v>1610.4</v>
          </cell>
          <cell r="D971">
            <v>1616.15</v>
          </cell>
          <cell r="E971">
            <v>1573.6</v>
          </cell>
          <cell r="F971">
            <v>1579.95</v>
          </cell>
        </row>
        <row r="972">
          <cell r="B972">
            <v>37939</v>
          </cell>
          <cell r="C972">
            <v>1577.2</v>
          </cell>
          <cell r="D972">
            <v>1580.3</v>
          </cell>
          <cell r="E972">
            <v>1544.75</v>
          </cell>
          <cell r="F972">
            <v>1550.45</v>
          </cell>
        </row>
        <row r="973">
          <cell r="B973">
            <v>37940</v>
          </cell>
          <cell r="C973">
            <v>1549.65</v>
          </cell>
          <cell r="D973">
            <v>1571.3</v>
          </cell>
          <cell r="E973">
            <v>1542</v>
          </cell>
          <cell r="F973">
            <v>1562.8</v>
          </cell>
        </row>
        <row r="974">
          <cell r="B974">
            <v>37942</v>
          </cell>
          <cell r="C974">
            <v>1563.1</v>
          </cell>
          <cell r="D974">
            <v>1584.75</v>
          </cell>
          <cell r="E974">
            <v>1554.4</v>
          </cell>
          <cell r="F974">
            <v>1579.9</v>
          </cell>
        </row>
        <row r="975">
          <cell r="B975">
            <v>37943</v>
          </cell>
          <cell r="C975">
            <v>1579.15</v>
          </cell>
          <cell r="D975">
            <v>1591.25</v>
          </cell>
          <cell r="E975">
            <v>1557.2</v>
          </cell>
          <cell r="F975">
            <v>1564.4</v>
          </cell>
        </row>
        <row r="976">
          <cell r="B976">
            <v>37944</v>
          </cell>
          <cell r="C976">
            <v>1563.95</v>
          </cell>
          <cell r="D976">
            <v>1564</v>
          </cell>
          <cell r="E976">
            <v>1534.35</v>
          </cell>
          <cell r="F976">
            <v>1540.6</v>
          </cell>
        </row>
        <row r="977">
          <cell r="B977">
            <v>37945</v>
          </cell>
          <cell r="C977">
            <v>1542.85</v>
          </cell>
          <cell r="D977">
            <v>1558.15</v>
          </cell>
          <cell r="E977">
            <v>1517.9</v>
          </cell>
          <cell r="F977">
            <v>1522.3</v>
          </cell>
        </row>
        <row r="978">
          <cell r="B978">
            <v>37946</v>
          </cell>
          <cell r="C978">
            <v>1520.4</v>
          </cell>
          <cell r="D978">
            <v>1547</v>
          </cell>
          <cell r="E978">
            <v>1509.15</v>
          </cell>
          <cell r="F978">
            <v>1540.7</v>
          </cell>
        </row>
        <row r="979">
          <cell r="B979">
            <v>37949</v>
          </cell>
          <cell r="C979">
            <v>1541.35</v>
          </cell>
          <cell r="D979">
            <v>1554.05</v>
          </cell>
          <cell r="E979">
            <v>1536.5</v>
          </cell>
          <cell r="F979">
            <v>1543.9</v>
          </cell>
        </row>
        <row r="980">
          <cell r="B980">
            <v>37950</v>
          </cell>
          <cell r="C980">
            <v>1543.95</v>
          </cell>
          <cell r="D980">
            <v>1572.05</v>
          </cell>
          <cell r="E980">
            <v>1543.95</v>
          </cell>
          <cell r="F980">
            <v>1568.65</v>
          </cell>
        </row>
        <row r="981">
          <cell r="B981">
            <v>37952</v>
          </cell>
          <cell r="C981">
            <v>1568.85</v>
          </cell>
          <cell r="D981">
            <v>1602.6</v>
          </cell>
          <cell r="E981">
            <v>1568.7</v>
          </cell>
          <cell r="F981">
            <v>1598.35</v>
          </cell>
        </row>
        <row r="982">
          <cell r="B982">
            <v>37953</v>
          </cell>
          <cell r="C982">
            <v>1598.55</v>
          </cell>
          <cell r="D982">
            <v>1618.95</v>
          </cell>
          <cell r="E982">
            <v>1598.55</v>
          </cell>
          <cell r="F982">
            <v>1615.25</v>
          </cell>
        </row>
        <row r="983">
          <cell r="B983">
            <v>37956</v>
          </cell>
          <cell r="C983">
            <v>1615.85</v>
          </cell>
          <cell r="D983">
            <v>1660.55</v>
          </cell>
          <cell r="E983">
            <v>1615.7</v>
          </cell>
          <cell r="F983">
            <v>1657.65</v>
          </cell>
        </row>
        <row r="984">
          <cell r="B984">
            <v>37957</v>
          </cell>
          <cell r="C984">
            <v>1657.65</v>
          </cell>
          <cell r="D984">
            <v>1671.85</v>
          </cell>
          <cell r="E984">
            <v>1639.65</v>
          </cell>
          <cell r="F984">
            <v>1658.5</v>
          </cell>
        </row>
        <row r="985">
          <cell r="B985">
            <v>37958</v>
          </cell>
          <cell r="C985">
            <v>1660.7</v>
          </cell>
          <cell r="D985">
            <v>1676.2</v>
          </cell>
          <cell r="E985">
            <v>1655.9</v>
          </cell>
          <cell r="F985">
            <v>1670.5</v>
          </cell>
        </row>
        <row r="986">
          <cell r="B986">
            <v>37959</v>
          </cell>
          <cell r="C986">
            <v>1670.65</v>
          </cell>
          <cell r="D986">
            <v>1683.75</v>
          </cell>
          <cell r="E986">
            <v>1656.1</v>
          </cell>
          <cell r="F986">
            <v>1675.2</v>
          </cell>
        </row>
        <row r="987">
          <cell r="B987">
            <v>37960</v>
          </cell>
          <cell r="C987">
            <v>1675.5</v>
          </cell>
          <cell r="D987">
            <v>1688.25</v>
          </cell>
          <cell r="E987">
            <v>1642.05</v>
          </cell>
          <cell r="F987">
            <v>1645.8</v>
          </cell>
        </row>
        <row r="988">
          <cell r="B988">
            <v>37963</v>
          </cell>
          <cell r="C988">
            <v>1644.85</v>
          </cell>
          <cell r="D988">
            <v>1654.35</v>
          </cell>
          <cell r="E988">
            <v>1631.85</v>
          </cell>
          <cell r="F988">
            <v>1646.25</v>
          </cell>
        </row>
        <row r="989">
          <cell r="B989">
            <v>37964</v>
          </cell>
          <cell r="C989">
            <v>1646.4</v>
          </cell>
          <cell r="D989">
            <v>1677.9</v>
          </cell>
          <cell r="E989">
            <v>1646.4</v>
          </cell>
          <cell r="F989">
            <v>1675.85</v>
          </cell>
        </row>
        <row r="990">
          <cell r="B990">
            <v>37965</v>
          </cell>
          <cell r="C990">
            <v>1675.75</v>
          </cell>
          <cell r="D990">
            <v>1697.3</v>
          </cell>
          <cell r="E990">
            <v>1672.65</v>
          </cell>
          <cell r="F990">
            <v>1686.9</v>
          </cell>
        </row>
        <row r="991">
          <cell r="B991">
            <v>37966</v>
          </cell>
          <cell r="C991">
            <v>1688.35</v>
          </cell>
          <cell r="D991">
            <v>1701.7</v>
          </cell>
          <cell r="E991">
            <v>1678.35</v>
          </cell>
          <cell r="F991">
            <v>1695.4</v>
          </cell>
        </row>
        <row r="992">
          <cell r="B992">
            <v>37967</v>
          </cell>
          <cell r="C992">
            <v>1695.8</v>
          </cell>
          <cell r="D992">
            <v>1705.95</v>
          </cell>
          <cell r="E992">
            <v>1686.45</v>
          </cell>
          <cell r="F992">
            <v>1698.9</v>
          </cell>
        </row>
        <row r="993">
          <cell r="B993">
            <v>37970</v>
          </cell>
          <cell r="C993">
            <v>1699.7</v>
          </cell>
          <cell r="D993">
            <v>1728</v>
          </cell>
          <cell r="E993">
            <v>1699.7</v>
          </cell>
          <cell r="F993">
            <v>1723.95</v>
          </cell>
        </row>
        <row r="994">
          <cell r="B994">
            <v>37971</v>
          </cell>
          <cell r="C994">
            <v>1723.9</v>
          </cell>
          <cell r="D994">
            <v>1740.3</v>
          </cell>
          <cell r="E994">
            <v>1711.3</v>
          </cell>
          <cell r="F994">
            <v>1736.25</v>
          </cell>
        </row>
        <row r="995">
          <cell r="B995">
            <v>37972</v>
          </cell>
          <cell r="C995">
            <v>1736.35</v>
          </cell>
          <cell r="D995">
            <v>1746.2</v>
          </cell>
          <cell r="E995">
            <v>1725.4</v>
          </cell>
          <cell r="F995">
            <v>1733.25</v>
          </cell>
        </row>
        <row r="996">
          <cell r="B996">
            <v>37973</v>
          </cell>
          <cell r="C996">
            <v>1733.2</v>
          </cell>
          <cell r="D996">
            <v>1759</v>
          </cell>
          <cell r="E996">
            <v>1725.85</v>
          </cell>
          <cell r="F996">
            <v>1756.1</v>
          </cell>
        </row>
        <row r="997">
          <cell r="B997">
            <v>37974</v>
          </cell>
          <cell r="C997">
            <v>1757</v>
          </cell>
          <cell r="D997">
            <v>1783.7</v>
          </cell>
          <cell r="E997">
            <v>1755.4</v>
          </cell>
          <cell r="F997">
            <v>1778.55</v>
          </cell>
        </row>
        <row r="998">
          <cell r="B998">
            <v>37977</v>
          </cell>
          <cell r="C998">
            <v>1778.85</v>
          </cell>
          <cell r="D998">
            <v>1794.3</v>
          </cell>
          <cell r="E998">
            <v>1778.4</v>
          </cell>
          <cell r="F998">
            <v>1789.15</v>
          </cell>
        </row>
        <row r="999">
          <cell r="B999">
            <v>37978</v>
          </cell>
          <cell r="C999">
            <v>1789.1</v>
          </cell>
          <cell r="D999">
            <v>1800.9</v>
          </cell>
          <cell r="E999">
            <v>1751.05</v>
          </cell>
          <cell r="F999">
            <v>1780.3</v>
          </cell>
        </row>
        <row r="1000">
          <cell r="B1000">
            <v>37979</v>
          </cell>
          <cell r="C1000">
            <v>1788.45</v>
          </cell>
          <cell r="D1000">
            <v>1815.6</v>
          </cell>
          <cell r="E1000">
            <v>1780.3</v>
          </cell>
          <cell r="F1000">
            <v>1808.7</v>
          </cell>
        </row>
        <row r="1001">
          <cell r="B1001">
            <v>37981</v>
          </cell>
          <cell r="C1001">
            <v>1804.7</v>
          </cell>
          <cell r="D1001">
            <v>1840.35</v>
          </cell>
          <cell r="E1001">
            <v>1804.7</v>
          </cell>
          <cell r="F1001">
            <v>1837.05</v>
          </cell>
        </row>
        <row r="1002">
          <cell r="B1002">
            <v>37984</v>
          </cell>
          <cell r="C1002">
            <v>1838.05</v>
          </cell>
          <cell r="D1002">
            <v>1876</v>
          </cell>
          <cell r="E1002">
            <v>1837.65</v>
          </cell>
          <cell r="F1002">
            <v>1874.05</v>
          </cell>
        </row>
        <row r="1003">
          <cell r="B1003">
            <v>37985</v>
          </cell>
          <cell r="C1003">
            <v>1878.9</v>
          </cell>
          <cell r="D1003">
            <v>1914.4</v>
          </cell>
          <cell r="E1003">
            <v>1858.55</v>
          </cell>
          <cell r="F1003">
            <v>1873.25</v>
          </cell>
        </row>
        <row r="1004">
          <cell r="B1004">
            <v>37986</v>
          </cell>
          <cell r="C1004">
            <v>1868.9</v>
          </cell>
          <cell r="D1004">
            <v>1895.65</v>
          </cell>
          <cell r="E1004">
            <v>1852.5</v>
          </cell>
          <cell r="F1004">
            <v>1879.75</v>
          </cell>
        </row>
        <row r="1005">
          <cell r="B1005">
            <v>37987</v>
          </cell>
          <cell r="C1005">
            <v>1880.35</v>
          </cell>
          <cell r="D1005">
            <v>1917.05</v>
          </cell>
          <cell r="E1005">
            <v>1880.35</v>
          </cell>
          <cell r="F1005">
            <v>1912.25</v>
          </cell>
        </row>
        <row r="1006">
          <cell r="B1006">
            <v>37988</v>
          </cell>
          <cell r="C1006">
            <v>1912.25</v>
          </cell>
          <cell r="D1006">
            <v>1951.7</v>
          </cell>
          <cell r="E1006">
            <v>1911.05</v>
          </cell>
          <cell r="F1006">
            <v>1946.05</v>
          </cell>
        </row>
        <row r="1007">
          <cell r="B1007">
            <v>37991</v>
          </cell>
          <cell r="C1007">
            <v>1946.3</v>
          </cell>
          <cell r="D1007">
            <v>1969.2</v>
          </cell>
          <cell r="E1007">
            <v>1930.75</v>
          </cell>
          <cell r="F1007">
            <v>1955</v>
          </cell>
        </row>
        <row r="1008">
          <cell r="B1008">
            <v>37992</v>
          </cell>
          <cell r="C1008">
            <v>1955.1</v>
          </cell>
          <cell r="D1008">
            <v>1979.05</v>
          </cell>
          <cell r="E1008">
            <v>1908.75</v>
          </cell>
          <cell r="F1008">
            <v>1926.7</v>
          </cell>
        </row>
        <row r="1009">
          <cell r="B1009">
            <v>37993</v>
          </cell>
          <cell r="C1009">
            <v>1927.95</v>
          </cell>
          <cell r="D1009">
            <v>1930.95</v>
          </cell>
          <cell r="E1009">
            <v>1888.1</v>
          </cell>
          <cell r="F1009">
            <v>1916.75</v>
          </cell>
        </row>
        <row r="1010">
          <cell r="B1010">
            <v>37994</v>
          </cell>
          <cell r="C1010">
            <v>1918.1</v>
          </cell>
          <cell r="D1010">
            <v>1973.45</v>
          </cell>
          <cell r="E1010">
            <v>1918.1</v>
          </cell>
          <cell r="F1010">
            <v>1968.55</v>
          </cell>
        </row>
        <row r="1011">
          <cell r="B1011">
            <v>37995</v>
          </cell>
          <cell r="C1011">
            <v>1969</v>
          </cell>
          <cell r="D1011">
            <v>2014.65</v>
          </cell>
          <cell r="E1011">
            <v>1957.45</v>
          </cell>
          <cell r="F1011">
            <v>1971.9</v>
          </cell>
        </row>
        <row r="1012">
          <cell r="B1012">
            <v>37998</v>
          </cell>
          <cell r="C1012">
            <v>1972</v>
          </cell>
          <cell r="D1012">
            <v>1980.55</v>
          </cell>
          <cell r="E1012">
            <v>1936.75</v>
          </cell>
          <cell r="F1012">
            <v>1945.6</v>
          </cell>
        </row>
        <row r="1013">
          <cell r="B1013">
            <v>37999</v>
          </cell>
          <cell r="C1013">
            <v>1944.7</v>
          </cell>
          <cell r="D1013">
            <v>1967.85</v>
          </cell>
          <cell r="E1013">
            <v>1926.1</v>
          </cell>
          <cell r="F1013">
            <v>1963.6</v>
          </cell>
        </row>
        <row r="1014">
          <cell r="B1014">
            <v>38000</v>
          </cell>
          <cell r="C1014">
            <v>1987.4</v>
          </cell>
          <cell r="D1014">
            <v>1995.2</v>
          </cell>
          <cell r="E1014">
            <v>1970.1</v>
          </cell>
          <cell r="F1014">
            <v>1982.15</v>
          </cell>
        </row>
        <row r="1015">
          <cell r="B1015">
            <v>38001</v>
          </cell>
          <cell r="C1015">
            <v>1983.2</v>
          </cell>
          <cell r="D1015">
            <v>2000.3</v>
          </cell>
          <cell r="E1015">
            <v>1933.25</v>
          </cell>
          <cell r="F1015">
            <v>1944.45</v>
          </cell>
        </row>
        <row r="1016">
          <cell r="B1016">
            <v>38002</v>
          </cell>
          <cell r="C1016">
            <v>1944.15</v>
          </cell>
          <cell r="D1016">
            <v>1953.05</v>
          </cell>
          <cell r="E1016">
            <v>1887.1</v>
          </cell>
          <cell r="F1016">
            <v>1900.65</v>
          </cell>
        </row>
        <row r="1017">
          <cell r="B1017">
            <v>38005</v>
          </cell>
          <cell r="C1017">
            <v>1901.9</v>
          </cell>
          <cell r="D1017">
            <v>1943.1</v>
          </cell>
          <cell r="E1017">
            <v>1874.95</v>
          </cell>
          <cell r="F1017">
            <v>1935.35</v>
          </cell>
        </row>
        <row r="1018">
          <cell r="B1018">
            <v>38006</v>
          </cell>
          <cell r="C1018">
            <v>1928.8</v>
          </cell>
          <cell r="D1018">
            <v>1957.65</v>
          </cell>
          <cell r="E1018">
            <v>1876.85</v>
          </cell>
          <cell r="F1018">
            <v>1893.25</v>
          </cell>
        </row>
        <row r="1019">
          <cell r="B1019">
            <v>38007</v>
          </cell>
          <cell r="C1019">
            <v>1895.45</v>
          </cell>
          <cell r="D1019">
            <v>1899.55</v>
          </cell>
          <cell r="E1019">
            <v>1811.35</v>
          </cell>
          <cell r="F1019">
            <v>1824.6</v>
          </cell>
        </row>
        <row r="1020">
          <cell r="B1020">
            <v>38008</v>
          </cell>
          <cell r="C1020">
            <v>1824.7</v>
          </cell>
          <cell r="D1020">
            <v>1854.55</v>
          </cell>
          <cell r="E1020">
            <v>1756.25</v>
          </cell>
          <cell r="F1020">
            <v>1770.5</v>
          </cell>
        </row>
        <row r="1021">
          <cell r="B1021">
            <v>38009</v>
          </cell>
          <cell r="C1021">
            <v>1771.1</v>
          </cell>
          <cell r="D1021">
            <v>1858.5</v>
          </cell>
          <cell r="E1021">
            <v>1771.1</v>
          </cell>
          <cell r="F1021">
            <v>1847.55</v>
          </cell>
        </row>
        <row r="1022">
          <cell r="B1022">
            <v>38013</v>
          </cell>
          <cell r="C1022">
            <v>1847.9</v>
          </cell>
          <cell r="D1022">
            <v>1911.3</v>
          </cell>
          <cell r="E1022">
            <v>1844.65</v>
          </cell>
          <cell r="F1022">
            <v>1904.7</v>
          </cell>
        </row>
        <row r="1023">
          <cell r="B1023">
            <v>38014</v>
          </cell>
          <cell r="C1023">
            <v>1903.9</v>
          </cell>
          <cell r="D1023">
            <v>1918.45</v>
          </cell>
          <cell r="E1023">
            <v>1846.35</v>
          </cell>
          <cell r="F1023">
            <v>1863.1</v>
          </cell>
        </row>
        <row r="1024">
          <cell r="B1024">
            <v>38015</v>
          </cell>
          <cell r="C1024">
            <v>1863</v>
          </cell>
          <cell r="D1024">
            <v>1883.1</v>
          </cell>
          <cell r="E1024">
            <v>1827.25</v>
          </cell>
          <cell r="F1024">
            <v>1843.6</v>
          </cell>
        </row>
        <row r="1025">
          <cell r="B1025">
            <v>38016</v>
          </cell>
          <cell r="C1025">
            <v>1843.7</v>
          </cell>
          <cell r="D1025">
            <v>1860.4</v>
          </cell>
          <cell r="E1025">
            <v>1804.3</v>
          </cell>
          <cell r="F1025">
            <v>1809.75</v>
          </cell>
        </row>
        <row r="1026">
          <cell r="B1026">
            <v>38020</v>
          </cell>
          <cell r="C1026">
            <v>1809.3</v>
          </cell>
          <cell r="D1026">
            <v>1815.95</v>
          </cell>
          <cell r="E1026">
            <v>1755.65</v>
          </cell>
          <cell r="F1026">
            <v>1769</v>
          </cell>
        </row>
        <row r="1027">
          <cell r="B1027">
            <v>38021</v>
          </cell>
          <cell r="C1027">
            <v>1769.1</v>
          </cell>
          <cell r="D1027">
            <v>1829.65</v>
          </cell>
          <cell r="E1027">
            <v>1761.75</v>
          </cell>
          <cell r="F1027">
            <v>1822.2</v>
          </cell>
        </row>
        <row r="1028">
          <cell r="B1028">
            <v>38022</v>
          </cell>
          <cell r="C1028">
            <v>1823.5</v>
          </cell>
          <cell r="D1028">
            <v>1846.75</v>
          </cell>
          <cell r="E1028">
            <v>1787.15</v>
          </cell>
          <cell r="F1028">
            <v>1804.5</v>
          </cell>
        </row>
        <row r="1029">
          <cell r="B1029">
            <v>38023</v>
          </cell>
          <cell r="C1029">
            <v>1804.35</v>
          </cell>
          <cell r="D1029">
            <v>1837.95</v>
          </cell>
          <cell r="E1029">
            <v>1797.95</v>
          </cell>
          <cell r="F1029">
            <v>1833.65</v>
          </cell>
        </row>
        <row r="1030">
          <cell r="B1030">
            <v>38026</v>
          </cell>
          <cell r="C1030">
            <v>1834.9</v>
          </cell>
          <cell r="D1030">
            <v>1885.2</v>
          </cell>
          <cell r="E1030">
            <v>1833.05</v>
          </cell>
          <cell r="F1030">
            <v>1880.7</v>
          </cell>
        </row>
        <row r="1031">
          <cell r="B1031">
            <v>38027</v>
          </cell>
          <cell r="C1031">
            <v>1880.85</v>
          </cell>
          <cell r="D1031">
            <v>1897</v>
          </cell>
          <cell r="E1031">
            <v>1861.65</v>
          </cell>
          <cell r="F1031">
            <v>1880.75</v>
          </cell>
        </row>
        <row r="1032">
          <cell r="B1032">
            <v>38028</v>
          </cell>
          <cell r="C1032">
            <v>1891.8</v>
          </cell>
          <cell r="D1032">
            <v>1894.8</v>
          </cell>
          <cell r="E1032">
            <v>1874.5</v>
          </cell>
          <cell r="F1032">
            <v>1891.5</v>
          </cell>
        </row>
        <row r="1033">
          <cell r="B1033">
            <v>38029</v>
          </cell>
          <cell r="C1033">
            <v>1892.2</v>
          </cell>
          <cell r="D1033">
            <v>1906.1</v>
          </cell>
          <cell r="E1033">
            <v>1869.25</v>
          </cell>
          <cell r="F1033">
            <v>1885.3</v>
          </cell>
        </row>
        <row r="1034">
          <cell r="B1034">
            <v>38030</v>
          </cell>
          <cell r="C1034">
            <v>1875.6</v>
          </cell>
          <cell r="D1034">
            <v>1916.2</v>
          </cell>
          <cell r="E1034">
            <v>1873.25</v>
          </cell>
          <cell r="F1034">
            <v>1913.6</v>
          </cell>
        </row>
        <row r="1035">
          <cell r="B1035">
            <v>38033</v>
          </cell>
          <cell r="C1035">
            <v>1914.45</v>
          </cell>
          <cell r="D1035">
            <v>1929.5</v>
          </cell>
          <cell r="E1035">
            <v>1909.45</v>
          </cell>
          <cell r="F1035">
            <v>1913.55</v>
          </cell>
        </row>
        <row r="1036">
          <cell r="B1036">
            <v>38034</v>
          </cell>
          <cell r="C1036">
            <v>1913.55</v>
          </cell>
          <cell r="D1036">
            <v>1926.15</v>
          </cell>
          <cell r="E1036">
            <v>1905.5</v>
          </cell>
          <cell r="F1036">
            <v>1920.1</v>
          </cell>
        </row>
        <row r="1037">
          <cell r="B1037">
            <v>38035</v>
          </cell>
          <cell r="C1037">
            <v>1920</v>
          </cell>
          <cell r="D1037">
            <v>1935.8</v>
          </cell>
          <cell r="E1037">
            <v>1912.6</v>
          </cell>
          <cell r="F1037">
            <v>1916.45</v>
          </cell>
        </row>
        <row r="1038">
          <cell r="B1038">
            <v>38036</v>
          </cell>
          <cell r="C1038">
            <v>1916.65</v>
          </cell>
          <cell r="D1038">
            <v>1919.7</v>
          </cell>
          <cell r="E1038">
            <v>1851.8</v>
          </cell>
          <cell r="F1038">
            <v>1858.3</v>
          </cell>
        </row>
        <row r="1039">
          <cell r="B1039">
            <v>38037</v>
          </cell>
          <cell r="C1039">
            <v>1858.25</v>
          </cell>
          <cell r="D1039">
            <v>1872.85</v>
          </cell>
          <cell r="E1039">
            <v>1831.15</v>
          </cell>
          <cell r="F1039">
            <v>1852.65</v>
          </cell>
        </row>
        <row r="1040">
          <cell r="B1040">
            <v>38040</v>
          </cell>
          <cell r="C1040">
            <v>1853</v>
          </cell>
          <cell r="D1040">
            <v>1867.25</v>
          </cell>
          <cell r="E1040">
            <v>1800.2</v>
          </cell>
          <cell r="F1040">
            <v>1808.2</v>
          </cell>
        </row>
        <row r="1041">
          <cell r="B1041">
            <v>38041</v>
          </cell>
          <cell r="C1041">
            <v>1808.4</v>
          </cell>
          <cell r="D1041">
            <v>1826.85</v>
          </cell>
          <cell r="E1041">
            <v>1780.35</v>
          </cell>
          <cell r="F1041">
            <v>1821.35</v>
          </cell>
        </row>
        <row r="1042">
          <cell r="B1042">
            <v>38042</v>
          </cell>
          <cell r="C1042">
            <v>1833.65</v>
          </cell>
          <cell r="D1042">
            <v>1834.1</v>
          </cell>
          <cell r="E1042">
            <v>1779</v>
          </cell>
          <cell r="F1042">
            <v>1786.8</v>
          </cell>
        </row>
        <row r="1043">
          <cell r="B1043">
            <v>38043</v>
          </cell>
          <cell r="C1043">
            <v>1787.45</v>
          </cell>
          <cell r="D1043">
            <v>1818.6</v>
          </cell>
          <cell r="E1043">
            <v>1760.55</v>
          </cell>
          <cell r="F1043">
            <v>1765.8</v>
          </cell>
        </row>
        <row r="1044">
          <cell r="B1044">
            <v>38044</v>
          </cell>
          <cell r="C1044">
            <v>1765.9</v>
          </cell>
          <cell r="D1044">
            <v>1807.45</v>
          </cell>
          <cell r="E1044">
            <v>1763.95</v>
          </cell>
          <cell r="F1044">
            <v>1800.3</v>
          </cell>
        </row>
        <row r="1045">
          <cell r="B1045">
            <v>38047</v>
          </cell>
          <cell r="C1045">
            <v>1798.35</v>
          </cell>
          <cell r="D1045">
            <v>1856.45</v>
          </cell>
          <cell r="E1045">
            <v>1795.35</v>
          </cell>
          <cell r="F1045">
            <v>1852.7</v>
          </cell>
        </row>
        <row r="1046">
          <cell r="B1046">
            <v>38049</v>
          </cell>
          <cell r="C1046">
            <v>1852.45</v>
          </cell>
          <cell r="D1046">
            <v>1868.25</v>
          </cell>
          <cell r="E1046">
            <v>1842.45</v>
          </cell>
          <cell r="F1046">
            <v>1860.4</v>
          </cell>
        </row>
        <row r="1047">
          <cell r="B1047">
            <v>38050</v>
          </cell>
          <cell r="C1047">
            <v>1859.3</v>
          </cell>
          <cell r="D1047">
            <v>1867.95</v>
          </cell>
          <cell r="E1047">
            <v>1831.2</v>
          </cell>
          <cell r="F1047">
            <v>1843.85</v>
          </cell>
        </row>
        <row r="1048">
          <cell r="B1048">
            <v>38051</v>
          </cell>
          <cell r="C1048">
            <v>1843.9</v>
          </cell>
          <cell r="D1048">
            <v>1871.1</v>
          </cell>
          <cell r="E1048">
            <v>1843.9</v>
          </cell>
          <cell r="F1048">
            <v>1867.7</v>
          </cell>
        </row>
        <row r="1049">
          <cell r="B1049">
            <v>38054</v>
          </cell>
          <cell r="C1049">
            <v>1868.15</v>
          </cell>
          <cell r="D1049">
            <v>1891.95</v>
          </cell>
          <cell r="E1049">
            <v>1867.95</v>
          </cell>
          <cell r="F1049">
            <v>1885.25</v>
          </cell>
        </row>
        <row r="1050">
          <cell r="B1050">
            <v>38055</v>
          </cell>
          <cell r="C1050">
            <v>1884.5</v>
          </cell>
          <cell r="D1050">
            <v>1898.7</v>
          </cell>
          <cell r="E1050">
            <v>1843</v>
          </cell>
          <cell r="F1050">
            <v>1866.05</v>
          </cell>
        </row>
        <row r="1051">
          <cell r="B1051">
            <v>38056</v>
          </cell>
          <cell r="C1051">
            <v>1866.3</v>
          </cell>
          <cell r="D1051">
            <v>1866.4</v>
          </cell>
          <cell r="E1051">
            <v>1835.8</v>
          </cell>
          <cell r="F1051">
            <v>1844.35</v>
          </cell>
        </row>
        <row r="1052">
          <cell r="B1052">
            <v>38057</v>
          </cell>
          <cell r="C1052">
            <v>1843.95</v>
          </cell>
          <cell r="D1052">
            <v>1843.95</v>
          </cell>
          <cell r="E1052">
            <v>1798.45</v>
          </cell>
          <cell r="F1052">
            <v>1805.4</v>
          </cell>
        </row>
        <row r="1053">
          <cell r="B1053">
            <v>38058</v>
          </cell>
          <cell r="C1053">
            <v>1805.2</v>
          </cell>
          <cell r="D1053">
            <v>1820.95</v>
          </cell>
          <cell r="E1053">
            <v>1775.9</v>
          </cell>
          <cell r="F1053">
            <v>1812.2</v>
          </cell>
        </row>
        <row r="1054">
          <cell r="B1054">
            <v>38061</v>
          </cell>
          <cell r="C1054">
            <v>1812.45</v>
          </cell>
          <cell r="D1054">
            <v>1836</v>
          </cell>
          <cell r="E1054">
            <v>1751.8</v>
          </cell>
          <cell r="F1054">
            <v>1763.4</v>
          </cell>
        </row>
        <row r="1055">
          <cell r="B1055">
            <v>38062</v>
          </cell>
          <cell r="C1055">
            <v>1763.35</v>
          </cell>
          <cell r="D1055">
            <v>1769.5</v>
          </cell>
          <cell r="E1055">
            <v>1730.1</v>
          </cell>
          <cell r="F1055">
            <v>1749.35</v>
          </cell>
        </row>
        <row r="1056">
          <cell r="B1056">
            <v>38063</v>
          </cell>
          <cell r="C1056">
            <v>1749.6</v>
          </cell>
          <cell r="D1056">
            <v>1765.05</v>
          </cell>
          <cell r="E1056">
            <v>1738.85</v>
          </cell>
          <cell r="F1056">
            <v>1749.85</v>
          </cell>
        </row>
        <row r="1057">
          <cell r="B1057">
            <v>38064</v>
          </cell>
          <cell r="C1057">
            <v>1750</v>
          </cell>
          <cell r="D1057">
            <v>1754.95</v>
          </cell>
          <cell r="E1057">
            <v>1708.3</v>
          </cell>
          <cell r="F1057">
            <v>1716.65</v>
          </cell>
        </row>
        <row r="1058">
          <cell r="B1058">
            <v>38065</v>
          </cell>
          <cell r="C1058">
            <v>1716.3</v>
          </cell>
          <cell r="D1058">
            <v>1738.6</v>
          </cell>
          <cell r="E1058">
            <v>1703.55</v>
          </cell>
          <cell r="F1058">
            <v>1725.1</v>
          </cell>
        </row>
        <row r="1059">
          <cell r="B1059">
            <v>38068</v>
          </cell>
          <cell r="C1059">
            <v>1726.3</v>
          </cell>
          <cell r="D1059">
            <v>1726.35</v>
          </cell>
          <cell r="E1059">
            <v>1678.4</v>
          </cell>
          <cell r="F1059">
            <v>1685</v>
          </cell>
        </row>
        <row r="1060">
          <cell r="B1060">
            <v>38069</v>
          </cell>
          <cell r="C1060">
            <v>1685.15</v>
          </cell>
          <cell r="D1060">
            <v>1710.45</v>
          </cell>
          <cell r="E1060">
            <v>1669.7</v>
          </cell>
          <cell r="F1060">
            <v>1696.4</v>
          </cell>
        </row>
        <row r="1061">
          <cell r="B1061">
            <v>38070</v>
          </cell>
          <cell r="C1061">
            <v>1697.4</v>
          </cell>
          <cell r="D1061">
            <v>1700.65</v>
          </cell>
          <cell r="E1061">
            <v>1676.4</v>
          </cell>
          <cell r="F1061">
            <v>1692.1</v>
          </cell>
        </row>
        <row r="1062">
          <cell r="B1062">
            <v>38071</v>
          </cell>
          <cell r="C1062">
            <v>1691.95</v>
          </cell>
          <cell r="D1062">
            <v>1720.65</v>
          </cell>
          <cell r="E1062">
            <v>1691.95</v>
          </cell>
          <cell r="F1062">
            <v>1704.45</v>
          </cell>
        </row>
        <row r="1063">
          <cell r="B1063">
            <v>38072</v>
          </cell>
          <cell r="C1063">
            <v>1704.45</v>
          </cell>
          <cell r="D1063">
            <v>1755.45</v>
          </cell>
          <cell r="E1063">
            <v>1703.8</v>
          </cell>
          <cell r="F1063">
            <v>1747.5</v>
          </cell>
        </row>
        <row r="1064">
          <cell r="B1064">
            <v>38075</v>
          </cell>
          <cell r="C1064">
            <v>1747.35</v>
          </cell>
          <cell r="D1064">
            <v>1766.15</v>
          </cell>
          <cell r="E1064">
            <v>1739.5</v>
          </cell>
          <cell r="F1064">
            <v>1762.05</v>
          </cell>
        </row>
        <row r="1065">
          <cell r="B1065">
            <v>38076</v>
          </cell>
          <cell r="C1065">
            <v>1762.15</v>
          </cell>
          <cell r="D1065">
            <v>1775.4</v>
          </cell>
          <cell r="E1065">
            <v>1746.25</v>
          </cell>
          <cell r="F1065">
            <v>1750.15</v>
          </cell>
        </row>
        <row r="1066">
          <cell r="B1066">
            <v>38077</v>
          </cell>
          <cell r="C1066">
            <v>1744.6</v>
          </cell>
          <cell r="D1066">
            <v>1775.3</v>
          </cell>
          <cell r="E1066">
            <v>1740.2</v>
          </cell>
          <cell r="F1066">
            <v>1771.9</v>
          </cell>
        </row>
        <row r="1067">
          <cell r="B1067">
            <v>38078</v>
          </cell>
          <cell r="C1067">
            <v>1771.45</v>
          </cell>
          <cell r="D1067">
            <v>1823.05</v>
          </cell>
          <cell r="E1067">
            <v>1771.45</v>
          </cell>
          <cell r="F1067">
            <v>1819.65</v>
          </cell>
        </row>
        <row r="1068">
          <cell r="B1068">
            <v>38079</v>
          </cell>
          <cell r="C1068">
            <v>1856.1</v>
          </cell>
          <cell r="D1068">
            <v>1856.3</v>
          </cell>
          <cell r="E1068">
            <v>1809</v>
          </cell>
          <cell r="F1068">
            <v>1841.1</v>
          </cell>
        </row>
        <row r="1069">
          <cell r="B1069">
            <v>38082</v>
          </cell>
          <cell r="C1069">
            <v>1841.1</v>
          </cell>
          <cell r="D1069">
            <v>1878.8</v>
          </cell>
          <cell r="E1069">
            <v>1840</v>
          </cell>
          <cell r="F1069">
            <v>1856.6</v>
          </cell>
        </row>
        <row r="1070">
          <cell r="B1070">
            <v>38083</v>
          </cell>
          <cell r="C1070">
            <v>1870.8</v>
          </cell>
          <cell r="D1070">
            <v>1876.15</v>
          </cell>
          <cell r="E1070">
            <v>1836.9</v>
          </cell>
          <cell r="F1070">
            <v>1851.15</v>
          </cell>
        </row>
        <row r="1071">
          <cell r="B1071">
            <v>38084</v>
          </cell>
          <cell r="C1071">
            <v>1856.4</v>
          </cell>
          <cell r="D1071">
            <v>1865.2</v>
          </cell>
          <cell r="E1071">
            <v>1833.95</v>
          </cell>
          <cell r="F1071">
            <v>1848.7</v>
          </cell>
        </row>
        <row r="1072">
          <cell r="B1072">
            <v>38085</v>
          </cell>
          <cell r="C1072">
            <v>1854</v>
          </cell>
          <cell r="D1072">
            <v>1864.95</v>
          </cell>
          <cell r="E1072">
            <v>1839.7</v>
          </cell>
          <cell r="F1072">
            <v>1853.55</v>
          </cell>
        </row>
        <row r="1073">
          <cell r="B1073">
            <v>38089</v>
          </cell>
          <cell r="C1073">
            <v>1860.3</v>
          </cell>
          <cell r="D1073">
            <v>1873.75</v>
          </cell>
          <cell r="E1073">
            <v>1828.95</v>
          </cell>
          <cell r="F1073">
            <v>1838.2</v>
          </cell>
        </row>
        <row r="1074">
          <cell r="B1074">
            <v>38090</v>
          </cell>
          <cell r="C1074">
            <v>1838.5</v>
          </cell>
          <cell r="D1074">
            <v>1885.15</v>
          </cell>
          <cell r="E1074">
            <v>1819.8</v>
          </cell>
          <cell r="F1074">
            <v>1878.45</v>
          </cell>
        </row>
        <row r="1075">
          <cell r="B1075">
            <v>38092</v>
          </cell>
          <cell r="C1075">
            <v>1878.5</v>
          </cell>
          <cell r="D1075">
            <v>1884.5</v>
          </cell>
          <cell r="E1075">
            <v>1855</v>
          </cell>
          <cell r="F1075">
            <v>1861.95</v>
          </cell>
        </row>
        <row r="1076">
          <cell r="B1076">
            <v>38093</v>
          </cell>
          <cell r="C1076">
            <v>1863.85</v>
          </cell>
          <cell r="D1076">
            <v>1882.55</v>
          </cell>
          <cell r="E1076">
            <v>1861.8</v>
          </cell>
          <cell r="F1076">
            <v>1868.95</v>
          </cell>
        </row>
        <row r="1077">
          <cell r="B1077">
            <v>38094</v>
          </cell>
          <cell r="C1077">
            <v>1869.2</v>
          </cell>
          <cell r="D1077">
            <v>1875.95</v>
          </cell>
          <cell r="E1077">
            <v>1864.95</v>
          </cell>
          <cell r="F1077">
            <v>1868.1</v>
          </cell>
        </row>
        <row r="1078">
          <cell r="B1078">
            <v>38096</v>
          </cell>
          <cell r="C1078">
            <v>1868.2</v>
          </cell>
          <cell r="D1078">
            <v>1876.2</v>
          </cell>
          <cell r="E1078">
            <v>1837.4</v>
          </cell>
          <cell r="F1078">
            <v>1844.05</v>
          </cell>
        </row>
        <row r="1079">
          <cell r="B1079">
            <v>38097</v>
          </cell>
          <cell r="C1079">
            <v>1844.4</v>
          </cell>
          <cell r="D1079">
            <v>1851</v>
          </cell>
          <cell r="E1079">
            <v>1832</v>
          </cell>
          <cell r="F1079">
            <v>1844.25</v>
          </cell>
        </row>
        <row r="1080">
          <cell r="B1080">
            <v>38098</v>
          </cell>
          <cell r="C1080">
            <v>1844.35</v>
          </cell>
          <cell r="D1080">
            <v>1876</v>
          </cell>
          <cell r="E1080">
            <v>1838.6</v>
          </cell>
          <cell r="F1080">
            <v>1873.35</v>
          </cell>
        </row>
        <row r="1081">
          <cell r="B1081">
            <v>38099</v>
          </cell>
          <cell r="C1081">
            <v>1873.55</v>
          </cell>
          <cell r="D1081">
            <v>1894.6</v>
          </cell>
          <cell r="E1081">
            <v>1871</v>
          </cell>
          <cell r="F1081">
            <v>1889.55</v>
          </cell>
        </row>
        <row r="1082">
          <cell r="B1082">
            <v>38100</v>
          </cell>
          <cell r="C1082">
            <v>1890.85</v>
          </cell>
          <cell r="D1082">
            <v>1912.35</v>
          </cell>
          <cell r="E1082">
            <v>1885.75</v>
          </cell>
          <cell r="F1082">
            <v>1892.45</v>
          </cell>
        </row>
        <row r="1083">
          <cell r="B1083">
            <v>38104</v>
          </cell>
          <cell r="C1083">
            <v>1890.05</v>
          </cell>
          <cell r="D1083">
            <v>1893.1</v>
          </cell>
          <cell r="E1083">
            <v>1814</v>
          </cell>
          <cell r="F1083">
            <v>1817.25</v>
          </cell>
        </row>
        <row r="1084">
          <cell r="B1084">
            <v>38105</v>
          </cell>
          <cell r="C1084">
            <v>1819</v>
          </cell>
          <cell r="D1084">
            <v>1833.95</v>
          </cell>
          <cell r="E1084">
            <v>1801.8</v>
          </cell>
          <cell r="F1084">
            <v>1816.55</v>
          </cell>
        </row>
        <row r="1085">
          <cell r="B1085">
            <v>38106</v>
          </cell>
          <cell r="C1085">
            <v>1816.7</v>
          </cell>
          <cell r="D1085">
            <v>1818.9</v>
          </cell>
          <cell r="E1085">
            <v>1793.1</v>
          </cell>
          <cell r="F1085">
            <v>1808.95</v>
          </cell>
        </row>
        <row r="1086">
          <cell r="B1086">
            <v>38107</v>
          </cell>
          <cell r="C1086">
            <v>1820.55</v>
          </cell>
          <cell r="D1086">
            <v>1841.45</v>
          </cell>
          <cell r="E1086">
            <v>1788.3</v>
          </cell>
          <cell r="F1086">
            <v>1796.1</v>
          </cell>
        </row>
        <row r="1087">
          <cell r="B1087">
            <v>38110</v>
          </cell>
          <cell r="C1087">
            <v>1796.1</v>
          </cell>
          <cell r="D1087">
            <v>1801.45</v>
          </cell>
          <cell r="E1087">
            <v>1742.8</v>
          </cell>
          <cell r="F1087">
            <v>1766.7</v>
          </cell>
        </row>
        <row r="1088">
          <cell r="B1088">
            <v>38111</v>
          </cell>
          <cell r="C1088">
            <v>1769.1</v>
          </cell>
          <cell r="D1088">
            <v>1803.15</v>
          </cell>
          <cell r="E1088">
            <v>1768.8</v>
          </cell>
          <cell r="F1088">
            <v>1793.1</v>
          </cell>
        </row>
        <row r="1089">
          <cell r="B1089">
            <v>38112</v>
          </cell>
          <cell r="C1089">
            <v>1789.45</v>
          </cell>
          <cell r="D1089">
            <v>1814.35</v>
          </cell>
          <cell r="E1089">
            <v>1788.1</v>
          </cell>
          <cell r="F1089">
            <v>1809.9</v>
          </cell>
        </row>
        <row r="1090">
          <cell r="B1090">
            <v>38113</v>
          </cell>
          <cell r="C1090">
            <v>1810.3</v>
          </cell>
          <cell r="D1090">
            <v>1837.95</v>
          </cell>
          <cell r="E1090">
            <v>1810.3</v>
          </cell>
          <cell r="F1090">
            <v>1832.8</v>
          </cell>
        </row>
        <row r="1091">
          <cell r="B1091">
            <v>38114</v>
          </cell>
          <cell r="C1091">
            <v>1832.85</v>
          </cell>
          <cell r="D1091">
            <v>1833.15</v>
          </cell>
          <cell r="E1091">
            <v>1796.95</v>
          </cell>
          <cell r="F1091">
            <v>1804.45</v>
          </cell>
        </row>
        <row r="1092">
          <cell r="B1092">
            <v>38117</v>
          </cell>
          <cell r="C1092">
            <v>1804.4</v>
          </cell>
          <cell r="D1092">
            <v>1804.4</v>
          </cell>
          <cell r="E1092">
            <v>1753.8</v>
          </cell>
          <cell r="F1092">
            <v>1769.1</v>
          </cell>
        </row>
        <row r="1093">
          <cell r="B1093">
            <v>38118</v>
          </cell>
          <cell r="C1093">
            <v>1768.7</v>
          </cell>
          <cell r="D1093">
            <v>1768.7</v>
          </cell>
          <cell r="E1093">
            <v>1692.9</v>
          </cell>
          <cell r="F1093">
            <v>1699.45</v>
          </cell>
        </row>
        <row r="1094">
          <cell r="B1094">
            <v>38119</v>
          </cell>
          <cell r="C1094">
            <v>1699.25</v>
          </cell>
          <cell r="D1094">
            <v>1721.35</v>
          </cell>
          <cell r="E1094">
            <v>1689.85</v>
          </cell>
          <cell r="F1094">
            <v>1711.1</v>
          </cell>
        </row>
        <row r="1095">
          <cell r="B1095">
            <v>38120</v>
          </cell>
          <cell r="C1095">
            <v>1707.95</v>
          </cell>
          <cell r="D1095">
            <v>1750.3</v>
          </cell>
          <cell r="E1095">
            <v>1625.1</v>
          </cell>
          <cell r="F1095">
            <v>1717.5</v>
          </cell>
        </row>
        <row r="1096">
          <cell r="B1096">
            <v>38121</v>
          </cell>
          <cell r="C1096">
            <v>1717.05</v>
          </cell>
          <cell r="D1096">
            <v>1722.8</v>
          </cell>
          <cell r="E1096">
            <v>1566.95</v>
          </cell>
          <cell r="F1096">
            <v>1582.4</v>
          </cell>
        </row>
        <row r="1097">
          <cell r="B1097">
            <v>38124</v>
          </cell>
          <cell r="C1097">
            <v>1582.5</v>
          </cell>
          <cell r="D1097">
            <v>1583.8</v>
          </cell>
          <cell r="E1097">
            <v>1292.2</v>
          </cell>
          <cell r="F1097">
            <v>1388.75</v>
          </cell>
        </row>
        <row r="1098">
          <cell r="B1098">
            <v>38125</v>
          </cell>
          <cell r="C1098">
            <v>1392.95</v>
          </cell>
          <cell r="D1098">
            <v>1517.6</v>
          </cell>
          <cell r="E1098">
            <v>1389.65</v>
          </cell>
          <cell r="F1098">
            <v>1503.95</v>
          </cell>
        </row>
        <row r="1099">
          <cell r="B1099">
            <v>38126</v>
          </cell>
          <cell r="C1099">
            <v>1508.05</v>
          </cell>
          <cell r="D1099">
            <v>1576.05</v>
          </cell>
          <cell r="E1099">
            <v>1508.05</v>
          </cell>
          <cell r="F1099">
            <v>1567.85</v>
          </cell>
        </row>
        <row r="1100">
          <cell r="B1100">
            <v>38127</v>
          </cell>
          <cell r="C1100">
            <v>1566.5</v>
          </cell>
          <cell r="D1100">
            <v>1591.05</v>
          </cell>
          <cell r="E1100">
            <v>1531.3</v>
          </cell>
          <cell r="F1100">
            <v>1543.85</v>
          </cell>
        </row>
        <row r="1101">
          <cell r="B1101">
            <v>38128</v>
          </cell>
          <cell r="C1101">
            <v>1545.05</v>
          </cell>
          <cell r="D1101">
            <v>1566.15</v>
          </cell>
          <cell r="E1101">
            <v>1498.1</v>
          </cell>
          <cell r="F1101">
            <v>1560.2</v>
          </cell>
        </row>
        <row r="1102">
          <cell r="B1102">
            <v>38131</v>
          </cell>
          <cell r="C1102">
            <v>1563.65</v>
          </cell>
          <cell r="D1102">
            <v>1613.6</v>
          </cell>
          <cell r="E1102">
            <v>1563.05</v>
          </cell>
          <cell r="F1102">
            <v>1608.85</v>
          </cell>
        </row>
        <row r="1103">
          <cell r="B1103">
            <v>38132</v>
          </cell>
          <cell r="C1103">
            <v>1608.9</v>
          </cell>
          <cell r="D1103">
            <v>1621.45</v>
          </cell>
          <cell r="E1103">
            <v>1566.4</v>
          </cell>
          <cell r="F1103">
            <v>1606.7</v>
          </cell>
        </row>
        <row r="1104">
          <cell r="B1104">
            <v>38133</v>
          </cell>
          <cell r="C1104">
            <v>1608.15</v>
          </cell>
          <cell r="D1104">
            <v>1625.7</v>
          </cell>
          <cell r="E1104">
            <v>1587</v>
          </cell>
          <cell r="F1104">
            <v>1598.8</v>
          </cell>
        </row>
        <row r="1105">
          <cell r="B1105">
            <v>38134</v>
          </cell>
          <cell r="C1105">
            <v>1590.15</v>
          </cell>
          <cell r="D1105">
            <v>1606</v>
          </cell>
          <cell r="E1105">
            <v>1576.05</v>
          </cell>
          <cell r="F1105">
            <v>1586.4</v>
          </cell>
        </row>
        <row r="1106">
          <cell r="B1106">
            <v>38135</v>
          </cell>
          <cell r="C1106">
            <v>1586.35</v>
          </cell>
          <cell r="D1106">
            <v>1587.1</v>
          </cell>
          <cell r="E1106">
            <v>1504</v>
          </cell>
          <cell r="F1106">
            <v>1508.75</v>
          </cell>
        </row>
        <row r="1107">
          <cell r="B1107">
            <v>38138</v>
          </cell>
          <cell r="C1107">
            <v>1507.05</v>
          </cell>
          <cell r="D1107">
            <v>1509.05</v>
          </cell>
          <cell r="E1107">
            <v>1456.2</v>
          </cell>
          <cell r="F1107">
            <v>1483.6</v>
          </cell>
        </row>
        <row r="1108">
          <cell r="B1108">
            <v>38139</v>
          </cell>
          <cell r="C1108">
            <v>1483.9</v>
          </cell>
          <cell r="D1108">
            <v>1529.6</v>
          </cell>
          <cell r="E1108">
            <v>1483.9</v>
          </cell>
          <cell r="F1108">
            <v>1507.9</v>
          </cell>
        </row>
        <row r="1109">
          <cell r="B1109">
            <v>38140</v>
          </cell>
          <cell r="C1109">
            <v>1508</v>
          </cell>
          <cell r="D1109">
            <v>1543.3</v>
          </cell>
          <cell r="E1109">
            <v>1508</v>
          </cell>
          <cell r="F1109">
            <v>1535.2</v>
          </cell>
        </row>
        <row r="1110">
          <cell r="B1110">
            <v>38141</v>
          </cell>
          <cell r="C1110">
            <v>1535.8</v>
          </cell>
          <cell r="D1110">
            <v>1566.5</v>
          </cell>
          <cell r="E1110">
            <v>1484.5</v>
          </cell>
          <cell r="F1110">
            <v>1495.1</v>
          </cell>
        </row>
        <row r="1111">
          <cell r="B1111">
            <v>38142</v>
          </cell>
          <cell r="C1111">
            <v>1494.85</v>
          </cell>
          <cell r="D1111">
            <v>1527</v>
          </cell>
          <cell r="E1111">
            <v>1480.8</v>
          </cell>
          <cell r="F1111">
            <v>1521.1</v>
          </cell>
        </row>
        <row r="1112">
          <cell r="B1112">
            <v>38145</v>
          </cell>
          <cell r="C1112">
            <v>1521.6</v>
          </cell>
          <cell r="D1112">
            <v>1557.5</v>
          </cell>
          <cell r="E1112">
            <v>1521.6</v>
          </cell>
          <cell r="F1112">
            <v>1542.55</v>
          </cell>
        </row>
        <row r="1113">
          <cell r="B1113">
            <v>38146</v>
          </cell>
          <cell r="C1113">
            <v>1542.6</v>
          </cell>
          <cell r="D1113">
            <v>1557</v>
          </cell>
          <cell r="E1113">
            <v>1526.45</v>
          </cell>
          <cell r="F1113">
            <v>1550.55</v>
          </cell>
        </row>
        <row r="1114">
          <cell r="B1114">
            <v>38147</v>
          </cell>
          <cell r="C1114">
            <v>1550.45</v>
          </cell>
          <cell r="D1114">
            <v>1561.6</v>
          </cell>
          <cell r="E1114">
            <v>1541.6</v>
          </cell>
          <cell r="F1114">
            <v>1548.3</v>
          </cell>
        </row>
        <row r="1115">
          <cell r="B1115">
            <v>38148</v>
          </cell>
          <cell r="C1115">
            <v>1547.7</v>
          </cell>
          <cell r="D1115">
            <v>1552.75</v>
          </cell>
          <cell r="E1115">
            <v>1535</v>
          </cell>
          <cell r="F1115">
            <v>1544.75</v>
          </cell>
        </row>
        <row r="1116">
          <cell r="B1116">
            <v>38149</v>
          </cell>
          <cell r="C1116">
            <v>1544.95</v>
          </cell>
          <cell r="D1116">
            <v>1547.4</v>
          </cell>
          <cell r="E1116">
            <v>1504.8</v>
          </cell>
          <cell r="F1116">
            <v>1508.45</v>
          </cell>
        </row>
        <row r="1117">
          <cell r="B1117">
            <v>38152</v>
          </cell>
          <cell r="C1117">
            <v>1508.15</v>
          </cell>
          <cell r="D1117">
            <v>1509.6</v>
          </cell>
          <cell r="E1117">
            <v>1474.65</v>
          </cell>
          <cell r="F1117">
            <v>1481.35</v>
          </cell>
        </row>
        <row r="1118">
          <cell r="B1118">
            <v>38153</v>
          </cell>
          <cell r="C1118">
            <v>1481.45</v>
          </cell>
          <cell r="D1118">
            <v>1507.85</v>
          </cell>
          <cell r="E1118">
            <v>1481</v>
          </cell>
          <cell r="F1118">
            <v>1501</v>
          </cell>
        </row>
        <row r="1119">
          <cell r="B1119">
            <v>38154</v>
          </cell>
          <cell r="C1119">
            <v>1500.95</v>
          </cell>
          <cell r="D1119">
            <v>1525.2</v>
          </cell>
          <cell r="E1119">
            <v>1490.45</v>
          </cell>
          <cell r="F1119">
            <v>1494.75</v>
          </cell>
        </row>
        <row r="1120">
          <cell r="B1120">
            <v>38155</v>
          </cell>
          <cell r="C1120">
            <v>1494.7</v>
          </cell>
          <cell r="D1120">
            <v>1519.2</v>
          </cell>
          <cell r="E1120">
            <v>1482.2</v>
          </cell>
          <cell r="F1120">
            <v>1512.05</v>
          </cell>
        </row>
        <row r="1121">
          <cell r="B1121">
            <v>38156</v>
          </cell>
          <cell r="C1121">
            <v>1511.95</v>
          </cell>
          <cell r="D1121">
            <v>1515.05</v>
          </cell>
          <cell r="E1121">
            <v>1485.05</v>
          </cell>
          <cell r="F1121">
            <v>1491.2</v>
          </cell>
        </row>
        <row r="1122">
          <cell r="B1122">
            <v>38159</v>
          </cell>
          <cell r="C1122">
            <v>1490.75</v>
          </cell>
          <cell r="D1122">
            <v>1499.8</v>
          </cell>
          <cell r="E1122">
            <v>1478.85</v>
          </cell>
          <cell r="F1122">
            <v>1482</v>
          </cell>
        </row>
        <row r="1123">
          <cell r="B1123">
            <v>38160</v>
          </cell>
          <cell r="C1123">
            <v>1482.85</v>
          </cell>
          <cell r="D1123">
            <v>1489.6</v>
          </cell>
          <cell r="E1123">
            <v>1467.65</v>
          </cell>
          <cell r="F1123">
            <v>1474.7</v>
          </cell>
        </row>
        <row r="1124">
          <cell r="B1124">
            <v>38161</v>
          </cell>
          <cell r="C1124">
            <v>1474.8</v>
          </cell>
          <cell r="D1124">
            <v>1481.45</v>
          </cell>
          <cell r="E1124">
            <v>1442.55</v>
          </cell>
          <cell r="F1124">
            <v>1446.1</v>
          </cell>
        </row>
        <row r="1125">
          <cell r="B1125">
            <v>38162</v>
          </cell>
          <cell r="C1125">
            <v>1445.35</v>
          </cell>
          <cell r="D1125">
            <v>1474.3</v>
          </cell>
          <cell r="E1125">
            <v>1437.9</v>
          </cell>
          <cell r="F1125">
            <v>1470.75</v>
          </cell>
        </row>
        <row r="1126">
          <cell r="B1126">
            <v>38163</v>
          </cell>
          <cell r="C1126">
            <v>1471.5</v>
          </cell>
          <cell r="D1126">
            <v>1494</v>
          </cell>
          <cell r="E1126">
            <v>1459.55</v>
          </cell>
          <cell r="F1126">
            <v>1488.5</v>
          </cell>
        </row>
        <row r="1127">
          <cell r="B1127">
            <v>38166</v>
          </cell>
          <cell r="C1127">
            <v>1488.6</v>
          </cell>
          <cell r="D1127">
            <v>1516.95</v>
          </cell>
          <cell r="E1127">
            <v>1488.6</v>
          </cell>
          <cell r="F1127">
            <v>1514.35</v>
          </cell>
        </row>
        <row r="1128">
          <cell r="B1128">
            <v>38167</v>
          </cell>
          <cell r="C1128">
            <v>1514.35</v>
          </cell>
          <cell r="D1128">
            <v>1528.5</v>
          </cell>
          <cell r="E1128">
            <v>1503.3</v>
          </cell>
          <cell r="F1128">
            <v>1518.3</v>
          </cell>
        </row>
        <row r="1129">
          <cell r="B1129">
            <v>38168</v>
          </cell>
          <cell r="C1129">
            <v>1518.7</v>
          </cell>
          <cell r="D1129">
            <v>1532.15</v>
          </cell>
          <cell r="E1129">
            <v>1501.7</v>
          </cell>
          <cell r="F1129">
            <v>1505.6</v>
          </cell>
        </row>
        <row r="1130">
          <cell r="B1130">
            <v>38169</v>
          </cell>
          <cell r="C1130">
            <v>1506.65</v>
          </cell>
          <cell r="D1130">
            <v>1539.15</v>
          </cell>
          <cell r="E1130">
            <v>1504.55</v>
          </cell>
          <cell r="F1130">
            <v>1537.2</v>
          </cell>
        </row>
        <row r="1131">
          <cell r="B1131">
            <v>38170</v>
          </cell>
          <cell r="C1131">
            <v>1537.05</v>
          </cell>
          <cell r="D1131">
            <v>1547.65</v>
          </cell>
          <cell r="E1131">
            <v>1516.15</v>
          </cell>
          <cell r="F1131">
            <v>1537.5</v>
          </cell>
        </row>
        <row r="1132">
          <cell r="B1132">
            <v>38173</v>
          </cell>
          <cell r="C1132">
            <v>1537.55</v>
          </cell>
          <cell r="D1132">
            <v>1546</v>
          </cell>
          <cell r="E1132">
            <v>1522.9</v>
          </cell>
          <cell r="F1132">
            <v>1526.85</v>
          </cell>
        </row>
        <row r="1133">
          <cell r="B1133">
            <v>38174</v>
          </cell>
          <cell r="C1133">
            <v>1526.65</v>
          </cell>
          <cell r="D1133">
            <v>1561</v>
          </cell>
          <cell r="E1133">
            <v>1524.15</v>
          </cell>
          <cell r="F1133">
            <v>1558.25</v>
          </cell>
        </row>
        <row r="1134">
          <cell r="B1134">
            <v>38175</v>
          </cell>
          <cell r="C1134">
            <v>1558.05</v>
          </cell>
          <cell r="D1134">
            <v>1578.5</v>
          </cell>
          <cell r="E1134">
            <v>1551.35</v>
          </cell>
          <cell r="F1134">
            <v>1566.8</v>
          </cell>
        </row>
        <row r="1135">
          <cell r="B1135">
            <v>38176</v>
          </cell>
          <cell r="C1135">
            <v>1567.25</v>
          </cell>
          <cell r="D1135">
            <v>1586.55</v>
          </cell>
          <cell r="E1135">
            <v>1504.5</v>
          </cell>
          <cell r="F1135">
            <v>1518.15</v>
          </cell>
        </row>
        <row r="1136">
          <cell r="B1136">
            <v>38177</v>
          </cell>
          <cell r="C1136">
            <v>1517.45</v>
          </cell>
          <cell r="D1136">
            <v>1557.75</v>
          </cell>
          <cell r="E1136">
            <v>1472.55</v>
          </cell>
          <cell r="F1136">
            <v>1553.2</v>
          </cell>
        </row>
        <row r="1137">
          <cell r="B1137">
            <v>38180</v>
          </cell>
          <cell r="C1137">
            <v>1548.6</v>
          </cell>
          <cell r="D1137">
            <v>1562.8</v>
          </cell>
          <cell r="E1137">
            <v>1537.7</v>
          </cell>
          <cell r="F1137">
            <v>1556.95</v>
          </cell>
        </row>
        <row r="1138">
          <cell r="B1138">
            <v>38181</v>
          </cell>
          <cell r="C1138">
            <v>1560</v>
          </cell>
          <cell r="D1138">
            <v>1569.75</v>
          </cell>
          <cell r="E1138">
            <v>1530.6</v>
          </cell>
          <cell r="F1138">
            <v>1539.3</v>
          </cell>
        </row>
        <row r="1139">
          <cell r="B1139">
            <v>38182</v>
          </cell>
          <cell r="C1139">
            <v>1535.1</v>
          </cell>
          <cell r="D1139">
            <v>1552.25</v>
          </cell>
          <cell r="E1139">
            <v>1519.35</v>
          </cell>
          <cell r="F1139">
            <v>1522.75</v>
          </cell>
        </row>
        <row r="1140">
          <cell r="B1140">
            <v>38183</v>
          </cell>
          <cell r="C1140">
            <v>1523.1</v>
          </cell>
          <cell r="D1140">
            <v>1543.25</v>
          </cell>
          <cell r="E1140">
            <v>1517.8</v>
          </cell>
          <cell r="F1140">
            <v>1539.4</v>
          </cell>
        </row>
        <row r="1141">
          <cell r="B1141">
            <v>38184</v>
          </cell>
          <cell r="C1141">
            <v>1538.15</v>
          </cell>
          <cell r="D1141">
            <v>1562</v>
          </cell>
          <cell r="E1141">
            <v>1533.65</v>
          </cell>
          <cell r="F1141">
            <v>1558.8</v>
          </cell>
        </row>
        <row r="1142">
          <cell r="B1142">
            <v>38187</v>
          </cell>
          <cell r="C1142">
            <v>1559.2</v>
          </cell>
          <cell r="D1142">
            <v>1582.35</v>
          </cell>
          <cell r="E1142">
            <v>1556.55</v>
          </cell>
          <cell r="F1142">
            <v>1571.6</v>
          </cell>
        </row>
        <row r="1143">
          <cell r="B1143">
            <v>38188</v>
          </cell>
          <cell r="C1143">
            <v>1571.7</v>
          </cell>
          <cell r="D1143">
            <v>1581.05</v>
          </cell>
          <cell r="E1143">
            <v>1555.55</v>
          </cell>
          <cell r="F1143">
            <v>1566.1</v>
          </cell>
        </row>
        <row r="1144">
          <cell r="B1144">
            <v>38189</v>
          </cell>
          <cell r="C1144">
            <v>1566.15</v>
          </cell>
          <cell r="D1144">
            <v>1600.7</v>
          </cell>
          <cell r="E1144">
            <v>1562.9</v>
          </cell>
          <cell r="F1144">
            <v>1581.4</v>
          </cell>
        </row>
        <row r="1145">
          <cell r="B1145">
            <v>38190</v>
          </cell>
          <cell r="C1145">
            <v>1581.6</v>
          </cell>
          <cell r="D1145">
            <v>1609.55</v>
          </cell>
          <cell r="E1145">
            <v>1580.95</v>
          </cell>
          <cell r="F1145">
            <v>1598.1</v>
          </cell>
        </row>
        <row r="1146">
          <cell r="B1146">
            <v>38191</v>
          </cell>
          <cell r="C1146">
            <v>1587.6</v>
          </cell>
          <cell r="D1146">
            <v>1610.85</v>
          </cell>
          <cell r="E1146">
            <v>1587.6</v>
          </cell>
          <cell r="F1146">
            <v>1601.6</v>
          </cell>
        </row>
        <row r="1147">
          <cell r="B1147">
            <v>38194</v>
          </cell>
          <cell r="C1147">
            <v>1602.15</v>
          </cell>
          <cell r="D1147">
            <v>1620.35</v>
          </cell>
          <cell r="E1147">
            <v>1584.65</v>
          </cell>
          <cell r="F1147">
            <v>1618</v>
          </cell>
        </row>
        <row r="1148">
          <cell r="B1148">
            <v>38195</v>
          </cell>
          <cell r="C1148">
            <v>1617.95</v>
          </cell>
          <cell r="D1148">
            <v>1629.35</v>
          </cell>
          <cell r="E1148">
            <v>1597.2</v>
          </cell>
          <cell r="F1148">
            <v>1600.75</v>
          </cell>
        </row>
        <row r="1149">
          <cell r="B1149">
            <v>38196</v>
          </cell>
          <cell r="C1149">
            <v>1600.85</v>
          </cell>
          <cell r="D1149">
            <v>1609.45</v>
          </cell>
          <cell r="E1149">
            <v>1586.15</v>
          </cell>
          <cell r="F1149">
            <v>1594.15</v>
          </cell>
        </row>
        <row r="1150">
          <cell r="B1150">
            <v>38197</v>
          </cell>
          <cell r="C1150">
            <v>1594.7</v>
          </cell>
          <cell r="D1150">
            <v>1624.3</v>
          </cell>
          <cell r="E1150">
            <v>1590.15</v>
          </cell>
          <cell r="F1150">
            <v>1618.7</v>
          </cell>
        </row>
        <row r="1151">
          <cell r="B1151">
            <v>38198</v>
          </cell>
          <cell r="C1151">
            <v>1618.9</v>
          </cell>
          <cell r="D1151">
            <v>1638.7</v>
          </cell>
          <cell r="E1151">
            <v>1609.9</v>
          </cell>
          <cell r="F1151">
            <v>1632.3</v>
          </cell>
        </row>
        <row r="1152">
          <cell r="B1152">
            <v>38201</v>
          </cell>
          <cell r="C1152">
            <v>1631.55</v>
          </cell>
          <cell r="D1152">
            <v>1643.8</v>
          </cell>
          <cell r="E1152">
            <v>1627.25</v>
          </cell>
          <cell r="F1152">
            <v>1639.05</v>
          </cell>
        </row>
        <row r="1153">
          <cell r="B1153">
            <v>38202</v>
          </cell>
          <cell r="C1153">
            <v>1639.95</v>
          </cell>
          <cell r="D1153">
            <v>1648.35</v>
          </cell>
          <cell r="E1153">
            <v>1626.3</v>
          </cell>
          <cell r="F1153">
            <v>1630.6</v>
          </cell>
        </row>
        <row r="1154">
          <cell r="B1154">
            <v>38203</v>
          </cell>
          <cell r="C1154">
            <v>1631.3</v>
          </cell>
          <cell r="D1154">
            <v>1635.95</v>
          </cell>
          <cell r="E1154">
            <v>1618.2</v>
          </cell>
          <cell r="F1154">
            <v>1626.55</v>
          </cell>
        </row>
        <row r="1155">
          <cell r="B1155">
            <v>38204</v>
          </cell>
          <cell r="C1155">
            <v>1626.4</v>
          </cell>
          <cell r="D1155">
            <v>1656.25</v>
          </cell>
          <cell r="E1155">
            <v>1626.4</v>
          </cell>
          <cell r="F1155">
            <v>1654.95</v>
          </cell>
        </row>
        <row r="1156">
          <cell r="B1156">
            <v>38205</v>
          </cell>
          <cell r="C1156">
            <v>1654.85</v>
          </cell>
          <cell r="D1156">
            <v>1658.7</v>
          </cell>
          <cell r="E1156">
            <v>1626.7</v>
          </cell>
          <cell r="F1156">
            <v>1633.4</v>
          </cell>
        </row>
        <row r="1157">
          <cell r="B1157">
            <v>38208</v>
          </cell>
          <cell r="C1157">
            <v>1633.25</v>
          </cell>
          <cell r="D1157">
            <v>1644.4</v>
          </cell>
          <cell r="E1157">
            <v>1617.05</v>
          </cell>
          <cell r="F1157">
            <v>1642.6</v>
          </cell>
        </row>
        <row r="1158">
          <cell r="B1158">
            <v>38209</v>
          </cell>
          <cell r="C1158">
            <v>1642.75</v>
          </cell>
          <cell r="D1158">
            <v>1656.6</v>
          </cell>
          <cell r="E1158">
            <v>1637.7</v>
          </cell>
          <cell r="F1158">
            <v>1652.15</v>
          </cell>
        </row>
        <row r="1159">
          <cell r="B1159">
            <v>38210</v>
          </cell>
          <cell r="C1159">
            <v>1652.1</v>
          </cell>
          <cell r="D1159">
            <v>1658.9</v>
          </cell>
          <cell r="E1159">
            <v>1616.85</v>
          </cell>
          <cell r="F1159">
            <v>1621.6</v>
          </cell>
        </row>
        <row r="1160">
          <cell r="B1160">
            <v>38211</v>
          </cell>
          <cell r="C1160">
            <v>1624.3</v>
          </cell>
          <cell r="D1160">
            <v>1629.15</v>
          </cell>
          <cell r="E1160">
            <v>1599.5</v>
          </cell>
          <cell r="F1160">
            <v>1607.2</v>
          </cell>
        </row>
        <row r="1161">
          <cell r="B1161">
            <v>38212</v>
          </cell>
          <cell r="C1161">
            <v>1598.2</v>
          </cell>
          <cell r="D1161">
            <v>1612.7</v>
          </cell>
          <cell r="E1161">
            <v>1591.6</v>
          </cell>
          <cell r="F1161">
            <v>1598.2</v>
          </cell>
        </row>
        <row r="1162">
          <cell r="B1162">
            <v>38215</v>
          </cell>
          <cell r="C1162">
            <v>1597.5</v>
          </cell>
          <cell r="D1162">
            <v>1603.2</v>
          </cell>
          <cell r="E1162">
            <v>1582.35</v>
          </cell>
          <cell r="F1162">
            <v>1599.15</v>
          </cell>
        </row>
        <row r="1163">
          <cell r="B1163">
            <v>38216</v>
          </cell>
          <cell r="C1163">
            <v>1624</v>
          </cell>
          <cell r="D1163">
            <v>1628.45</v>
          </cell>
          <cell r="E1163">
            <v>1597.45</v>
          </cell>
          <cell r="F1163">
            <v>1604.35</v>
          </cell>
        </row>
        <row r="1164">
          <cell r="B1164">
            <v>38217</v>
          </cell>
          <cell r="C1164">
            <v>1604.15</v>
          </cell>
          <cell r="D1164">
            <v>1604.15</v>
          </cell>
          <cell r="E1164">
            <v>1577.25</v>
          </cell>
          <cell r="F1164">
            <v>1581.8</v>
          </cell>
        </row>
        <row r="1165">
          <cell r="B1165">
            <v>38218</v>
          </cell>
          <cell r="C1165">
            <v>1581.9</v>
          </cell>
          <cell r="D1165">
            <v>1612.5</v>
          </cell>
          <cell r="E1165">
            <v>1581.9</v>
          </cell>
          <cell r="F1165">
            <v>1609.2</v>
          </cell>
        </row>
        <row r="1166">
          <cell r="B1166">
            <v>38219</v>
          </cell>
          <cell r="C1166">
            <v>1609.2</v>
          </cell>
          <cell r="D1166">
            <v>1610.6</v>
          </cell>
          <cell r="E1166">
            <v>1584.05</v>
          </cell>
          <cell r="F1166">
            <v>1590.35</v>
          </cell>
        </row>
        <row r="1167">
          <cell r="B1167">
            <v>38222</v>
          </cell>
          <cell r="C1167">
            <v>1590.9</v>
          </cell>
          <cell r="D1167">
            <v>1595.55</v>
          </cell>
          <cell r="E1167">
            <v>1573.7</v>
          </cell>
          <cell r="F1167">
            <v>1578.2</v>
          </cell>
        </row>
        <row r="1168">
          <cell r="B1168">
            <v>38223</v>
          </cell>
          <cell r="C1168">
            <v>1578.2</v>
          </cell>
          <cell r="D1168">
            <v>1597.9</v>
          </cell>
          <cell r="E1168">
            <v>1578.05</v>
          </cell>
          <cell r="F1168">
            <v>1591.6</v>
          </cell>
        </row>
        <row r="1169">
          <cell r="B1169">
            <v>38224</v>
          </cell>
          <cell r="C1169">
            <v>1592.2</v>
          </cell>
          <cell r="D1169">
            <v>1598.55</v>
          </cell>
          <cell r="E1169">
            <v>1586.35</v>
          </cell>
          <cell r="F1169">
            <v>1595.7</v>
          </cell>
        </row>
        <row r="1170">
          <cell r="B1170">
            <v>38225</v>
          </cell>
          <cell r="C1170">
            <v>1595.75</v>
          </cell>
          <cell r="D1170">
            <v>1613.25</v>
          </cell>
          <cell r="E1170">
            <v>1593.45</v>
          </cell>
          <cell r="F1170">
            <v>1610.75</v>
          </cell>
        </row>
        <row r="1171">
          <cell r="B1171">
            <v>38226</v>
          </cell>
          <cell r="C1171">
            <v>1610.85</v>
          </cell>
          <cell r="D1171">
            <v>1617.25</v>
          </cell>
          <cell r="E1171">
            <v>1600.15</v>
          </cell>
          <cell r="F1171">
            <v>1609</v>
          </cell>
        </row>
        <row r="1172">
          <cell r="B1172">
            <v>38229</v>
          </cell>
          <cell r="C1172">
            <v>1609.45</v>
          </cell>
          <cell r="D1172">
            <v>1629.9</v>
          </cell>
          <cell r="E1172">
            <v>1609.2</v>
          </cell>
          <cell r="F1172">
            <v>1628.45</v>
          </cell>
        </row>
        <row r="1173">
          <cell r="B1173">
            <v>38230</v>
          </cell>
          <cell r="C1173">
            <v>1628.5</v>
          </cell>
          <cell r="D1173">
            <v>1634.8</v>
          </cell>
          <cell r="E1173">
            <v>1618.3</v>
          </cell>
          <cell r="F1173">
            <v>1631.75</v>
          </cell>
        </row>
        <row r="1174">
          <cell r="B1174">
            <v>38231</v>
          </cell>
          <cell r="C1174">
            <v>1631.7</v>
          </cell>
          <cell r="D1174">
            <v>1640.55</v>
          </cell>
          <cell r="E1174">
            <v>1631.1</v>
          </cell>
          <cell r="F1174">
            <v>1635.45</v>
          </cell>
        </row>
        <row r="1175">
          <cell r="B1175">
            <v>38232</v>
          </cell>
          <cell r="C1175">
            <v>1635.5</v>
          </cell>
          <cell r="D1175">
            <v>1641.25</v>
          </cell>
          <cell r="E1175">
            <v>1619.9</v>
          </cell>
          <cell r="F1175">
            <v>1629.3</v>
          </cell>
        </row>
        <row r="1176">
          <cell r="B1176">
            <v>38233</v>
          </cell>
          <cell r="C1176">
            <v>1629.65</v>
          </cell>
          <cell r="D1176">
            <v>1636.1</v>
          </cell>
          <cell r="E1176">
            <v>1622.1</v>
          </cell>
          <cell r="F1176">
            <v>1634.1</v>
          </cell>
        </row>
        <row r="1177">
          <cell r="B1177">
            <v>38236</v>
          </cell>
          <cell r="C1177">
            <v>1634.6</v>
          </cell>
          <cell r="D1177">
            <v>1649.15</v>
          </cell>
          <cell r="E1177">
            <v>1634.45</v>
          </cell>
          <cell r="F1177">
            <v>1644</v>
          </cell>
        </row>
        <row r="1178">
          <cell r="B1178">
            <v>38237</v>
          </cell>
          <cell r="C1178">
            <v>1643.95</v>
          </cell>
          <cell r="D1178">
            <v>1653.15</v>
          </cell>
          <cell r="E1178">
            <v>1641.8</v>
          </cell>
          <cell r="F1178">
            <v>1650.15</v>
          </cell>
        </row>
        <row r="1179">
          <cell r="B1179">
            <v>38238</v>
          </cell>
          <cell r="C1179">
            <v>1650.6</v>
          </cell>
          <cell r="D1179">
            <v>1658.85</v>
          </cell>
          <cell r="E1179">
            <v>1648.25</v>
          </cell>
          <cell r="F1179">
            <v>1656.25</v>
          </cell>
        </row>
        <row r="1180">
          <cell r="B1180">
            <v>38239</v>
          </cell>
          <cell r="C1180">
            <v>1656.25</v>
          </cell>
          <cell r="D1180">
            <v>1662.4</v>
          </cell>
          <cell r="E1180">
            <v>1640.25</v>
          </cell>
          <cell r="F1180">
            <v>1649</v>
          </cell>
        </row>
        <row r="1181">
          <cell r="B1181">
            <v>38240</v>
          </cell>
          <cell r="C1181">
            <v>1649.45</v>
          </cell>
          <cell r="D1181">
            <v>1670.95</v>
          </cell>
          <cell r="E1181">
            <v>1642.35</v>
          </cell>
          <cell r="F1181">
            <v>1668.75</v>
          </cell>
        </row>
        <row r="1182">
          <cell r="B1182">
            <v>38243</v>
          </cell>
          <cell r="C1182">
            <v>1668.25</v>
          </cell>
          <cell r="D1182">
            <v>1681.75</v>
          </cell>
          <cell r="E1182">
            <v>1668.05</v>
          </cell>
          <cell r="F1182">
            <v>1675.2</v>
          </cell>
        </row>
        <row r="1183">
          <cell r="B1183">
            <v>38244</v>
          </cell>
          <cell r="C1183">
            <v>1675.2</v>
          </cell>
          <cell r="D1183">
            <v>1686.8</v>
          </cell>
          <cell r="E1183">
            <v>1668.45</v>
          </cell>
          <cell r="F1183">
            <v>1685.55</v>
          </cell>
        </row>
        <row r="1184">
          <cell r="B1184">
            <v>38245</v>
          </cell>
          <cell r="C1184">
            <v>1685.7</v>
          </cell>
          <cell r="D1184">
            <v>1694.45</v>
          </cell>
          <cell r="E1184">
            <v>1675.85</v>
          </cell>
          <cell r="F1184">
            <v>1683.2</v>
          </cell>
        </row>
        <row r="1185">
          <cell r="B1185">
            <v>38246</v>
          </cell>
          <cell r="C1185">
            <v>1683.6</v>
          </cell>
          <cell r="D1185">
            <v>1708</v>
          </cell>
          <cell r="E1185">
            <v>1677.35</v>
          </cell>
          <cell r="F1185">
            <v>1705.7</v>
          </cell>
        </row>
        <row r="1186">
          <cell r="B1186">
            <v>38247</v>
          </cell>
          <cell r="C1186">
            <v>1702.7</v>
          </cell>
          <cell r="D1186">
            <v>1736.4</v>
          </cell>
          <cell r="E1186">
            <v>1702.7</v>
          </cell>
          <cell r="F1186">
            <v>1733.65</v>
          </cell>
        </row>
        <row r="1187">
          <cell r="B1187">
            <v>38250</v>
          </cell>
          <cell r="C1187">
            <v>1734.05</v>
          </cell>
          <cell r="D1187">
            <v>1741.55</v>
          </cell>
          <cell r="E1187">
            <v>1725.3</v>
          </cell>
          <cell r="F1187">
            <v>1728.8</v>
          </cell>
        </row>
        <row r="1188">
          <cell r="B1188">
            <v>38251</v>
          </cell>
          <cell r="C1188">
            <v>1728.75</v>
          </cell>
          <cell r="D1188">
            <v>1753</v>
          </cell>
          <cell r="E1188">
            <v>1724.7</v>
          </cell>
          <cell r="F1188">
            <v>1750.2</v>
          </cell>
        </row>
        <row r="1189">
          <cell r="B1189">
            <v>38252</v>
          </cell>
          <cell r="C1189">
            <v>1749.75</v>
          </cell>
          <cell r="D1189">
            <v>1760.8</v>
          </cell>
          <cell r="E1189">
            <v>1736.3</v>
          </cell>
          <cell r="F1189">
            <v>1753.9</v>
          </cell>
        </row>
        <row r="1190">
          <cell r="B1190">
            <v>38253</v>
          </cell>
          <cell r="C1190">
            <v>1753.1</v>
          </cell>
          <cell r="D1190">
            <v>1753.15</v>
          </cell>
          <cell r="E1190">
            <v>1723.4</v>
          </cell>
          <cell r="F1190">
            <v>1726.15</v>
          </cell>
        </row>
        <row r="1191">
          <cell r="B1191">
            <v>38254</v>
          </cell>
          <cell r="C1191">
            <v>1726.15</v>
          </cell>
          <cell r="D1191">
            <v>1736.9</v>
          </cell>
          <cell r="E1191">
            <v>1717.2</v>
          </cell>
          <cell r="F1191">
            <v>1722.5</v>
          </cell>
        </row>
        <row r="1192">
          <cell r="B1192">
            <v>38257</v>
          </cell>
          <cell r="C1192">
            <v>1722.4</v>
          </cell>
          <cell r="D1192">
            <v>1726.15</v>
          </cell>
          <cell r="E1192">
            <v>1707.95</v>
          </cell>
          <cell r="F1192">
            <v>1717.5</v>
          </cell>
        </row>
        <row r="1193">
          <cell r="B1193">
            <v>38258</v>
          </cell>
          <cell r="C1193">
            <v>1717.45</v>
          </cell>
          <cell r="D1193">
            <v>1717.9</v>
          </cell>
          <cell r="E1193">
            <v>1697.4</v>
          </cell>
          <cell r="F1193">
            <v>1700.25</v>
          </cell>
        </row>
        <row r="1194">
          <cell r="B1194">
            <v>38259</v>
          </cell>
          <cell r="C1194">
            <v>1700.55</v>
          </cell>
          <cell r="D1194">
            <v>1730.3</v>
          </cell>
          <cell r="E1194">
            <v>1695.7</v>
          </cell>
          <cell r="F1194">
            <v>1727.95</v>
          </cell>
        </row>
        <row r="1195">
          <cell r="B1195">
            <v>38260</v>
          </cell>
          <cell r="C1195">
            <v>1728.3</v>
          </cell>
          <cell r="D1195">
            <v>1748.2</v>
          </cell>
          <cell r="E1195">
            <v>1728.2</v>
          </cell>
          <cell r="F1195">
            <v>1745.5</v>
          </cell>
        </row>
        <row r="1196">
          <cell r="B1196">
            <v>38261</v>
          </cell>
          <cell r="C1196">
            <v>1744.4</v>
          </cell>
          <cell r="D1196">
            <v>1778.65</v>
          </cell>
          <cell r="E1196">
            <v>1737.85</v>
          </cell>
          <cell r="F1196">
            <v>1775.15</v>
          </cell>
        </row>
        <row r="1197">
          <cell r="B1197">
            <v>38264</v>
          </cell>
          <cell r="C1197">
            <v>1776.75</v>
          </cell>
          <cell r="D1197">
            <v>1813.9</v>
          </cell>
          <cell r="E1197">
            <v>1775.45</v>
          </cell>
          <cell r="F1197">
            <v>1805.65</v>
          </cell>
        </row>
        <row r="1198">
          <cell r="B1198">
            <v>38265</v>
          </cell>
          <cell r="C1198">
            <v>1805.85</v>
          </cell>
          <cell r="D1198">
            <v>1816.55</v>
          </cell>
          <cell r="E1198">
            <v>1798.6</v>
          </cell>
          <cell r="F1198">
            <v>1812.45</v>
          </cell>
        </row>
        <row r="1199">
          <cell r="B1199">
            <v>38266</v>
          </cell>
          <cell r="C1199">
            <v>1811.7</v>
          </cell>
          <cell r="D1199">
            <v>1824.8</v>
          </cell>
          <cell r="E1199">
            <v>1790.6</v>
          </cell>
          <cell r="F1199">
            <v>1794.9</v>
          </cell>
        </row>
        <row r="1200">
          <cell r="B1200">
            <v>38267</v>
          </cell>
          <cell r="C1200">
            <v>1793</v>
          </cell>
          <cell r="D1200">
            <v>1821.85</v>
          </cell>
          <cell r="E1200">
            <v>1793</v>
          </cell>
          <cell r="F1200">
            <v>1815.7</v>
          </cell>
        </row>
        <row r="1201">
          <cell r="B1201">
            <v>38268</v>
          </cell>
          <cell r="C1201">
            <v>1815.65</v>
          </cell>
          <cell r="D1201">
            <v>1825.15</v>
          </cell>
          <cell r="E1201">
            <v>1808.75</v>
          </cell>
          <cell r="F1201">
            <v>1820.2</v>
          </cell>
        </row>
        <row r="1202">
          <cell r="B1202">
            <v>38269</v>
          </cell>
          <cell r="C1202">
            <v>1812.85</v>
          </cell>
          <cell r="D1202">
            <v>1824.9</v>
          </cell>
          <cell r="E1202">
            <v>1812.8</v>
          </cell>
          <cell r="F1202">
            <v>1817.8</v>
          </cell>
        </row>
        <row r="1203">
          <cell r="B1203">
            <v>38271</v>
          </cell>
          <cell r="C1203">
            <v>1817.85</v>
          </cell>
          <cell r="D1203">
            <v>1829.45</v>
          </cell>
          <cell r="E1203">
            <v>1803.5</v>
          </cell>
          <cell r="F1203">
            <v>1807.75</v>
          </cell>
        </row>
        <row r="1204">
          <cell r="B1204">
            <v>38272</v>
          </cell>
          <cell r="C1204">
            <v>1808.45</v>
          </cell>
          <cell r="D1204">
            <v>1820.9</v>
          </cell>
          <cell r="E1204">
            <v>1783.05</v>
          </cell>
          <cell r="F1204">
            <v>1786.9</v>
          </cell>
        </row>
        <row r="1205">
          <cell r="B1205">
            <v>38274</v>
          </cell>
          <cell r="C1205">
            <v>1784.8</v>
          </cell>
          <cell r="D1205">
            <v>1805.7</v>
          </cell>
          <cell r="E1205">
            <v>1773</v>
          </cell>
          <cell r="F1205">
            <v>1794.75</v>
          </cell>
        </row>
        <row r="1206">
          <cell r="B1206">
            <v>38275</v>
          </cell>
          <cell r="C1206">
            <v>1794.8</v>
          </cell>
          <cell r="D1206">
            <v>1814.05</v>
          </cell>
          <cell r="E1206">
            <v>1789.55</v>
          </cell>
          <cell r="F1206">
            <v>1795</v>
          </cell>
        </row>
        <row r="1207">
          <cell r="B1207">
            <v>38278</v>
          </cell>
          <cell r="C1207">
            <v>1796.05</v>
          </cell>
          <cell r="D1207">
            <v>1806.15</v>
          </cell>
          <cell r="E1207">
            <v>1782.95</v>
          </cell>
          <cell r="F1207">
            <v>1786</v>
          </cell>
        </row>
        <row r="1208">
          <cell r="B1208">
            <v>38279</v>
          </cell>
          <cell r="C1208">
            <v>1787.2</v>
          </cell>
          <cell r="D1208">
            <v>1813.9</v>
          </cell>
          <cell r="E1208">
            <v>1787.2</v>
          </cell>
          <cell r="F1208">
            <v>1808.4</v>
          </cell>
        </row>
        <row r="1209">
          <cell r="B1209">
            <v>38280</v>
          </cell>
          <cell r="C1209">
            <v>1808.6</v>
          </cell>
          <cell r="D1209">
            <v>1815.2</v>
          </cell>
          <cell r="E1209">
            <v>1785.45</v>
          </cell>
          <cell r="F1209">
            <v>1790.05</v>
          </cell>
        </row>
        <row r="1210">
          <cell r="B1210">
            <v>38281</v>
          </cell>
          <cell r="C1210">
            <v>1790.35</v>
          </cell>
          <cell r="D1210">
            <v>1795.4</v>
          </cell>
          <cell r="E1210">
            <v>1772.4</v>
          </cell>
          <cell r="F1210">
            <v>1779.75</v>
          </cell>
        </row>
        <row r="1211">
          <cell r="B1211">
            <v>38285</v>
          </cell>
          <cell r="C1211">
            <v>1780</v>
          </cell>
          <cell r="D1211">
            <v>1783.55</v>
          </cell>
          <cell r="E1211">
            <v>1753.5</v>
          </cell>
          <cell r="F1211">
            <v>1757.25</v>
          </cell>
        </row>
        <row r="1212">
          <cell r="B1212">
            <v>38286</v>
          </cell>
          <cell r="C1212">
            <v>1777.85</v>
          </cell>
          <cell r="D1212">
            <v>1782.1</v>
          </cell>
          <cell r="E1212">
            <v>1750.3</v>
          </cell>
          <cell r="F1212">
            <v>1781.05</v>
          </cell>
        </row>
        <row r="1213">
          <cell r="B1213">
            <v>38287</v>
          </cell>
          <cell r="C1213">
            <v>1781.15</v>
          </cell>
          <cell r="D1213">
            <v>1797.55</v>
          </cell>
          <cell r="E1213">
            <v>1774.2</v>
          </cell>
          <cell r="F1213">
            <v>1783.85</v>
          </cell>
        </row>
        <row r="1214">
          <cell r="B1214">
            <v>38288</v>
          </cell>
          <cell r="C1214">
            <v>1783.9</v>
          </cell>
          <cell r="D1214">
            <v>1808.15</v>
          </cell>
          <cell r="E1214">
            <v>1783.9</v>
          </cell>
          <cell r="F1214">
            <v>1800.1</v>
          </cell>
        </row>
        <row r="1215">
          <cell r="B1215">
            <v>38289</v>
          </cell>
          <cell r="C1215">
            <v>1800.85</v>
          </cell>
          <cell r="D1215">
            <v>1808.85</v>
          </cell>
          <cell r="E1215">
            <v>1783.1</v>
          </cell>
          <cell r="F1215">
            <v>1786.9</v>
          </cell>
        </row>
        <row r="1216">
          <cell r="B1216">
            <v>38292</v>
          </cell>
          <cell r="C1216">
            <v>1787.3</v>
          </cell>
          <cell r="D1216">
            <v>1800.25</v>
          </cell>
          <cell r="E1216">
            <v>1776.7</v>
          </cell>
          <cell r="F1216">
            <v>1797.75</v>
          </cell>
        </row>
        <row r="1217">
          <cell r="B1217">
            <v>38293</v>
          </cell>
          <cell r="C1217">
            <v>1798.3</v>
          </cell>
          <cell r="D1217">
            <v>1817.1</v>
          </cell>
          <cell r="E1217">
            <v>1798.3</v>
          </cell>
          <cell r="F1217">
            <v>1813.7</v>
          </cell>
        </row>
        <row r="1218">
          <cell r="B1218">
            <v>38294</v>
          </cell>
          <cell r="C1218">
            <v>1814.15</v>
          </cell>
          <cell r="D1218">
            <v>1838.4</v>
          </cell>
          <cell r="E1218">
            <v>1814.15</v>
          </cell>
          <cell r="F1218">
            <v>1837.4</v>
          </cell>
        </row>
        <row r="1219">
          <cell r="B1219">
            <v>38295</v>
          </cell>
          <cell r="C1219">
            <v>1837.8</v>
          </cell>
          <cell r="D1219">
            <v>1853.05</v>
          </cell>
          <cell r="E1219">
            <v>1830.5</v>
          </cell>
          <cell r="F1219">
            <v>1834.85</v>
          </cell>
        </row>
        <row r="1220">
          <cell r="B1220">
            <v>38296</v>
          </cell>
          <cell r="C1220">
            <v>1836.05</v>
          </cell>
          <cell r="D1220">
            <v>1854.4</v>
          </cell>
          <cell r="E1220">
            <v>1836</v>
          </cell>
          <cell r="F1220">
            <v>1852.3</v>
          </cell>
        </row>
        <row r="1221">
          <cell r="B1221">
            <v>38299</v>
          </cell>
          <cell r="C1221">
            <v>1852.45</v>
          </cell>
          <cell r="D1221">
            <v>1871.05</v>
          </cell>
          <cell r="E1221">
            <v>1852.45</v>
          </cell>
          <cell r="F1221">
            <v>1862.8</v>
          </cell>
        </row>
        <row r="1222">
          <cell r="B1222">
            <v>38300</v>
          </cell>
          <cell r="C1222">
            <v>1863.55</v>
          </cell>
          <cell r="D1222">
            <v>1869.45</v>
          </cell>
          <cell r="E1222">
            <v>1853.45</v>
          </cell>
          <cell r="F1222">
            <v>1858.75</v>
          </cell>
        </row>
        <row r="1223">
          <cell r="B1223">
            <v>38301</v>
          </cell>
          <cell r="C1223">
            <v>1859.65</v>
          </cell>
          <cell r="D1223">
            <v>1878.2</v>
          </cell>
          <cell r="E1223">
            <v>1857.7</v>
          </cell>
          <cell r="F1223">
            <v>1876.1</v>
          </cell>
        </row>
        <row r="1224">
          <cell r="B1224">
            <v>38302</v>
          </cell>
          <cell r="C1224">
            <v>1876.45</v>
          </cell>
          <cell r="D1224">
            <v>1884.65</v>
          </cell>
          <cell r="E1224">
            <v>1866.95</v>
          </cell>
          <cell r="F1224">
            <v>1870.55</v>
          </cell>
        </row>
        <row r="1225">
          <cell r="B1225">
            <v>38303</v>
          </cell>
          <cell r="C1225">
            <v>1871.9</v>
          </cell>
          <cell r="D1225">
            <v>1885.05</v>
          </cell>
          <cell r="E1225">
            <v>1866.75</v>
          </cell>
          <cell r="F1225">
            <v>1872.95</v>
          </cell>
        </row>
        <row r="1226">
          <cell r="B1226">
            <v>38307</v>
          </cell>
          <cell r="C1226">
            <v>1872.8</v>
          </cell>
          <cell r="D1226">
            <v>1881.4</v>
          </cell>
          <cell r="E1226">
            <v>1862.8</v>
          </cell>
          <cell r="F1226">
            <v>1879</v>
          </cell>
        </row>
        <row r="1227">
          <cell r="B1227">
            <v>38308</v>
          </cell>
          <cell r="C1227">
            <v>1879.05</v>
          </cell>
          <cell r="D1227">
            <v>1892.15</v>
          </cell>
          <cell r="E1227">
            <v>1874.35</v>
          </cell>
          <cell r="F1227">
            <v>1888.65</v>
          </cell>
        </row>
        <row r="1228">
          <cell r="B1228">
            <v>38309</v>
          </cell>
          <cell r="C1228">
            <v>1890.45</v>
          </cell>
          <cell r="D1228">
            <v>1895.3</v>
          </cell>
          <cell r="E1228">
            <v>1880.8</v>
          </cell>
          <cell r="F1228">
            <v>1892.05</v>
          </cell>
        </row>
        <row r="1229">
          <cell r="B1229">
            <v>38310</v>
          </cell>
          <cell r="C1229">
            <v>1891.95</v>
          </cell>
          <cell r="D1229">
            <v>1898.15</v>
          </cell>
          <cell r="E1229">
            <v>1869.35</v>
          </cell>
          <cell r="F1229">
            <v>1872.35</v>
          </cell>
        </row>
        <row r="1230">
          <cell r="B1230">
            <v>38313</v>
          </cell>
          <cell r="C1230">
            <v>1872.55</v>
          </cell>
          <cell r="D1230">
            <v>1878.05</v>
          </cell>
          <cell r="E1230">
            <v>1845.1</v>
          </cell>
          <cell r="F1230">
            <v>1873.35</v>
          </cell>
        </row>
        <row r="1231">
          <cell r="B1231">
            <v>38314</v>
          </cell>
          <cell r="C1231">
            <v>1873.35</v>
          </cell>
          <cell r="D1231">
            <v>1900.05</v>
          </cell>
          <cell r="E1231">
            <v>1873.35</v>
          </cell>
          <cell r="F1231">
            <v>1892.6</v>
          </cell>
        </row>
        <row r="1232">
          <cell r="B1232">
            <v>38315</v>
          </cell>
          <cell r="C1232">
            <v>1893.15</v>
          </cell>
          <cell r="D1232">
            <v>1907.35</v>
          </cell>
          <cell r="E1232">
            <v>1889.85</v>
          </cell>
          <cell r="F1232">
            <v>1904.05</v>
          </cell>
        </row>
        <row r="1233">
          <cell r="B1233">
            <v>38316</v>
          </cell>
          <cell r="C1233">
            <v>1904.25</v>
          </cell>
          <cell r="D1233">
            <v>1915.8</v>
          </cell>
          <cell r="E1233">
            <v>1892.6</v>
          </cell>
          <cell r="F1233">
            <v>1901.05</v>
          </cell>
        </row>
        <row r="1234">
          <cell r="B1234">
            <v>38320</v>
          </cell>
          <cell r="C1234">
            <v>1899.3</v>
          </cell>
          <cell r="D1234">
            <v>1942.95</v>
          </cell>
          <cell r="E1234">
            <v>1894.6</v>
          </cell>
          <cell r="F1234">
            <v>1939.65</v>
          </cell>
        </row>
        <row r="1235">
          <cell r="B1235">
            <v>38321</v>
          </cell>
          <cell r="C1235">
            <v>1940.25</v>
          </cell>
          <cell r="D1235">
            <v>1963.8</v>
          </cell>
          <cell r="E1235">
            <v>1940.25</v>
          </cell>
          <cell r="F1235">
            <v>1958.8</v>
          </cell>
        </row>
        <row r="1236">
          <cell r="B1236">
            <v>38322</v>
          </cell>
          <cell r="C1236">
            <v>1960.75</v>
          </cell>
          <cell r="D1236">
            <v>1971.6</v>
          </cell>
          <cell r="E1236">
            <v>1944.5</v>
          </cell>
          <cell r="F1236">
            <v>1962.05</v>
          </cell>
        </row>
        <row r="1237">
          <cell r="B1237">
            <v>38323</v>
          </cell>
          <cell r="C1237">
            <v>1962.75</v>
          </cell>
          <cell r="D1237">
            <v>2001.55</v>
          </cell>
          <cell r="E1237">
            <v>1962.75</v>
          </cell>
          <cell r="F1237">
            <v>1999</v>
          </cell>
        </row>
        <row r="1238">
          <cell r="B1238">
            <v>38324</v>
          </cell>
          <cell r="C1238">
            <v>1991.9</v>
          </cell>
          <cell r="D1238">
            <v>2011.9</v>
          </cell>
          <cell r="E1238">
            <v>1990.3</v>
          </cell>
          <cell r="F1238">
            <v>1996.2</v>
          </cell>
        </row>
        <row r="1239">
          <cell r="B1239">
            <v>38327</v>
          </cell>
          <cell r="C1239">
            <v>1996.3</v>
          </cell>
          <cell r="D1239">
            <v>2012.25</v>
          </cell>
          <cell r="E1239">
            <v>1989.95</v>
          </cell>
          <cell r="F1239">
            <v>1993.15</v>
          </cell>
        </row>
        <row r="1240">
          <cell r="B1240">
            <v>38328</v>
          </cell>
          <cell r="C1240">
            <v>1990.6</v>
          </cell>
          <cell r="D1240">
            <v>2002.6</v>
          </cell>
          <cell r="E1240">
            <v>1981.15</v>
          </cell>
          <cell r="F1240">
            <v>1992.7</v>
          </cell>
        </row>
        <row r="1241">
          <cell r="B1241">
            <v>38329</v>
          </cell>
          <cell r="C1241">
            <v>1994.15</v>
          </cell>
          <cell r="D1241">
            <v>2009.7</v>
          </cell>
          <cell r="E1241">
            <v>1973.15</v>
          </cell>
          <cell r="F1241">
            <v>1977.95</v>
          </cell>
        </row>
        <row r="1242">
          <cell r="B1242">
            <v>38330</v>
          </cell>
          <cell r="C1242">
            <v>1977.8</v>
          </cell>
          <cell r="D1242">
            <v>1995.7</v>
          </cell>
          <cell r="E1242">
            <v>1964.5</v>
          </cell>
          <cell r="F1242">
            <v>1989.95</v>
          </cell>
        </row>
        <row r="1243">
          <cell r="B1243">
            <v>38331</v>
          </cell>
          <cell r="C1243">
            <v>1990.2</v>
          </cell>
          <cell r="D1243">
            <v>1999.7</v>
          </cell>
          <cell r="E1243">
            <v>1964.65</v>
          </cell>
          <cell r="F1243">
            <v>1969</v>
          </cell>
        </row>
        <row r="1244">
          <cell r="B1244">
            <v>38334</v>
          </cell>
          <cell r="C1244">
            <v>1970.6</v>
          </cell>
          <cell r="D1244">
            <v>1987</v>
          </cell>
          <cell r="E1244">
            <v>1964.8</v>
          </cell>
          <cell r="F1244">
            <v>1985.35</v>
          </cell>
        </row>
        <row r="1245">
          <cell r="B1245">
            <v>38335</v>
          </cell>
          <cell r="C1245">
            <v>1985.2</v>
          </cell>
          <cell r="D1245">
            <v>2008.8</v>
          </cell>
          <cell r="E1245">
            <v>1972.85</v>
          </cell>
          <cell r="F1245">
            <v>2006.8</v>
          </cell>
        </row>
        <row r="1246">
          <cell r="B1246">
            <v>38336</v>
          </cell>
          <cell r="C1246">
            <v>2006.8</v>
          </cell>
          <cell r="D1246">
            <v>2034.35</v>
          </cell>
          <cell r="E1246">
            <v>2006.8</v>
          </cell>
          <cell r="F1246">
            <v>2028.7</v>
          </cell>
        </row>
        <row r="1247">
          <cell r="B1247">
            <v>38337</v>
          </cell>
          <cell r="C1247">
            <v>2028.8</v>
          </cell>
          <cell r="D1247">
            <v>2039.2</v>
          </cell>
          <cell r="E1247">
            <v>2019.5</v>
          </cell>
          <cell r="F1247">
            <v>2033.2</v>
          </cell>
        </row>
        <row r="1248">
          <cell r="B1248">
            <v>38338</v>
          </cell>
          <cell r="C1248">
            <v>2032.85</v>
          </cell>
          <cell r="D1248">
            <v>2037.7</v>
          </cell>
          <cell r="E1248">
            <v>2007.2</v>
          </cell>
          <cell r="F1248">
            <v>2012.1</v>
          </cell>
        </row>
        <row r="1249">
          <cell r="B1249">
            <v>38341</v>
          </cell>
          <cell r="C1249">
            <v>2012.5</v>
          </cell>
          <cell r="D1249">
            <v>2029.5</v>
          </cell>
          <cell r="E1249">
            <v>2007.15</v>
          </cell>
          <cell r="F1249">
            <v>2026.85</v>
          </cell>
        </row>
        <row r="1250">
          <cell r="B1250">
            <v>38342</v>
          </cell>
          <cell r="C1250">
            <v>2027.8</v>
          </cell>
          <cell r="D1250">
            <v>2047.5</v>
          </cell>
          <cell r="E1250">
            <v>2025.25</v>
          </cell>
          <cell r="F1250">
            <v>2044.65</v>
          </cell>
        </row>
        <row r="1251">
          <cell r="B1251">
            <v>38343</v>
          </cell>
          <cell r="C1251">
            <v>2040.6</v>
          </cell>
          <cell r="D1251">
            <v>2053.9</v>
          </cell>
          <cell r="E1251">
            <v>2029.85</v>
          </cell>
          <cell r="F1251">
            <v>2035.35</v>
          </cell>
        </row>
        <row r="1252">
          <cell r="B1252">
            <v>38344</v>
          </cell>
          <cell r="C1252">
            <v>2035.6</v>
          </cell>
          <cell r="D1252">
            <v>2049.3000000000002</v>
          </cell>
          <cell r="E1252">
            <v>2031.9</v>
          </cell>
          <cell r="F1252">
            <v>2045.15</v>
          </cell>
        </row>
        <row r="1253">
          <cell r="B1253">
            <v>38345</v>
          </cell>
          <cell r="C1253">
            <v>2045.35</v>
          </cell>
          <cell r="D1253">
            <v>2065.6</v>
          </cell>
          <cell r="E1253">
            <v>2045.3</v>
          </cell>
          <cell r="F1253">
            <v>2062.6999999999998</v>
          </cell>
        </row>
        <row r="1254">
          <cell r="B1254">
            <v>38348</v>
          </cell>
          <cell r="C1254">
            <v>2061.6</v>
          </cell>
          <cell r="D1254">
            <v>2079.0500000000002</v>
          </cell>
          <cell r="E1254">
            <v>2046.25</v>
          </cell>
          <cell r="F1254">
            <v>2062.6</v>
          </cell>
        </row>
        <row r="1255">
          <cell r="B1255">
            <v>38349</v>
          </cell>
          <cell r="C1255">
            <v>2063.6</v>
          </cell>
          <cell r="D1255">
            <v>2074.6</v>
          </cell>
          <cell r="E1255">
            <v>2060.0500000000002</v>
          </cell>
          <cell r="F1255">
            <v>2071.35</v>
          </cell>
        </row>
        <row r="1256">
          <cell r="B1256">
            <v>38350</v>
          </cell>
          <cell r="C1256">
            <v>2071.5500000000002</v>
          </cell>
          <cell r="D1256">
            <v>2086.15</v>
          </cell>
          <cell r="E1256">
            <v>2062.35</v>
          </cell>
          <cell r="F1256">
            <v>2069.6</v>
          </cell>
        </row>
        <row r="1257">
          <cell r="B1257">
            <v>38351</v>
          </cell>
          <cell r="C1257">
            <v>2070.5500000000002</v>
          </cell>
          <cell r="D1257">
            <v>2088.4499999999998</v>
          </cell>
          <cell r="E1257">
            <v>2052.25</v>
          </cell>
          <cell r="F1257">
            <v>2059.8000000000002</v>
          </cell>
        </row>
        <row r="1258">
          <cell r="B1258">
            <v>38352</v>
          </cell>
          <cell r="C1258">
            <v>2059.85</v>
          </cell>
          <cell r="D1258">
            <v>2083</v>
          </cell>
          <cell r="E1258">
            <v>2059.85</v>
          </cell>
          <cell r="F1258">
            <v>2080.5</v>
          </cell>
        </row>
        <row r="1259">
          <cell r="B1259">
            <v>38355</v>
          </cell>
          <cell r="C1259">
            <v>2080</v>
          </cell>
          <cell r="D1259">
            <v>2118.6</v>
          </cell>
          <cell r="E1259">
            <v>2080</v>
          </cell>
          <cell r="F1259">
            <v>2115</v>
          </cell>
        </row>
        <row r="1260">
          <cell r="B1260">
            <v>38356</v>
          </cell>
          <cell r="C1260">
            <v>2116.9499999999998</v>
          </cell>
          <cell r="D1260">
            <v>2120.15</v>
          </cell>
          <cell r="E1260">
            <v>2100.5500000000002</v>
          </cell>
          <cell r="F1260">
            <v>2103.75</v>
          </cell>
        </row>
        <row r="1261">
          <cell r="B1261">
            <v>38357</v>
          </cell>
          <cell r="C1261">
            <v>2103.75</v>
          </cell>
          <cell r="D1261">
            <v>2105.1</v>
          </cell>
          <cell r="E1261">
            <v>1990.15</v>
          </cell>
          <cell r="F1261">
            <v>2032.2</v>
          </cell>
        </row>
        <row r="1262">
          <cell r="B1262">
            <v>38358</v>
          </cell>
          <cell r="C1262">
            <v>2031.55</v>
          </cell>
          <cell r="D1262">
            <v>2035.65</v>
          </cell>
          <cell r="E1262">
            <v>1984.25</v>
          </cell>
          <cell r="F1262">
            <v>1998.35</v>
          </cell>
        </row>
        <row r="1263">
          <cell r="B1263">
            <v>38359</v>
          </cell>
          <cell r="C1263">
            <v>1998.25</v>
          </cell>
          <cell r="D1263">
            <v>2021.45</v>
          </cell>
          <cell r="E1263">
            <v>1992.55</v>
          </cell>
          <cell r="F1263">
            <v>2015.5</v>
          </cell>
        </row>
        <row r="1264">
          <cell r="B1264">
            <v>38362</v>
          </cell>
          <cell r="C1264">
            <v>2016.75</v>
          </cell>
          <cell r="D1264">
            <v>2025.9</v>
          </cell>
          <cell r="E1264">
            <v>1974.8</v>
          </cell>
          <cell r="F1264">
            <v>1982</v>
          </cell>
        </row>
        <row r="1265">
          <cell r="B1265">
            <v>38363</v>
          </cell>
          <cell r="C1265">
            <v>1982.7</v>
          </cell>
          <cell r="D1265">
            <v>1988.9</v>
          </cell>
          <cell r="E1265">
            <v>1947.35</v>
          </cell>
          <cell r="F1265">
            <v>1952.05</v>
          </cell>
        </row>
        <row r="1266">
          <cell r="B1266">
            <v>38364</v>
          </cell>
          <cell r="C1266">
            <v>1953.6</v>
          </cell>
          <cell r="D1266">
            <v>1966.65</v>
          </cell>
          <cell r="E1266">
            <v>1900.85</v>
          </cell>
          <cell r="F1266">
            <v>1913.6</v>
          </cell>
        </row>
        <row r="1267">
          <cell r="B1267">
            <v>38365</v>
          </cell>
          <cell r="C1267">
            <v>1922.5</v>
          </cell>
          <cell r="D1267">
            <v>1963.4</v>
          </cell>
          <cell r="E1267">
            <v>1916.95</v>
          </cell>
          <cell r="F1267">
            <v>1954.55</v>
          </cell>
        </row>
        <row r="1268">
          <cell r="B1268">
            <v>38366</v>
          </cell>
          <cell r="C1268">
            <v>1954.9</v>
          </cell>
          <cell r="D1268">
            <v>1961.4</v>
          </cell>
          <cell r="E1268">
            <v>1922.85</v>
          </cell>
          <cell r="F1268">
            <v>1931.1</v>
          </cell>
        </row>
        <row r="1269">
          <cell r="B1269">
            <v>38369</v>
          </cell>
          <cell r="C1269">
            <v>1931.75</v>
          </cell>
          <cell r="D1269">
            <v>1944.55</v>
          </cell>
          <cell r="E1269">
            <v>1902.45</v>
          </cell>
          <cell r="F1269">
            <v>1932.9</v>
          </cell>
        </row>
        <row r="1270">
          <cell r="B1270">
            <v>38370</v>
          </cell>
          <cell r="C1270">
            <v>1933.05</v>
          </cell>
          <cell r="D1270">
            <v>1956.95</v>
          </cell>
          <cell r="E1270">
            <v>1925.35</v>
          </cell>
          <cell r="F1270">
            <v>1934.05</v>
          </cell>
        </row>
        <row r="1271">
          <cell r="B1271">
            <v>38371</v>
          </cell>
          <cell r="C1271">
            <v>1934.1</v>
          </cell>
          <cell r="D1271">
            <v>1945.65</v>
          </cell>
          <cell r="E1271">
            <v>1922.35</v>
          </cell>
          <cell r="F1271">
            <v>1926.65</v>
          </cell>
        </row>
        <row r="1272">
          <cell r="B1272">
            <v>38372</v>
          </cell>
          <cell r="C1272">
            <v>1928.1</v>
          </cell>
          <cell r="D1272">
            <v>1940.95</v>
          </cell>
          <cell r="E1272">
            <v>1900.05</v>
          </cell>
          <cell r="F1272">
            <v>1925.3</v>
          </cell>
        </row>
        <row r="1273">
          <cell r="B1273">
            <v>38376</v>
          </cell>
          <cell r="C1273">
            <v>1925.3</v>
          </cell>
          <cell r="D1273">
            <v>1932.75</v>
          </cell>
          <cell r="E1273">
            <v>1902.9</v>
          </cell>
          <cell r="F1273">
            <v>1909</v>
          </cell>
        </row>
        <row r="1274">
          <cell r="B1274">
            <v>38377</v>
          </cell>
          <cell r="C1274">
            <v>1908.85</v>
          </cell>
          <cell r="D1274">
            <v>1934.25</v>
          </cell>
          <cell r="E1274">
            <v>1894.4</v>
          </cell>
          <cell r="F1274">
            <v>1931.85</v>
          </cell>
        </row>
        <row r="1275">
          <cell r="B1275">
            <v>38379</v>
          </cell>
          <cell r="C1275">
            <v>1931.9</v>
          </cell>
          <cell r="D1275">
            <v>1961.75</v>
          </cell>
          <cell r="E1275">
            <v>1929</v>
          </cell>
          <cell r="F1275">
            <v>1955</v>
          </cell>
        </row>
        <row r="1276">
          <cell r="B1276">
            <v>38380</v>
          </cell>
          <cell r="C1276">
            <v>1955.25</v>
          </cell>
          <cell r="D1276">
            <v>2014.25</v>
          </cell>
          <cell r="E1276">
            <v>1950.85</v>
          </cell>
          <cell r="F1276">
            <v>2008.3</v>
          </cell>
        </row>
        <row r="1277">
          <cell r="B1277">
            <v>38383</v>
          </cell>
          <cell r="C1277">
            <v>2008.45</v>
          </cell>
          <cell r="D1277">
            <v>2060.4</v>
          </cell>
          <cell r="E1277">
            <v>2006.35</v>
          </cell>
          <cell r="F1277">
            <v>2057.6</v>
          </cell>
        </row>
        <row r="1278">
          <cell r="B1278">
            <v>38384</v>
          </cell>
          <cell r="C1278">
            <v>2057.75</v>
          </cell>
          <cell r="D1278">
            <v>2072.5</v>
          </cell>
          <cell r="E1278">
            <v>2045.25</v>
          </cell>
          <cell r="F1278">
            <v>2059.85</v>
          </cell>
        </row>
        <row r="1279">
          <cell r="B1279">
            <v>38385</v>
          </cell>
          <cell r="C1279">
            <v>2062.15</v>
          </cell>
          <cell r="D1279">
            <v>2074.5</v>
          </cell>
          <cell r="E1279">
            <v>2045.5</v>
          </cell>
          <cell r="F1279">
            <v>2052.25</v>
          </cell>
        </row>
        <row r="1280">
          <cell r="B1280">
            <v>38386</v>
          </cell>
          <cell r="C1280">
            <v>2052.35</v>
          </cell>
          <cell r="D1280">
            <v>2083.75</v>
          </cell>
          <cell r="E1280">
            <v>2052.35</v>
          </cell>
          <cell r="F1280">
            <v>2079.4499999999998</v>
          </cell>
        </row>
        <row r="1281">
          <cell r="B1281">
            <v>38387</v>
          </cell>
          <cell r="C1281">
            <v>2079.4</v>
          </cell>
          <cell r="D1281">
            <v>2099.1999999999998</v>
          </cell>
          <cell r="E1281">
            <v>2060.8000000000002</v>
          </cell>
          <cell r="F1281">
            <v>2077.9499999999998</v>
          </cell>
        </row>
        <row r="1282">
          <cell r="B1282">
            <v>38390</v>
          </cell>
          <cell r="C1282">
            <v>2097.4499999999998</v>
          </cell>
          <cell r="D1282">
            <v>2098</v>
          </cell>
          <cell r="E1282">
            <v>2049.85</v>
          </cell>
          <cell r="F1282">
            <v>2055.1</v>
          </cell>
        </row>
        <row r="1283">
          <cell r="B1283">
            <v>38391</v>
          </cell>
          <cell r="C1283">
            <v>2055</v>
          </cell>
          <cell r="D1283">
            <v>2065</v>
          </cell>
          <cell r="E1283">
            <v>2043.6</v>
          </cell>
          <cell r="F1283">
            <v>2055.15</v>
          </cell>
        </row>
        <row r="1284">
          <cell r="B1284">
            <v>38392</v>
          </cell>
          <cell r="C1284">
            <v>2055.1999999999998</v>
          </cell>
          <cell r="D1284">
            <v>2077.6999999999998</v>
          </cell>
          <cell r="E1284">
            <v>2055.1999999999998</v>
          </cell>
          <cell r="F1284">
            <v>2070</v>
          </cell>
        </row>
        <row r="1285">
          <cell r="B1285">
            <v>38393</v>
          </cell>
          <cell r="C1285">
            <v>2070.1</v>
          </cell>
          <cell r="D1285">
            <v>2075.1</v>
          </cell>
          <cell r="E1285">
            <v>2049.85</v>
          </cell>
          <cell r="F1285">
            <v>2063.35</v>
          </cell>
        </row>
        <row r="1286">
          <cell r="B1286">
            <v>38394</v>
          </cell>
          <cell r="C1286">
            <v>2063.35</v>
          </cell>
          <cell r="D1286">
            <v>2084.5</v>
          </cell>
          <cell r="E1286">
            <v>2063.35</v>
          </cell>
          <cell r="F1286">
            <v>2082.0500000000002</v>
          </cell>
        </row>
        <row r="1287">
          <cell r="B1287">
            <v>38397</v>
          </cell>
          <cell r="C1287">
            <v>2083.0500000000002</v>
          </cell>
          <cell r="D1287">
            <v>2110.15</v>
          </cell>
          <cell r="E1287">
            <v>2083.0500000000002</v>
          </cell>
          <cell r="F1287">
            <v>2098.25</v>
          </cell>
        </row>
        <row r="1288">
          <cell r="B1288">
            <v>38398</v>
          </cell>
          <cell r="C1288">
            <v>2098.25</v>
          </cell>
          <cell r="D1288">
            <v>2101.6</v>
          </cell>
          <cell r="E1288">
            <v>2081.1999999999998</v>
          </cell>
          <cell r="F1288">
            <v>2089.9499999999998</v>
          </cell>
        </row>
        <row r="1289">
          <cell r="B1289">
            <v>38399</v>
          </cell>
          <cell r="C1289">
            <v>2090</v>
          </cell>
          <cell r="D1289">
            <v>2103.4</v>
          </cell>
          <cell r="E1289">
            <v>2059.4499999999998</v>
          </cell>
          <cell r="F1289">
            <v>2068.8000000000002</v>
          </cell>
        </row>
        <row r="1290">
          <cell r="B1290">
            <v>38400</v>
          </cell>
          <cell r="C1290">
            <v>2069.1</v>
          </cell>
          <cell r="D1290">
            <v>2069.15</v>
          </cell>
          <cell r="E1290">
            <v>2045.85</v>
          </cell>
          <cell r="F1290">
            <v>2061.9</v>
          </cell>
        </row>
        <row r="1291">
          <cell r="B1291">
            <v>38401</v>
          </cell>
          <cell r="C1291">
            <v>2062.4499999999998</v>
          </cell>
          <cell r="D1291">
            <v>2076.6999999999998</v>
          </cell>
          <cell r="E1291">
            <v>2048.85</v>
          </cell>
          <cell r="F1291">
            <v>2055.5500000000002</v>
          </cell>
        </row>
        <row r="1292">
          <cell r="B1292">
            <v>38404</v>
          </cell>
          <cell r="C1292">
            <v>2055.15</v>
          </cell>
          <cell r="D1292">
            <v>2065.75</v>
          </cell>
          <cell r="E1292">
            <v>2039.9</v>
          </cell>
          <cell r="F1292">
            <v>2043.2</v>
          </cell>
        </row>
        <row r="1293">
          <cell r="B1293">
            <v>38405</v>
          </cell>
          <cell r="C1293">
            <v>2043.4</v>
          </cell>
          <cell r="D1293">
            <v>2061.65</v>
          </cell>
          <cell r="E1293">
            <v>2036.6</v>
          </cell>
          <cell r="F1293">
            <v>2058.4</v>
          </cell>
        </row>
        <row r="1294">
          <cell r="B1294">
            <v>38406</v>
          </cell>
          <cell r="C1294">
            <v>2058.6999999999998</v>
          </cell>
          <cell r="D1294">
            <v>2065.15</v>
          </cell>
          <cell r="E1294">
            <v>2051.35</v>
          </cell>
          <cell r="F1294">
            <v>2057.1</v>
          </cell>
        </row>
        <row r="1295">
          <cell r="B1295">
            <v>38407</v>
          </cell>
          <cell r="C1295">
            <v>2057.75</v>
          </cell>
          <cell r="D1295">
            <v>2070.5</v>
          </cell>
          <cell r="E1295">
            <v>2052.4</v>
          </cell>
          <cell r="F1295">
            <v>2055.3000000000002</v>
          </cell>
        </row>
        <row r="1296">
          <cell r="B1296">
            <v>38408</v>
          </cell>
          <cell r="C1296">
            <v>2057.3000000000002</v>
          </cell>
          <cell r="D1296">
            <v>2081.85</v>
          </cell>
          <cell r="E1296">
            <v>2051.1999999999998</v>
          </cell>
          <cell r="F1296">
            <v>2060.9</v>
          </cell>
        </row>
        <row r="1297">
          <cell r="B1297">
            <v>38411</v>
          </cell>
          <cell r="C1297">
            <v>2061.1999999999998</v>
          </cell>
          <cell r="D1297">
            <v>2106.1999999999998</v>
          </cell>
          <cell r="E1297">
            <v>2047.7</v>
          </cell>
          <cell r="F1297">
            <v>2103.25</v>
          </cell>
        </row>
        <row r="1298">
          <cell r="B1298">
            <v>38412</v>
          </cell>
          <cell r="C1298">
            <v>2103.1</v>
          </cell>
          <cell r="D1298">
            <v>2115.1</v>
          </cell>
          <cell r="E1298">
            <v>2073.8000000000002</v>
          </cell>
          <cell r="F1298">
            <v>2084.4</v>
          </cell>
        </row>
        <row r="1299">
          <cell r="B1299">
            <v>38413</v>
          </cell>
          <cell r="C1299">
            <v>2084.6</v>
          </cell>
          <cell r="D1299">
            <v>2096.35</v>
          </cell>
          <cell r="E1299">
            <v>2080.5500000000002</v>
          </cell>
          <cell r="F1299">
            <v>2093.25</v>
          </cell>
        </row>
        <row r="1300">
          <cell r="B1300">
            <v>38414</v>
          </cell>
          <cell r="C1300">
            <v>2093.4</v>
          </cell>
          <cell r="D1300">
            <v>2132.75</v>
          </cell>
          <cell r="E1300">
            <v>2093.35</v>
          </cell>
          <cell r="F1300">
            <v>2128.85</v>
          </cell>
        </row>
        <row r="1301">
          <cell r="B1301">
            <v>38415</v>
          </cell>
          <cell r="C1301">
            <v>2129.1</v>
          </cell>
          <cell r="D1301">
            <v>2152.75</v>
          </cell>
          <cell r="E1301">
            <v>2129.1</v>
          </cell>
          <cell r="F1301">
            <v>2148.15</v>
          </cell>
        </row>
        <row r="1302">
          <cell r="B1302">
            <v>38418</v>
          </cell>
          <cell r="C1302">
            <v>2148.25</v>
          </cell>
          <cell r="D1302">
            <v>2166.85</v>
          </cell>
          <cell r="E1302">
            <v>2143.0500000000002</v>
          </cell>
          <cell r="F1302">
            <v>2160.1</v>
          </cell>
        </row>
        <row r="1303">
          <cell r="B1303">
            <v>38419</v>
          </cell>
          <cell r="C1303">
            <v>2160.65</v>
          </cell>
          <cell r="D1303">
            <v>2173.85</v>
          </cell>
          <cell r="E1303">
            <v>2154</v>
          </cell>
          <cell r="F1303">
            <v>2168.9499999999998</v>
          </cell>
        </row>
        <row r="1304">
          <cell r="B1304">
            <v>38420</v>
          </cell>
          <cell r="C1304">
            <v>2169.1</v>
          </cell>
          <cell r="D1304">
            <v>2183.4499999999998</v>
          </cell>
          <cell r="E1304">
            <v>2141.35</v>
          </cell>
          <cell r="F1304">
            <v>2160.8000000000002</v>
          </cell>
        </row>
        <row r="1305">
          <cell r="B1305">
            <v>38421</v>
          </cell>
          <cell r="C1305">
            <v>2160.85</v>
          </cell>
          <cell r="D1305">
            <v>2170.1999999999998</v>
          </cell>
          <cell r="E1305">
            <v>2145.75</v>
          </cell>
          <cell r="F1305">
            <v>2167.4</v>
          </cell>
        </row>
        <row r="1306">
          <cell r="B1306">
            <v>38422</v>
          </cell>
          <cell r="C1306">
            <v>2167.6999999999998</v>
          </cell>
          <cell r="D1306">
            <v>2182.1</v>
          </cell>
          <cell r="E1306">
            <v>2148.6999999999998</v>
          </cell>
          <cell r="F1306">
            <v>2154</v>
          </cell>
        </row>
        <row r="1307">
          <cell r="B1307">
            <v>38425</v>
          </cell>
          <cell r="C1307">
            <v>2153.8000000000002</v>
          </cell>
          <cell r="D1307">
            <v>2164.15</v>
          </cell>
          <cell r="E1307">
            <v>2140.9</v>
          </cell>
          <cell r="F1307">
            <v>2146.35</v>
          </cell>
        </row>
        <row r="1308">
          <cell r="B1308">
            <v>38426</v>
          </cell>
          <cell r="C1308">
            <v>2146.5500000000002</v>
          </cell>
          <cell r="D1308">
            <v>2151.35</v>
          </cell>
          <cell r="E1308">
            <v>2122</v>
          </cell>
          <cell r="F1308">
            <v>2128.9499999999998</v>
          </cell>
        </row>
        <row r="1309">
          <cell r="B1309">
            <v>38427</v>
          </cell>
          <cell r="C1309">
            <v>2129.35</v>
          </cell>
          <cell r="D1309">
            <v>2158.9</v>
          </cell>
          <cell r="E1309">
            <v>2121.1</v>
          </cell>
          <cell r="F1309">
            <v>2125.5500000000002</v>
          </cell>
        </row>
        <row r="1310">
          <cell r="B1310">
            <v>38428</v>
          </cell>
          <cell r="C1310">
            <v>2123.9499999999998</v>
          </cell>
          <cell r="D1310">
            <v>2126.5500000000002</v>
          </cell>
          <cell r="E1310">
            <v>2090.4499999999998</v>
          </cell>
          <cell r="F1310">
            <v>2098.5</v>
          </cell>
        </row>
        <row r="1311">
          <cell r="B1311">
            <v>38429</v>
          </cell>
          <cell r="C1311">
            <v>2097.75</v>
          </cell>
          <cell r="D1311">
            <v>2112.25</v>
          </cell>
          <cell r="E1311">
            <v>2077.1999999999998</v>
          </cell>
          <cell r="F1311">
            <v>2109.15</v>
          </cell>
        </row>
        <row r="1312">
          <cell r="B1312">
            <v>38432</v>
          </cell>
          <cell r="C1312">
            <v>2117.9499999999998</v>
          </cell>
          <cell r="D1312">
            <v>2124.8000000000002</v>
          </cell>
          <cell r="E1312">
            <v>2089.35</v>
          </cell>
          <cell r="F1312">
            <v>2096.6</v>
          </cell>
        </row>
        <row r="1313">
          <cell r="B1313">
            <v>38433</v>
          </cell>
          <cell r="C1313">
            <v>2096.75</v>
          </cell>
          <cell r="D1313">
            <v>2099</v>
          </cell>
          <cell r="E1313">
            <v>2056.5</v>
          </cell>
          <cell r="F1313">
            <v>2061.6</v>
          </cell>
        </row>
        <row r="1314">
          <cell r="B1314">
            <v>38434</v>
          </cell>
          <cell r="C1314">
            <v>2061.1999999999998</v>
          </cell>
          <cell r="D1314">
            <v>2067.4499999999998</v>
          </cell>
          <cell r="E1314">
            <v>2019.85</v>
          </cell>
          <cell r="F1314">
            <v>2026.4</v>
          </cell>
        </row>
        <row r="1315">
          <cell r="B1315">
            <v>38435</v>
          </cell>
          <cell r="C1315">
            <v>2026.6</v>
          </cell>
          <cell r="D1315">
            <v>2042.45</v>
          </cell>
          <cell r="E1315">
            <v>2007.35</v>
          </cell>
          <cell r="F1315">
            <v>2015.4</v>
          </cell>
        </row>
        <row r="1316">
          <cell r="B1316">
            <v>38439</v>
          </cell>
          <cell r="C1316">
            <v>2015.75</v>
          </cell>
          <cell r="D1316">
            <v>2046.85</v>
          </cell>
          <cell r="E1316">
            <v>2015.25</v>
          </cell>
          <cell r="F1316">
            <v>2029.45</v>
          </cell>
        </row>
        <row r="1317">
          <cell r="B1317">
            <v>38440</v>
          </cell>
          <cell r="C1317">
            <v>2029.4</v>
          </cell>
          <cell r="D1317">
            <v>2032.65</v>
          </cell>
          <cell r="E1317">
            <v>1971.55</v>
          </cell>
          <cell r="F1317">
            <v>1983.85</v>
          </cell>
        </row>
        <row r="1318">
          <cell r="B1318">
            <v>38441</v>
          </cell>
          <cell r="C1318">
            <v>1983.65</v>
          </cell>
          <cell r="D1318">
            <v>2000.45</v>
          </cell>
          <cell r="E1318">
            <v>1971.15</v>
          </cell>
          <cell r="F1318">
            <v>1993.7</v>
          </cell>
        </row>
        <row r="1319">
          <cell r="B1319">
            <v>38442</v>
          </cell>
          <cell r="C1319">
            <v>1994.5</v>
          </cell>
          <cell r="D1319">
            <v>2043.6</v>
          </cell>
          <cell r="E1319">
            <v>1994.5</v>
          </cell>
          <cell r="F1319">
            <v>2035.65</v>
          </cell>
        </row>
        <row r="1320">
          <cell r="B1320">
            <v>38443</v>
          </cell>
          <cell r="C1320">
            <v>2035.9</v>
          </cell>
          <cell r="D1320">
            <v>2071.1999999999998</v>
          </cell>
          <cell r="E1320">
            <v>2024.25</v>
          </cell>
          <cell r="F1320">
            <v>2067.65</v>
          </cell>
        </row>
        <row r="1321">
          <cell r="B1321">
            <v>38446</v>
          </cell>
          <cell r="C1321">
            <v>2067.65</v>
          </cell>
          <cell r="D1321">
            <v>2076.6</v>
          </cell>
          <cell r="E1321">
            <v>2054.9</v>
          </cell>
          <cell r="F1321">
            <v>2063.4</v>
          </cell>
        </row>
        <row r="1322">
          <cell r="B1322">
            <v>38447</v>
          </cell>
          <cell r="C1322">
            <v>2063.1999999999998</v>
          </cell>
          <cell r="D1322">
            <v>2077.9499999999998</v>
          </cell>
          <cell r="E1322">
            <v>2043.7</v>
          </cell>
          <cell r="F1322">
            <v>2052.5500000000002</v>
          </cell>
        </row>
        <row r="1323">
          <cell r="B1323">
            <v>38448</v>
          </cell>
          <cell r="C1323">
            <v>2054</v>
          </cell>
          <cell r="D1323">
            <v>2073.1</v>
          </cell>
          <cell r="E1323">
            <v>2051.3000000000002</v>
          </cell>
          <cell r="F1323">
            <v>2069.3000000000002</v>
          </cell>
        </row>
        <row r="1324">
          <cell r="B1324">
            <v>38449</v>
          </cell>
          <cell r="C1324">
            <v>2069.15</v>
          </cell>
          <cell r="D1324">
            <v>2084.9</v>
          </cell>
          <cell r="E1324">
            <v>2048.0500000000002</v>
          </cell>
          <cell r="F1324">
            <v>2052.85</v>
          </cell>
        </row>
        <row r="1325">
          <cell r="B1325">
            <v>38450</v>
          </cell>
          <cell r="C1325">
            <v>2053.0500000000002</v>
          </cell>
          <cell r="D1325">
            <v>2057.5</v>
          </cell>
          <cell r="E1325">
            <v>2024.8</v>
          </cell>
          <cell r="F1325">
            <v>2031.2</v>
          </cell>
        </row>
        <row r="1326">
          <cell r="B1326">
            <v>38453</v>
          </cell>
          <cell r="C1326">
            <v>2032.75</v>
          </cell>
          <cell r="D1326">
            <v>2033</v>
          </cell>
          <cell r="E1326">
            <v>2001.85</v>
          </cell>
          <cell r="F1326">
            <v>2008.2</v>
          </cell>
        </row>
        <row r="1327">
          <cell r="B1327">
            <v>38454</v>
          </cell>
          <cell r="C1327">
            <v>2002.75</v>
          </cell>
          <cell r="D1327">
            <v>2027.8</v>
          </cell>
          <cell r="E1327">
            <v>2002.75</v>
          </cell>
          <cell r="F1327">
            <v>2024.95</v>
          </cell>
        </row>
        <row r="1328">
          <cell r="B1328">
            <v>38455</v>
          </cell>
          <cell r="C1328">
            <v>2024.9</v>
          </cell>
          <cell r="D1328">
            <v>2038.85</v>
          </cell>
          <cell r="E1328">
            <v>2018.1</v>
          </cell>
          <cell r="F1328">
            <v>2025.45</v>
          </cell>
        </row>
        <row r="1329">
          <cell r="B1329">
            <v>38457</v>
          </cell>
          <cell r="C1329">
            <v>2022.5</v>
          </cell>
          <cell r="D1329">
            <v>2022.5</v>
          </cell>
          <cell r="E1329">
            <v>1952.75</v>
          </cell>
          <cell r="F1329">
            <v>1956.3</v>
          </cell>
        </row>
        <row r="1330">
          <cell r="B1330">
            <v>38460</v>
          </cell>
          <cell r="C1330">
            <v>1955.5</v>
          </cell>
          <cell r="D1330">
            <v>1959.25</v>
          </cell>
          <cell r="E1330">
            <v>1914.85</v>
          </cell>
          <cell r="F1330">
            <v>1927.8</v>
          </cell>
        </row>
        <row r="1331">
          <cell r="B1331">
            <v>38461</v>
          </cell>
          <cell r="C1331">
            <v>1927.9</v>
          </cell>
          <cell r="D1331">
            <v>1961.15</v>
          </cell>
          <cell r="E1331">
            <v>1902.8</v>
          </cell>
          <cell r="F1331">
            <v>1909.4</v>
          </cell>
        </row>
        <row r="1332">
          <cell r="B1332">
            <v>38462</v>
          </cell>
          <cell r="C1332">
            <v>1908.5</v>
          </cell>
          <cell r="D1332">
            <v>1941.85</v>
          </cell>
          <cell r="E1332">
            <v>1902.9</v>
          </cell>
          <cell r="F1332">
            <v>1929.7</v>
          </cell>
        </row>
        <row r="1333">
          <cell r="B1333">
            <v>38463</v>
          </cell>
          <cell r="C1333">
            <v>1930.5</v>
          </cell>
          <cell r="D1333">
            <v>1950</v>
          </cell>
          <cell r="E1333">
            <v>1911.4</v>
          </cell>
          <cell r="F1333">
            <v>1948.55</v>
          </cell>
        </row>
        <row r="1334">
          <cell r="B1334">
            <v>38464</v>
          </cell>
          <cell r="C1334">
            <v>1950.6</v>
          </cell>
          <cell r="D1334">
            <v>1972.95</v>
          </cell>
          <cell r="E1334">
            <v>1950</v>
          </cell>
          <cell r="F1334">
            <v>1967.35</v>
          </cell>
        </row>
        <row r="1335">
          <cell r="B1335">
            <v>38467</v>
          </cell>
          <cell r="C1335">
            <v>1968.45</v>
          </cell>
          <cell r="D1335">
            <v>1974.2</v>
          </cell>
          <cell r="E1335">
            <v>1952.4</v>
          </cell>
          <cell r="F1335">
            <v>1970.95</v>
          </cell>
        </row>
        <row r="1336">
          <cell r="B1336">
            <v>38468</v>
          </cell>
          <cell r="C1336">
            <v>1971.05</v>
          </cell>
          <cell r="D1336">
            <v>1972.85</v>
          </cell>
          <cell r="E1336">
            <v>1951.8</v>
          </cell>
          <cell r="F1336">
            <v>1957.1</v>
          </cell>
        </row>
        <row r="1337">
          <cell r="B1337">
            <v>38469</v>
          </cell>
          <cell r="C1337">
            <v>1959.45</v>
          </cell>
          <cell r="D1337">
            <v>1962.2</v>
          </cell>
          <cell r="E1337">
            <v>1930.35</v>
          </cell>
          <cell r="F1337">
            <v>1935.4</v>
          </cell>
        </row>
        <row r="1338">
          <cell r="B1338">
            <v>38470</v>
          </cell>
          <cell r="C1338">
            <v>1935.65</v>
          </cell>
          <cell r="D1338">
            <v>1950.25</v>
          </cell>
          <cell r="E1338">
            <v>1921.05</v>
          </cell>
          <cell r="F1338">
            <v>1941.3</v>
          </cell>
        </row>
        <row r="1339">
          <cell r="B1339">
            <v>38471</v>
          </cell>
          <cell r="C1339">
            <v>1943.2</v>
          </cell>
          <cell r="D1339">
            <v>1943.2</v>
          </cell>
          <cell r="E1339">
            <v>1896.3</v>
          </cell>
          <cell r="F1339">
            <v>1902.5</v>
          </cell>
        </row>
        <row r="1340">
          <cell r="B1340">
            <v>38474</v>
          </cell>
          <cell r="C1340">
            <v>1903.1</v>
          </cell>
          <cell r="D1340">
            <v>1925.6</v>
          </cell>
          <cell r="E1340">
            <v>1898.15</v>
          </cell>
          <cell r="F1340">
            <v>1916.75</v>
          </cell>
        </row>
        <row r="1341">
          <cell r="B1341">
            <v>38475</v>
          </cell>
          <cell r="C1341">
            <v>1916.95</v>
          </cell>
          <cell r="D1341">
            <v>1940.1</v>
          </cell>
          <cell r="E1341">
            <v>1911</v>
          </cell>
          <cell r="F1341">
            <v>1920.7</v>
          </cell>
        </row>
        <row r="1342">
          <cell r="B1342">
            <v>38476</v>
          </cell>
          <cell r="C1342">
            <v>1920.5</v>
          </cell>
          <cell r="D1342">
            <v>1944.45</v>
          </cell>
          <cell r="E1342">
            <v>1920.15</v>
          </cell>
          <cell r="F1342">
            <v>1942.6</v>
          </cell>
        </row>
        <row r="1343">
          <cell r="B1343">
            <v>38477</v>
          </cell>
          <cell r="C1343">
            <v>1942.6</v>
          </cell>
          <cell r="D1343">
            <v>1973.35</v>
          </cell>
          <cell r="E1343">
            <v>1942.05</v>
          </cell>
          <cell r="F1343">
            <v>1963.3</v>
          </cell>
        </row>
        <row r="1344">
          <cell r="B1344">
            <v>38478</v>
          </cell>
          <cell r="C1344">
            <v>1962.3</v>
          </cell>
          <cell r="D1344">
            <v>1984.4</v>
          </cell>
          <cell r="E1344">
            <v>1947.3</v>
          </cell>
          <cell r="F1344">
            <v>1977.5</v>
          </cell>
        </row>
        <row r="1345">
          <cell r="B1345">
            <v>38481</v>
          </cell>
          <cell r="C1345">
            <v>1978.05</v>
          </cell>
          <cell r="D1345">
            <v>2003.15</v>
          </cell>
          <cell r="E1345">
            <v>1978.05</v>
          </cell>
          <cell r="F1345">
            <v>2000.75</v>
          </cell>
        </row>
        <row r="1346">
          <cell r="B1346">
            <v>38482</v>
          </cell>
          <cell r="C1346">
            <v>2001</v>
          </cell>
          <cell r="D1346">
            <v>2007.8</v>
          </cell>
          <cell r="E1346">
            <v>1989.1</v>
          </cell>
          <cell r="F1346">
            <v>1994.3</v>
          </cell>
        </row>
        <row r="1347">
          <cell r="B1347">
            <v>38483</v>
          </cell>
          <cell r="C1347">
            <v>1990.55</v>
          </cell>
          <cell r="D1347">
            <v>1991.85</v>
          </cell>
          <cell r="E1347">
            <v>1975.05</v>
          </cell>
          <cell r="F1347">
            <v>1985.95</v>
          </cell>
        </row>
        <row r="1348">
          <cell r="B1348">
            <v>38484</v>
          </cell>
          <cell r="C1348">
            <v>1985.95</v>
          </cell>
          <cell r="D1348">
            <v>1999.85</v>
          </cell>
          <cell r="E1348">
            <v>1981.95</v>
          </cell>
          <cell r="F1348">
            <v>1993.15</v>
          </cell>
        </row>
        <row r="1349">
          <cell r="B1349">
            <v>38485</v>
          </cell>
          <cell r="C1349">
            <v>1992.5</v>
          </cell>
          <cell r="D1349">
            <v>1992.75</v>
          </cell>
          <cell r="E1349">
            <v>1978.9</v>
          </cell>
          <cell r="F1349">
            <v>1988.3</v>
          </cell>
        </row>
        <row r="1350">
          <cell r="B1350">
            <v>38488</v>
          </cell>
          <cell r="C1350">
            <v>1991.5</v>
          </cell>
          <cell r="D1350">
            <v>2014.95</v>
          </cell>
          <cell r="E1350">
            <v>1989.7</v>
          </cell>
          <cell r="F1350">
            <v>2012.6</v>
          </cell>
        </row>
        <row r="1351">
          <cell r="B1351">
            <v>38489</v>
          </cell>
          <cell r="C1351">
            <v>2013.1</v>
          </cell>
          <cell r="D1351">
            <v>2024.6</v>
          </cell>
          <cell r="E1351">
            <v>1984.75</v>
          </cell>
          <cell r="F1351">
            <v>1990.8</v>
          </cell>
        </row>
        <row r="1352">
          <cell r="B1352">
            <v>38490</v>
          </cell>
          <cell r="C1352">
            <v>1990.65</v>
          </cell>
          <cell r="D1352">
            <v>1990.95</v>
          </cell>
          <cell r="E1352">
            <v>1964.65</v>
          </cell>
          <cell r="F1352">
            <v>1982.75</v>
          </cell>
        </row>
        <row r="1353">
          <cell r="B1353">
            <v>38491</v>
          </cell>
          <cell r="C1353">
            <v>1983.15</v>
          </cell>
          <cell r="D1353">
            <v>2008.35</v>
          </cell>
          <cell r="E1353">
            <v>1983.15</v>
          </cell>
          <cell r="F1353">
            <v>1990.85</v>
          </cell>
        </row>
        <row r="1354">
          <cell r="B1354">
            <v>38492</v>
          </cell>
          <cell r="C1354">
            <v>1991.85</v>
          </cell>
          <cell r="D1354">
            <v>1998.2</v>
          </cell>
          <cell r="E1354">
            <v>1975.95</v>
          </cell>
          <cell r="F1354">
            <v>1992.4</v>
          </cell>
        </row>
        <row r="1355">
          <cell r="B1355">
            <v>38495</v>
          </cell>
          <cell r="C1355">
            <v>1992.1</v>
          </cell>
          <cell r="D1355">
            <v>2019.35</v>
          </cell>
          <cell r="E1355">
            <v>1991.7</v>
          </cell>
          <cell r="F1355">
            <v>2013.9</v>
          </cell>
        </row>
        <row r="1356">
          <cell r="B1356">
            <v>38496</v>
          </cell>
          <cell r="C1356">
            <v>2016</v>
          </cell>
          <cell r="D1356">
            <v>2031.9</v>
          </cell>
          <cell r="E1356">
            <v>2009.55</v>
          </cell>
          <cell r="F1356">
            <v>2028.6</v>
          </cell>
        </row>
        <row r="1357">
          <cell r="B1357">
            <v>38497</v>
          </cell>
          <cell r="C1357">
            <v>2028.55</v>
          </cell>
          <cell r="D1357">
            <v>2047.45</v>
          </cell>
          <cell r="E1357">
            <v>2019</v>
          </cell>
          <cell r="F1357">
            <v>2043.85</v>
          </cell>
        </row>
        <row r="1358">
          <cell r="B1358">
            <v>38498</v>
          </cell>
          <cell r="C1358">
            <v>2043.5</v>
          </cell>
          <cell r="D1358">
            <v>2078.65</v>
          </cell>
          <cell r="E1358">
            <v>2025.65</v>
          </cell>
          <cell r="F1358">
            <v>2074.6999999999998</v>
          </cell>
        </row>
        <row r="1359">
          <cell r="B1359">
            <v>38499</v>
          </cell>
          <cell r="C1359">
            <v>2073.25</v>
          </cell>
          <cell r="D1359">
            <v>2099.35</v>
          </cell>
          <cell r="E1359">
            <v>2069.5</v>
          </cell>
          <cell r="F1359">
            <v>2076.4</v>
          </cell>
        </row>
        <row r="1360">
          <cell r="B1360">
            <v>38502</v>
          </cell>
          <cell r="C1360">
            <v>2076.5500000000002</v>
          </cell>
          <cell r="D1360">
            <v>2086.85</v>
          </cell>
          <cell r="E1360">
            <v>2064.85</v>
          </cell>
          <cell r="F1360">
            <v>2072.4</v>
          </cell>
        </row>
        <row r="1361">
          <cell r="B1361">
            <v>38503</v>
          </cell>
          <cell r="C1361">
            <v>2072.5</v>
          </cell>
          <cell r="D1361">
            <v>2091.75</v>
          </cell>
          <cell r="E1361">
            <v>2066.5500000000002</v>
          </cell>
          <cell r="F1361">
            <v>2087.5500000000002</v>
          </cell>
        </row>
        <row r="1362">
          <cell r="B1362">
            <v>38504</v>
          </cell>
          <cell r="C1362">
            <v>2087.8000000000002</v>
          </cell>
          <cell r="D1362">
            <v>2097.6</v>
          </cell>
          <cell r="E1362">
            <v>2081.1999999999998</v>
          </cell>
          <cell r="F1362">
            <v>2087.5500000000002</v>
          </cell>
        </row>
        <row r="1363">
          <cell r="B1363">
            <v>38505</v>
          </cell>
          <cell r="C1363">
            <v>2087.85</v>
          </cell>
          <cell r="D1363">
            <v>2093.4499999999998</v>
          </cell>
          <cell r="E1363">
            <v>2062.5500000000002</v>
          </cell>
          <cell r="F1363">
            <v>2064.65</v>
          </cell>
        </row>
        <row r="1364">
          <cell r="B1364">
            <v>38506</v>
          </cell>
          <cell r="C1364">
            <v>2064.1</v>
          </cell>
          <cell r="D1364">
            <v>2097.25</v>
          </cell>
          <cell r="E1364">
            <v>2061.35</v>
          </cell>
          <cell r="F1364">
            <v>2094.25</v>
          </cell>
        </row>
        <row r="1365">
          <cell r="B1365">
            <v>38507</v>
          </cell>
          <cell r="C1365">
            <v>2094.1</v>
          </cell>
          <cell r="D1365">
            <v>2098.1</v>
          </cell>
          <cell r="E1365">
            <v>2087</v>
          </cell>
          <cell r="F1365">
            <v>2092.35</v>
          </cell>
        </row>
        <row r="1366">
          <cell r="B1366">
            <v>38509</v>
          </cell>
          <cell r="C1366">
            <v>2092</v>
          </cell>
          <cell r="D1366">
            <v>2109.1</v>
          </cell>
          <cell r="E1366">
            <v>2087.4</v>
          </cell>
          <cell r="F1366">
            <v>2092.8000000000002</v>
          </cell>
        </row>
        <row r="1367">
          <cell r="B1367">
            <v>38510</v>
          </cell>
          <cell r="C1367">
            <v>2091.9499999999998</v>
          </cell>
          <cell r="D1367">
            <v>2102.85</v>
          </cell>
          <cell r="E1367">
            <v>2084.35</v>
          </cell>
          <cell r="F1367">
            <v>2098.15</v>
          </cell>
        </row>
        <row r="1368">
          <cell r="B1368">
            <v>38511</v>
          </cell>
          <cell r="C1368">
            <v>2094.6999999999998</v>
          </cell>
          <cell r="D1368">
            <v>2115.25</v>
          </cell>
          <cell r="E1368">
            <v>2094.0500000000002</v>
          </cell>
          <cell r="F1368">
            <v>2112.4</v>
          </cell>
        </row>
        <row r="1369">
          <cell r="B1369">
            <v>38512</v>
          </cell>
          <cell r="C1369">
            <v>2112.25</v>
          </cell>
          <cell r="D1369">
            <v>2118.65</v>
          </cell>
          <cell r="E1369">
            <v>2097.5500000000002</v>
          </cell>
          <cell r="F1369">
            <v>2103.1999999999998</v>
          </cell>
        </row>
        <row r="1370">
          <cell r="B1370">
            <v>38513</v>
          </cell>
          <cell r="C1370">
            <v>2103.4499999999998</v>
          </cell>
          <cell r="D1370">
            <v>2133.1</v>
          </cell>
          <cell r="E1370">
            <v>2086.3000000000002</v>
          </cell>
          <cell r="F1370">
            <v>2090.6</v>
          </cell>
        </row>
        <row r="1371">
          <cell r="B1371">
            <v>38516</v>
          </cell>
          <cell r="C1371">
            <v>2090.6999999999998</v>
          </cell>
          <cell r="D1371">
            <v>2106.65</v>
          </cell>
          <cell r="E1371">
            <v>2081.6999999999998</v>
          </cell>
          <cell r="F1371">
            <v>2102.75</v>
          </cell>
        </row>
        <row r="1372">
          <cell r="B1372">
            <v>38517</v>
          </cell>
          <cell r="C1372">
            <v>2103.65</v>
          </cell>
          <cell r="D1372">
            <v>2113.85</v>
          </cell>
          <cell r="E1372">
            <v>2098.6999999999998</v>
          </cell>
          <cell r="F1372">
            <v>2112.35</v>
          </cell>
        </row>
        <row r="1373">
          <cell r="B1373">
            <v>38518</v>
          </cell>
          <cell r="C1373">
            <v>2110.5</v>
          </cell>
          <cell r="D1373">
            <v>2131.9499999999998</v>
          </cell>
          <cell r="E1373">
            <v>2110.35</v>
          </cell>
          <cell r="F1373">
            <v>2128.65</v>
          </cell>
        </row>
        <row r="1374">
          <cell r="B1374">
            <v>38519</v>
          </cell>
          <cell r="C1374">
            <v>2128.3000000000002</v>
          </cell>
          <cell r="D1374">
            <v>2135.1</v>
          </cell>
          <cell r="E1374">
            <v>2114.5500000000002</v>
          </cell>
          <cell r="F1374">
            <v>2123.6999999999998</v>
          </cell>
        </row>
        <row r="1375">
          <cell r="B1375">
            <v>38520</v>
          </cell>
          <cell r="C1375">
            <v>2123.6</v>
          </cell>
          <cell r="D1375">
            <v>2131.75</v>
          </cell>
          <cell r="E1375">
            <v>2103.9</v>
          </cell>
          <cell r="F1375">
            <v>2123.4</v>
          </cell>
        </row>
        <row r="1376">
          <cell r="B1376">
            <v>38523</v>
          </cell>
          <cell r="C1376">
            <v>2130.8000000000002</v>
          </cell>
          <cell r="D1376">
            <v>2150.25</v>
          </cell>
          <cell r="E1376">
            <v>2124.65</v>
          </cell>
          <cell r="F1376">
            <v>2144.35</v>
          </cell>
        </row>
        <row r="1377">
          <cell r="B1377">
            <v>38524</v>
          </cell>
          <cell r="C1377">
            <v>2144.75</v>
          </cell>
          <cell r="D1377">
            <v>2173.25</v>
          </cell>
          <cell r="E1377">
            <v>2140.15</v>
          </cell>
          <cell r="F1377">
            <v>2170</v>
          </cell>
        </row>
        <row r="1378">
          <cell r="B1378">
            <v>38525</v>
          </cell>
          <cell r="C1378">
            <v>2167.8000000000002</v>
          </cell>
          <cell r="D1378">
            <v>2196.4499999999998</v>
          </cell>
          <cell r="E1378">
            <v>2167.35</v>
          </cell>
          <cell r="F1378">
            <v>2187.35</v>
          </cell>
        </row>
        <row r="1379">
          <cell r="B1379">
            <v>38526</v>
          </cell>
          <cell r="C1379">
            <v>2187.35</v>
          </cell>
          <cell r="D1379">
            <v>2192.1</v>
          </cell>
          <cell r="E1379">
            <v>2174.0500000000002</v>
          </cell>
          <cell r="F1379">
            <v>2183.85</v>
          </cell>
        </row>
        <row r="1380">
          <cell r="B1380">
            <v>38527</v>
          </cell>
          <cell r="C1380">
            <v>2184</v>
          </cell>
          <cell r="D1380">
            <v>2204.4499999999998</v>
          </cell>
          <cell r="E1380">
            <v>2162.9499999999998</v>
          </cell>
          <cell r="F1380">
            <v>2194.35</v>
          </cell>
        </row>
        <row r="1381">
          <cell r="B1381">
            <v>38530</v>
          </cell>
          <cell r="C1381">
            <v>2194.35</v>
          </cell>
          <cell r="D1381">
            <v>2219.65</v>
          </cell>
          <cell r="E1381">
            <v>2188.15</v>
          </cell>
          <cell r="F1381">
            <v>2199.8000000000002</v>
          </cell>
        </row>
        <row r="1382">
          <cell r="B1382">
            <v>38531</v>
          </cell>
          <cell r="C1382">
            <v>2199.8000000000002</v>
          </cell>
          <cell r="D1382">
            <v>2206.8000000000002</v>
          </cell>
          <cell r="E1382">
            <v>2165.9</v>
          </cell>
          <cell r="F1382">
            <v>2169.85</v>
          </cell>
        </row>
        <row r="1383">
          <cell r="B1383">
            <v>38532</v>
          </cell>
          <cell r="C1383">
            <v>2170.1999999999998</v>
          </cell>
          <cell r="D1383">
            <v>2194.25</v>
          </cell>
          <cell r="E1383">
            <v>2162</v>
          </cell>
          <cell r="F1383">
            <v>2191.65</v>
          </cell>
        </row>
        <row r="1384">
          <cell r="B1384">
            <v>38533</v>
          </cell>
          <cell r="C1384">
            <v>2191.5500000000002</v>
          </cell>
          <cell r="D1384">
            <v>2226.15</v>
          </cell>
          <cell r="E1384">
            <v>2189.4499999999998</v>
          </cell>
          <cell r="F1384">
            <v>2220.6</v>
          </cell>
        </row>
        <row r="1385">
          <cell r="B1385">
            <v>38534</v>
          </cell>
          <cell r="C1385">
            <v>2220.4499999999998</v>
          </cell>
          <cell r="D1385">
            <v>2220.5500000000002</v>
          </cell>
          <cell r="E1385">
            <v>2198.9</v>
          </cell>
          <cell r="F1385">
            <v>2211.9</v>
          </cell>
        </row>
        <row r="1386">
          <cell r="B1386">
            <v>38537</v>
          </cell>
          <cell r="C1386">
            <v>2212.0500000000002</v>
          </cell>
          <cell r="D1386">
            <v>2232.1999999999998</v>
          </cell>
          <cell r="E1386">
            <v>2211.4</v>
          </cell>
          <cell r="F1386">
            <v>2230.65</v>
          </cell>
        </row>
        <row r="1387">
          <cell r="B1387">
            <v>38538</v>
          </cell>
          <cell r="C1387">
            <v>2231.1999999999998</v>
          </cell>
          <cell r="D1387">
            <v>2238.6</v>
          </cell>
          <cell r="E1387">
            <v>2205.1</v>
          </cell>
          <cell r="F1387">
            <v>2210.75</v>
          </cell>
        </row>
        <row r="1388">
          <cell r="B1388">
            <v>38539</v>
          </cell>
          <cell r="C1388">
            <v>2211.35</v>
          </cell>
          <cell r="D1388">
            <v>2232.65</v>
          </cell>
          <cell r="E1388">
            <v>2211.3000000000002</v>
          </cell>
          <cell r="F1388">
            <v>2228.1999999999998</v>
          </cell>
        </row>
        <row r="1389">
          <cell r="B1389">
            <v>38540</v>
          </cell>
          <cell r="C1389">
            <v>2228.3000000000002</v>
          </cell>
          <cell r="D1389">
            <v>2235.8000000000002</v>
          </cell>
          <cell r="E1389">
            <v>2171.25</v>
          </cell>
          <cell r="F1389">
            <v>2179.4</v>
          </cell>
        </row>
        <row r="1390">
          <cell r="B1390">
            <v>38541</v>
          </cell>
          <cell r="C1390">
            <v>2183.5500000000002</v>
          </cell>
          <cell r="D1390">
            <v>2210.6999999999998</v>
          </cell>
          <cell r="E1390">
            <v>2179.0500000000002</v>
          </cell>
          <cell r="F1390">
            <v>2196.1999999999998</v>
          </cell>
        </row>
        <row r="1391">
          <cell r="B1391">
            <v>38544</v>
          </cell>
          <cell r="C1391">
            <v>2195.5500000000002</v>
          </cell>
          <cell r="D1391">
            <v>2224.65</v>
          </cell>
          <cell r="E1391">
            <v>2195.5500000000002</v>
          </cell>
          <cell r="F1391">
            <v>2218.85</v>
          </cell>
        </row>
        <row r="1392">
          <cell r="B1392">
            <v>38545</v>
          </cell>
          <cell r="C1392">
            <v>2219.1</v>
          </cell>
          <cell r="D1392">
            <v>2233.1999999999998</v>
          </cell>
          <cell r="E1392">
            <v>2191.6999999999998</v>
          </cell>
          <cell r="F1392">
            <v>2220.8000000000002</v>
          </cell>
        </row>
        <row r="1393">
          <cell r="B1393">
            <v>38546</v>
          </cell>
          <cell r="C1393">
            <v>2221.4499999999998</v>
          </cell>
          <cell r="D1393">
            <v>2234.15</v>
          </cell>
          <cell r="E1393">
            <v>2200.0500000000002</v>
          </cell>
          <cell r="F1393">
            <v>2204.0500000000002</v>
          </cell>
        </row>
        <row r="1394">
          <cell r="B1394">
            <v>38547</v>
          </cell>
          <cell r="C1394">
            <v>2204.4</v>
          </cell>
          <cell r="D1394">
            <v>2212.5500000000002</v>
          </cell>
          <cell r="E1394">
            <v>2178.6</v>
          </cell>
          <cell r="F1394">
            <v>2185.1</v>
          </cell>
        </row>
        <row r="1395">
          <cell r="B1395">
            <v>38548</v>
          </cell>
          <cell r="C1395">
            <v>2185.1</v>
          </cell>
          <cell r="D1395">
            <v>2216.5</v>
          </cell>
          <cell r="E1395">
            <v>2181.85</v>
          </cell>
          <cell r="F1395">
            <v>2212.5500000000002</v>
          </cell>
        </row>
        <row r="1396">
          <cell r="B1396">
            <v>38551</v>
          </cell>
          <cell r="C1396">
            <v>2212.9499999999998</v>
          </cell>
          <cell r="D1396">
            <v>2248.6999999999998</v>
          </cell>
          <cell r="E1396">
            <v>2212.9499999999998</v>
          </cell>
          <cell r="F1396">
            <v>2234</v>
          </cell>
        </row>
        <row r="1397">
          <cell r="B1397">
            <v>38552</v>
          </cell>
          <cell r="C1397">
            <v>2234.25</v>
          </cell>
          <cell r="D1397">
            <v>2246.6999999999998</v>
          </cell>
          <cell r="E1397">
            <v>2227.1999999999998</v>
          </cell>
          <cell r="F1397">
            <v>2237.3000000000002</v>
          </cell>
        </row>
        <row r="1398">
          <cell r="B1398">
            <v>38553</v>
          </cell>
          <cell r="C1398">
            <v>2236.9</v>
          </cell>
          <cell r="D1398">
            <v>2252</v>
          </cell>
          <cell r="E1398">
            <v>2236.9</v>
          </cell>
          <cell r="F1398">
            <v>2241.9</v>
          </cell>
        </row>
        <row r="1399">
          <cell r="B1399">
            <v>38554</v>
          </cell>
          <cell r="C1399">
            <v>2240.9499999999998</v>
          </cell>
          <cell r="D1399">
            <v>2251.85</v>
          </cell>
          <cell r="E1399">
            <v>2221.1999999999998</v>
          </cell>
          <cell r="F1399">
            <v>2230.5</v>
          </cell>
        </row>
        <row r="1400">
          <cell r="B1400">
            <v>38555</v>
          </cell>
          <cell r="C1400">
            <v>2231</v>
          </cell>
          <cell r="D1400">
            <v>2268.5500000000002</v>
          </cell>
          <cell r="E1400">
            <v>2223.15</v>
          </cell>
          <cell r="F1400">
            <v>2265.6</v>
          </cell>
        </row>
        <row r="1401">
          <cell r="B1401">
            <v>38558</v>
          </cell>
          <cell r="C1401">
            <v>2266.65</v>
          </cell>
          <cell r="D1401">
            <v>2293.9499999999998</v>
          </cell>
          <cell r="E1401">
            <v>2266.65</v>
          </cell>
          <cell r="F1401">
            <v>2291.75</v>
          </cell>
        </row>
        <row r="1402">
          <cell r="B1402">
            <v>38559</v>
          </cell>
          <cell r="C1402">
            <v>2289.25</v>
          </cell>
          <cell r="D1402">
            <v>2307.1</v>
          </cell>
          <cell r="E1402">
            <v>2279.8000000000002</v>
          </cell>
          <cell r="F1402">
            <v>2303.15</v>
          </cell>
        </row>
        <row r="1403">
          <cell r="B1403">
            <v>38560</v>
          </cell>
          <cell r="C1403">
            <v>2304.25</v>
          </cell>
          <cell r="D1403">
            <v>2324</v>
          </cell>
          <cell r="E1403">
            <v>2292.85</v>
          </cell>
          <cell r="F1403">
            <v>2319.1</v>
          </cell>
        </row>
        <row r="1404">
          <cell r="B1404">
            <v>38562</v>
          </cell>
          <cell r="C1404">
            <v>2318.0500000000002</v>
          </cell>
          <cell r="D1404">
            <v>2332.5500000000002</v>
          </cell>
          <cell r="E1404">
            <v>2280.85</v>
          </cell>
          <cell r="F1404">
            <v>2312.3000000000002</v>
          </cell>
        </row>
        <row r="1405">
          <cell r="B1405">
            <v>38565</v>
          </cell>
          <cell r="C1405">
            <v>2312.0500000000002</v>
          </cell>
          <cell r="D1405">
            <v>2329.9</v>
          </cell>
          <cell r="E1405">
            <v>2294.25</v>
          </cell>
          <cell r="F1405">
            <v>2318.0500000000002</v>
          </cell>
        </row>
        <row r="1406">
          <cell r="B1406">
            <v>38566</v>
          </cell>
          <cell r="C1406">
            <v>2321.9</v>
          </cell>
          <cell r="D1406">
            <v>2357.15</v>
          </cell>
          <cell r="E1406">
            <v>2319.75</v>
          </cell>
          <cell r="F1406">
            <v>2353.65</v>
          </cell>
        </row>
        <row r="1407">
          <cell r="B1407">
            <v>38567</v>
          </cell>
          <cell r="C1407">
            <v>2359.1</v>
          </cell>
          <cell r="D1407">
            <v>2377</v>
          </cell>
          <cell r="E1407">
            <v>2345.1999999999998</v>
          </cell>
          <cell r="F1407">
            <v>2357</v>
          </cell>
        </row>
        <row r="1408">
          <cell r="B1408">
            <v>38568</v>
          </cell>
          <cell r="C1408">
            <v>2357.75</v>
          </cell>
          <cell r="D1408">
            <v>2377.35</v>
          </cell>
          <cell r="E1408">
            <v>2352.0500000000002</v>
          </cell>
          <cell r="F1408">
            <v>2367.8000000000002</v>
          </cell>
        </row>
        <row r="1409">
          <cell r="B1409">
            <v>38569</v>
          </cell>
          <cell r="C1409">
            <v>2367.35</v>
          </cell>
          <cell r="D1409">
            <v>2377.1</v>
          </cell>
          <cell r="E1409">
            <v>2355.9499999999998</v>
          </cell>
          <cell r="F1409">
            <v>2361.1999999999998</v>
          </cell>
        </row>
        <row r="1410">
          <cell r="B1410">
            <v>38572</v>
          </cell>
          <cell r="C1410">
            <v>2361.9499999999998</v>
          </cell>
          <cell r="D1410">
            <v>2386.9499999999998</v>
          </cell>
          <cell r="E1410">
            <v>2320.0500000000002</v>
          </cell>
          <cell r="F1410">
            <v>2324.4</v>
          </cell>
        </row>
        <row r="1411">
          <cell r="B1411">
            <v>38573</v>
          </cell>
          <cell r="C1411">
            <v>2324.75</v>
          </cell>
          <cell r="D1411">
            <v>2342.1999999999998</v>
          </cell>
          <cell r="E1411">
            <v>2303.1</v>
          </cell>
          <cell r="F1411">
            <v>2318.6999999999998</v>
          </cell>
        </row>
        <row r="1412">
          <cell r="B1412">
            <v>38574</v>
          </cell>
          <cell r="C1412">
            <v>2322.3000000000002</v>
          </cell>
          <cell r="D1412">
            <v>2364.8000000000002</v>
          </cell>
          <cell r="E1412">
            <v>2322.0500000000002</v>
          </cell>
          <cell r="F1412">
            <v>2360.15</v>
          </cell>
        </row>
        <row r="1413">
          <cell r="B1413">
            <v>38575</v>
          </cell>
          <cell r="C1413">
            <v>2358.9</v>
          </cell>
          <cell r="D1413">
            <v>2387.3000000000002</v>
          </cell>
          <cell r="E1413">
            <v>2355.5</v>
          </cell>
          <cell r="F1413">
            <v>2380.9</v>
          </cell>
        </row>
        <row r="1414">
          <cell r="B1414">
            <v>38576</v>
          </cell>
          <cell r="C1414">
            <v>2381.0500000000002</v>
          </cell>
          <cell r="D1414">
            <v>2390.4499999999998</v>
          </cell>
          <cell r="E1414">
            <v>2356.9</v>
          </cell>
          <cell r="F1414">
            <v>2361.5500000000002</v>
          </cell>
        </row>
        <row r="1415">
          <cell r="B1415">
            <v>38580</v>
          </cell>
          <cell r="C1415">
            <v>2361.65</v>
          </cell>
          <cell r="D1415">
            <v>2379.4</v>
          </cell>
          <cell r="E1415">
            <v>2356.85</v>
          </cell>
          <cell r="F1415">
            <v>2369.8000000000002</v>
          </cell>
        </row>
        <row r="1416">
          <cell r="B1416">
            <v>38581</v>
          </cell>
          <cell r="C1416">
            <v>2369.8000000000002</v>
          </cell>
          <cell r="D1416">
            <v>2406.25</v>
          </cell>
          <cell r="E1416">
            <v>2357.5</v>
          </cell>
          <cell r="F1416">
            <v>2403.15</v>
          </cell>
        </row>
        <row r="1417">
          <cell r="B1417">
            <v>38582</v>
          </cell>
          <cell r="C1417">
            <v>2404.65</v>
          </cell>
          <cell r="D1417">
            <v>2426.65</v>
          </cell>
          <cell r="E1417">
            <v>2380.6999999999998</v>
          </cell>
          <cell r="F1417">
            <v>2388.4499999999998</v>
          </cell>
        </row>
        <row r="1418">
          <cell r="B1418">
            <v>38583</v>
          </cell>
          <cell r="C1418">
            <v>2400.8000000000002</v>
          </cell>
          <cell r="D1418">
            <v>2409.35</v>
          </cell>
          <cell r="E1418">
            <v>2378.4499999999998</v>
          </cell>
          <cell r="F1418">
            <v>2383.4499999999998</v>
          </cell>
        </row>
        <row r="1419">
          <cell r="B1419">
            <v>38586</v>
          </cell>
          <cell r="C1419">
            <v>2383.4499999999998</v>
          </cell>
          <cell r="D1419">
            <v>2403.4499999999998</v>
          </cell>
          <cell r="E1419">
            <v>2355.75</v>
          </cell>
          <cell r="F1419">
            <v>2367.85</v>
          </cell>
        </row>
        <row r="1420">
          <cell r="B1420">
            <v>38587</v>
          </cell>
          <cell r="C1420">
            <v>2369.5500000000002</v>
          </cell>
          <cell r="D1420">
            <v>2380.5</v>
          </cell>
          <cell r="E1420">
            <v>2320.35</v>
          </cell>
          <cell r="F1420">
            <v>2326.1</v>
          </cell>
        </row>
        <row r="1421">
          <cell r="B1421">
            <v>38588</v>
          </cell>
          <cell r="C1421">
            <v>2326.1</v>
          </cell>
          <cell r="D1421">
            <v>2334.9</v>
          </cell>
          <cell r="E1421">
            <v>2300.4499999999998</v>
          </cell>
          <cell r="F1421">
            <v>2322.5</v>
          </cell>
        </row>
        <row r="1422">
          <cell r="B1422">
            <v>38589</v>
          </cell>
          <cell r="C1422">
            <v>2323.1</v>
          </cell>
          <cell r="D1422">
            <v>2359.1999999999998</v>
          </cell>
          <cell r="E1422">
            <v>2320.6999999999998</v>
          </cell>
          <cell r="F1422">
            <v>2354.5500000000002</v>
          </cell>
        </row>
        <row r="1423">
          <cell r="B1423">
            <v>38590</v>
          </cell>
          <cell r="C1423">
            <v>2354.6</v>
          </cell>
          <cell r="D1423">
            <v>2368.0500000000002</v>
          </cell>
          <cell r="E1423">
            <v>2340.1999999999998</v>
          </cell>
          <cell r="F1423">
            <v>2357.0500000000002</v>
          </cell>
        </row>
        <row r="1424">
          <cell r="B1424">
            <v>38593</v>
          </cell>
          <cell r="C1424">
            <v>2359.1999999999998</v>
          </cell>
          <cell r="D1424">
            <v>2365.85</v>
          </cell>
          <cell r="E1424">
            <v>2312.6</v>
          </cell>
          <cell r="F1424">
            <v>2337.65</v>
          </cell>
        </row>
        <row r="1425">
          <cell r="B1425">
            <v>38594</v>
          </cell>
          <cell r="C1425">
            <v>2337.8000000000002</v>
          </cell>
          <cell r="D1425">
            <v>2373.8000000000002</v>
          </cell>
          <cell r="E1425">
            <v>2337.75</v>
          </cell>
          <cell r="F1425">
            <v>2367.75</v>
          </cell>
        </row>
        <row r="1426">
          <cell r="B1426">
            <v>38595</v>
          </cell>
          <cell r="C1426">
            <v>2369.0500000000002</v>
          </cell>
          <cell r="D1426">
            <v>2387</v>
          </cell>
          <cell r="E1426">
            <v>2355</v>
          </cell>
          <cell r="F1426">
            <v>2384.65</v>
          </cell>
        </row>
        <row r="1427">
          <cell r="B1427">
            <v>38596</v>
          </cell>
          <cell r="C1427">
            <v>2384.6999999999998</v>
          </cell>
          <cell r="D1427">
            <v>2412.35</v>
          </cell>
          <cell r="E1427">
            <v>2382.9</v>
          </cell>
          <cell r="F1427">
            <v>2405.75</v>
          </cell>
        </row>
        <row r="1428">
          <cell r="B1428">
            <v>38597</v>
          </cell>
          <cell r="C1428">
            <v>2406.4499999999998</v>
          </cell>
          <cell r="D1428">
            <v>2422.1</v>
          </cell>
          <cell r="E1428">
            <v>2396.1</v>
          </cell>
          <cell r="F1428">
            <v>2415.8000000000002</v>
          </cell>
        </row>
        <row r="1429">
          <cell r="B1429">
            <v>38600</v>
          </cell>
          <cell r="C1429">
            <v>2417.1</v>
          </cell>
          <cell r="D1429">
            <v>2439.5500000000002</v>
          </cell>
          <cell r="E1429">
            <v>2414.9499999999998</v>
          </cell>
          <cell r="F1429">
            <v>2422.9499999999998</v>
          </cell>
        </row>
        <row r="1430">
          <cell r="B1430">
            <v>38601</v>
          </cell>
          <cell r="C1430">
            <v>2422.4</v>
          </cell>
          <cell r="D1430">
            <v>2436.25</v>
          </cell>
          <cell r="E1430">
            <v>2417</v>
          </cell>
          <cell r="F1430">
            <v>2428.65</v>
          </cell>
        </row>
        <row r="1431">
          <cell r="B1431">
            <v>38603</v>
          </cell>
          <cell r="C1431">
            <v>2429</v>
          </cell>
          <cell r="D1431">
            <v>2456.9</v>
          </cell>
          <cell r="E1431">
            <v>2429</v>
          </cell>
          <cell r="F1431">
            <v>2454.4499999999998</v>
          </cell>
        </row>
        <row r="1432">
          <cell r="B1432">
            <v>38604</v>
          </cell>
          <cell r="C1432">
            <v>2448.8000000000002</v>
          </cell>
          <cell r="D1432">
            <v>2462.8000000000002</v>
          </cell>
          <cell r="E1432">
            <v>2441.9</v>
          </cell>
          <cell r="F1432">
            <v>2455.4499999999998</v>
          </cell>
        </row>
        <row r="1433">
          <cell r="B1433">
            <v>38607</v>
          </cell>
          <cell r="C1433">
            <v>2455.85</v>
          </cell>
          <cell r="D1433">
            <v>2486.35</v>
          </cell>
          <cell r="E1433">
            <v>2455.85</v>
          </cell>
          <cell r="F1433">
            <v>2484.15</v>
          </cell>
        </row>
        <row r="1434">
          <cell r="B1434">
            <v>38608</v>
          </cell>
          <cell r="C1434">
            <v>2484</v>
          </cell>
          <cell r="D1434">
            <v>2503</v>
          </cell>
          <cell r="E1434">
            <v>2477.1</v>
          </cell>
          <cell r="F1434">
            <v>2500.35</v>
          </cell>
        </row>
        <row r="1435">
          <cell r="B1435">
            <v>38609</v>
          </cell>
          <cell r="C1435">
            <v>2500.4</v>
          </cell>
          <cell r="D1435">
            <v>2514.75</v>
          </cell>
          <cell r="E1435">
            <v>2476</v>
          </cell>
          <cell r="F1435">
            <v>2492.4499999999998</v>
          </cell>
        </row>
        <row r="1436">
          <cell r="B1436">
            <v>38610</v>
          </cell>
          <cell r="C1436">
            <v>2492.85</v>
          </cell>
          <cell r="D1436">
            <v>2527.5</v>
          </cell>
          <cell r="E1436">
            <v>2492.75</v>
          </cell>
          <cell r="F1436">
            <v>2523.9499999999998</v>
          </cell>
        </row>
        <row r="1437">
          <cell r="B1437">
            <v>38611</v>
          </cell>
          <cell r="C1437">
            <v>2524.9</v>
          </cell>
          <cell r="D1437">
            <v>2555.1</v>
          </cell>
          <cell r="E1437">
            <v>2519.0500000000002</v>
          </cell>
          <cell r="F1437">
            <v>2552.35</v>
          </cell>
        </row>
        <row r="1438">
          <cell r="B1438">
            <v>38614</v>
          </cell>
          <cell r="C1438">
            <v>2555.4499999999998</v>
          </cell>
          <cell r="D1438">
            <v>2579.6999999999998</v>
          </cell>
          <cell r="E1438">
            <v>2550.4499999999998</v>
          </cell>
          <cell r="F1438">
            <v>2567.1</v>
          </cell>
        </row>
        <row r="1439">
          <cell r="B1439">
            <v>38615</v>
          </cell>
          <cell r="C1439">
            <v>2567.1999999999998</v>
          </cell>
          <cell r="D1439">
            <v>2582.8000000000002</v>
          </cell>
          <cell r="E1439">
            <v>2546.6</v>
          </cell>
          <cell r="F1439">
            <v>2578</v>
          </cell>
        </row>
        <row r="1440">
          <cell r="B1440">
            <v>38616</v>
          </cell>
          <cell r="C1440">
            <v>2576.6999999999998</v>
          </cell>
          <cell r="D1440">
            <v>2585.6</v>
          </cell>
          <cell r="E1440">
            <v>2504.9</v>
          </cell>
          <cell r="F1440">
            <v>2567.3000000000002</v>
          </cell>
        </row>
        <row r="1441">
          <cell r="B1441">
            <v>38617</v>
          </cell>
          <cell r="C1441">
            <v>2567.85</v>
          </cell>
          <cell r="D1441">
            <v>2580.4</v>
          </cell>
          <cell r="E1441">
            <v>2465.85</v>
          </cell>
          <cell r="F1441">
            <v>2476.5</v>
          </cell>
        </row>
        <row r="1442">
          <cell r="B1442">
            <v>38618</v>
          </cell>
          <cell r="C1442">
            <v>2480.5</v>
          </cell>
          <cell r="D1442">
            <v>2507.9</v>
          </cell>
          <cell r="E1442">
            <v>2453.0500000000002</v>
          </cell>
          <cell r="F1442">
            <v>2477.75</v>
          </cell>
        </row>
        <row r="1443">
          <cell r="B1443">
            <v>38621</v>
          </cell>
          <cell r="C1443">
            <v>2477.85</v>
          </cell>
          <cell r="D1443">
            <v>2560.85</v>
          </cell>
          <cell r="E1443">
            <v>2477.85</v>
          </cell>
          <cell r="F1443">
            <v>2557.35</v>
          </cell>
        </row>
        <row r="1444">
          <cell r="B1444">
            <v>38622</v>
          </cell>
          <cell r="C1444">
            <v>2558.5</v>
          </cell>
          <cell r="D1444">
            <v>2592.5</v>
          </cell>
          <cell r="E1444">
            <v>2549.85</v>
          </cell>
          <cell r="F1444">
            <v>2574.85</v>
          </cell>
        </row>
        <row r="1445">
          <cell r="B1445">
            <v>38623</v>
          </cell>
          <cell r="C1445">
            <v>2574.4499999999998</v>
          </cell>
          <cell r="D1445">
            <v>2602.9499999999998</v>
          </cell>
          <cell r="E1445">
            <v>2559.85</v>
          </cell>
          <cell r="F1445">
            <v>2598.0500000000002</v>
          </cell>
        </row>
        <row r="1446">
          <cell r="B1446">
            <v>38624</v>
          </cell>
          <cell r="C1446">
            <v>2598.6</v>
          </cell>
          <cell r="D1446">
            <v>2633.9</v>
          </cell>
          <cell r="E1446">
            <v>2589.4499999999998</v>
          </cell>
          <cell r="F1446">
            <v>2611.1999999999998</v>
          </cell>
        </row>
        <row r="1447">
          <cell r="B1447">
            <v>38625</v>
          </cell>
          <cell r="C1447">
            <v>2607.9</v>
          </cell>
          <cell r="D1447">
            <v>2623.05</v>
          </cell>
          <cell r="E1447">
            <v>2567.75</v>
          </cell>
          <cell r="F1447">
            <v>2601.4</v>
          </cell>
        </row>
        <row r="1448">
          <cell r="B1448">
            <v>38628</v>
          </cell>
          <cell r="C1448">
            <v>2601</v>
          </cell>
          <cell r="D1448">
            <v>2635</v>
          </cell>
          <cell r="E1448">
            <v>2597.1999999999998</v>
          </cell>
          <cell r="F1448">
            <v>2630.05</v>
          </cell>
        </row>
        <row r="1449">
          <cell r="B1449">
            <v>38629</v>
          </cell>
          <cell r="C1449">
            <v>2630</v>
          </cell>
          <cell r="D1449">
            <v>2667.05</v>
          </cell>
          <cell r="E1449">
            <v>2629.6</v>
          </cell>
          <cell r="F1449">
            <v>2663.35</v>
          </cell>
        </row>
        <row r="1450">
          <cell r="B1450">
            <v>38630</v>
          </cell>
          <cell r="C1450">
            <v>2663.7</v>
          </cell>
          <cell r="D1450">
            <v>2669.2</v>
          </cell>
          <cell r="E1450">
            <v>2636.6</v>
          </cell>
          <cell r="F1450">
            <v>2644.4</v>
          </cell>
        </row>
        <row r="1451">
          <cell r="B1451">
            <v>38631</v>
          </cell>
          <cell r="C1451">
            <v>2643.8</v>
          </cell>
          <cell r="D1451">
            <v>2643.8</v>
          </cell>
          <cell r="E1451">
            <v>2571.3000000000002</v>
          </cell>
          <cell r="F1451">
            <v>2579.15</v>
          </cell>
        </row>
        <row r="1452">
          <cell r="B1452">
            <v>38632</v>
          </cell>
          <cell r="C1452">
            <v>2577.1999999999998</v>
          </cell>
          <cell r="D1452">
            <v>2603.25</v>
          </cell>
          <cell r="E1452">
            <v>2547.5500000000002</v>
          </cell>
          <cell r="F1452">
            <v>2574.0500000000002</v>
          </cell>
        </row>
        <row r="1453">
          <cell r="B1453">
            <v>38635</v>
          </cell>
          <cell r="C1453">
            <v>2577.1</v>
          </cell>
          <cell r="D1453">
            <v>2595.15</v>
          </cell>
          <cell r="E1453">
            <v>2561</v>
          </cell>
          <cell r="F1453">
            <v>2566.85</v>
          </cell>
        </row>
        <row r="1454">
          <cell r="B1454">
            <v>38636</v>
          </cell>
          <cell r="C1454">
            <v>2569.15</v>
          </cell>
          <cell r="D1454">
            <v>2592</v>
          </cell>
          <cell r="E1454">
            <v>2533.6999999999998</v>
          </cell>
          <cell r="F1454">
            <v>2589.5500000000002</v>
          </cell>
        </row>
        <row r="1455">
          <cell r="B1455">
            <v>38638</v>
          </cell>
          <cell r="C1455">
            <v>2584.4</v>
          </cell>
          <cell r="D1455">
            <v>2589.35</v>
          </cell>
          <cell r="E1455">
            <v>2529.0500000000002</v>
          </cell>
          <cell r="F1455">
            <v>2537.3000000000002</v>
          </cell>
        </row>
        <row r="1456">
          <cell r="B1456">
            <v>38639</v>
          </cell>
          <cell r="C1456">
            <v>2537.6999999999998</v>
          </cell>
          <cell r="D1456">
            <v>2548</v>
          </cell>
          <cell r="E1456">
            <v>2478</v>
          </cell>
          <cell r="F1456">
            <v>2484.4</v>
          </cell>
        </row>
        <row r="1457">
          <cell r="B1457">
            <v>38642</v>
          </cell>
          <cell r="C1457">
            <v>2488.4</v>
          </cell>
          <cell r="D1457">
            <v>2498.6</v>
          </cell>
          <cell r="E1457">
            <v>2459.5</v>
          </cell>
          <cell r="F1457">
            <v>2485.15</v>
          </cell>
        </row>
        <row r="1458">
          <cell r="B1458">
            <v>38643</v>
          </cell>
          <cell r="C1458">
            <v>2485.25</v>
          </cell>
          <cell r="D1458">
            <v>2517.6999999999998</v>
          </cell>
          <cell r="E1458">
            <v>2452.5</v>
          </cell>
          <cell r="F1458">
            <v>2468.1999999999998</v>
          </cell>
        </row>
        <row r="1459">
          <cell r="B1459">
            <v>38644</v>
          </cell>
          <cell r="C1459">
            <v>2467.8000000000002</v>
          </cell>
          <cell r="D1459">
            <v>2467.85</v>
          </cell>
          <cell r="E1459">
            <v>2394.9499999999998</v>
          </cell>
          <cell r="F1459">
            <v>2412.4499999999998</v>
          </cell>
        </row>
        <row r="1460">
          <cell r="B1460">
            <v>38645</v>
          </cell>
          <cell r="C1460">
            <v>2421.4</v>
          </cell>
          <cell r="D1460">
            <v>2463.85</v>
          </cell>
          <cell r="E1460">
            <v>2363.5500000000002</v>
          </cell>
          <cell r="F1460">
            <v>2395.4499999999998</v>
          </cell>
        </row>
        <row r="1461">
          <cell r="B1461">
            <v>38646</v>
          </cell>
          <cell r="C1461">
            <v>2397.85</v>
          </cell>
          <cell r="D1461">
            <v>2447.85</v>
          </cell>
          <cell r="E1461">
            <v>2384.0500000000002</v>
          </cell>
          <cell r="F1461">
            <v>2443.75</v>
          </cell>
        </row>
        <row r="1462">
          <cell r="B1462">
            <v>38649</v>
          </cell>
          <cell r="C1462">
            <v>2444.1999999999998</v>
          </cell>
          <cell r="D1462">
            <v>2460</v>
          </cell>
          <cell r="E1462">
            <v>2388.4</v>
          </cell>
          <cell r="F1462">
            <v>2394.85</v>
          </cell>
        </row>
        <row r="1463">
          <cell r="B1463">
            <v>38650</v>
          </cell>
          <cell r="C1463">
            <v>2394.9499999999998</v>
          </cell>
          <cell r="D1463">
            <v>2444.6</v>
          </cell>
          <cell r="E1463">
            <v>2390.85</v>
          </cell>
          <cell r="F1463">
            <v>2418.1999999999998</v>
          </cell>
        </row>
        <row r="1464">
          <cell r="B1464">
            <v>38651</v>
          </cell>
          <cell r="C1464">
            <v>2418.4499999999998</v>
          </cell>
          <cell r="D1464">
            <v>2434</v>
          </cell>
          <cell r="E1464">
            <v>2401.1</v>
          </cell>
          <cell r="F1464">
            <v>2408.5</v>
          </cell>
        </row>
        <row r="1465">
          <cell r="B1465">
            <v>38652</v>
          </cell>
          <cell r="C1465">
            <v>2408.9499999999998</v>
          </cell>
          <cell r="D1465">
            <v>2416.4499999999998</v>
          </cell>
          <cell r="E1465">
            <v>2338.6</v>
          </cell>
          <cell r="F1465">
            <v>2352.9</v>
          </cell>
        </row>
        <row r="1466">
          <cell r="B1466">
            <v>38653</v>
          </cell>
          <cell r="C1466">
            <v>2352.65</v>
          </cell>
          <cell r="D1466">
            <v>2355.15</v>
          </cell>
          <cell r="E1466">
            <v>2307.4499999999998</v>
          </cell>
          <cell r="F1466">
            <v>2316.0500000000002</v>
          </cell>
        </row>
        <row r="1467">
          <cell r="B1467">
            <v>38656</v>
          </cell>
          <cell r="C1467">
            <v>2314.85</v>
          </cell>
          <cell r="D1467">
            <v>2373.4</v>
          </cell>
          <cell r="E1467">
            <v>2314.1999999999998</v>
          </cell>
          <cell r="F1467">
            <v>2370.9499999999998</v>
          </cell>
        </row>
        <row r="1468">
          <cell r="B1468">
            <v>38657</v>
          </cell>
          <cell r="C1468">
            <v>2366.8000000000002</v>
          </cell>
          <cell r="D1468">
            <v>2410.15</v>
          </cell>
          <cell r="E1468">
            <v>2366.8000000000002</v>
          </cell>
          <cell r="F1468">
            <v>2386.75</v>
          </cell>
        </row>
        <row r="1469">
          <cell r="B1469">
            <v>38658</v>
          </cell>
          <cell r="C1469">
            <v>2386.4499999999998</v>
          </cell>
          <cell r="D1469">
            <v>2423.8000000000002</v>
          </cell>
          <cell r="E1469">
            <v>2367.75</v>
          </cell>
          <cell r="F1469">
            <v>2419.0500000000002</v>
          </cell>
        </row>
        <row r="1470">
          <cell r="B1470">
            <v>38663</v>
          </cell>
          <cell r="C1470">
            <v>2419.25</v>
          </cell>
          <cell r="D1470">
            <v>2464.65</v>
          </cell>
          <cell r="E1470">
            <v>2411.6</v>
          </cell>
          <cell r="F1470">
            <v>2461.6</v>
          </cell>
        </row>
        <row r="1471">
          <cell r="B1471">
            <v>38664</v>
          </cell>
          <cell r="C1471">
            <v>2463.65</v>
          </cell>
          <cell r="D1471">
            <v>2502.9</v>
          </cell>
          <cell r="E1471">
            <v>2460</v>
          </cell>
          <cell r="F1471">
            <v>2492.65</v>
          </cell>
        </row>
        <row r="1472">
          <cell r="B1472">
            <v>38665</v>
          </cell>
          <cell r="C1472">
            <v>2493.1</v>
          </cell>
          <cell r="D1472">
            <v>2519.4</v>
          </cell>
          <cell r="E1472">
            <v>2475.6999999999998</v>
          </cell>
          <cell r="F1472">
            <v>2489.1</v>
          </cell>
        </row>
        <row r="1473">
          <cell r="B1473">
            <v>38666</v>
          </cell>
          <cell r="C1473">
            <v>2489.1</v>
          </cell>
          <cell r="D1473">
            <v>2504.75</v>
          </cell>
          <cell r="E1473">
            <v>2480.85</v>
          </cell>
          <cell r="F1473">
            <v>2500.6999999999998</v>
          </cell>
        </row>
        <row r="1474">
          <cell r="B1474">
            <v>38667</v>
          </cell>
          <cell r="C1474">
            <v>2500.85</v>
          </cell>
          <cell r="D1474">
            <v>2551.4</v>
          </cell>
          <cell r="E1474">
            <v>2500.85</v>
          </cell>
          <cell r="F1474">
            <v>2548.65</v>
          </cell>
        </row>
        <row r="1475">
          <cell r="B1475">
            <v>38670</v>
          </cell>
          <cell r="C1475">
            <v>2548.5500000000002</v>
          </cell>
          <cell r="D1475">
            <v>2576.9499999999998</v>
          </cell>
          <cell r="E1475">
            <v>2534.4</v>
          </cell>
          <cell r="F1475">
            <v>2558.6999999999998</v>
          </cell>
        </row>
        <row r="1476">
          <cell r="B1476">
            <v>38672</v>
          </cell>
          <cell r="C1476">
            <v>2559.4499999999998</v>
          </cell>
          <cell r="D1476">
            <v>2585.9499999999998</v>
          </cell>
          <cell r="E1476">
            <v>2559.4499999999998</v>
          </cell>
          <cell r="F1476">
            <v>2582.75</v>
          </cell>
        </row>
        <row r="1477">
          <cell r="B1477">
            <v>38673</v>
          </cell>
          <cell r="C1477">
            <v>2558.4499999999998</v>
          </cell>
          <cell r="D1477">
            <v>2608.85</v>
          </cell>
          <cell r="E1477">
            <v>2558.4499999999998</v>
          </cell>
          <cell r="F1477">
            <v>2603.9499999999998</v>
          </cell>
        </row>
        <row r="1478">
          <cell r="B1478">
            <v>38674</v>
          </cell>
          <cell r="C1478">
            <v>2604</v>
          </cell>
          <cell r="D1478">
            <v>2632.35</v>
          </cell>
          <cell r="E1478">
            <v>2595.15</v>
          </cell>
          <cell r="F1478">
            <v>2620.0500000000002</v>
          </cell>
        </row>
        <row r="1479">
          <cell r="B1479">
            <v>38677</v>
          </cell>
          <cell r="C1479">
            <v>2620.1</v>
          </cell>
          <cell r="D1479">
            <v>2626.4</v>
          </cell>
          <cell r="E1479">
            <v>2591.75</v>
          </cell>
          <cell r="F1479">
            <v>2602.5</v>
          </cell>
        </row>
        <row r="1480">
          <cell r="B1480">
            <v>38678</v>
          </cell>
          <cell r="C1480">
            <v>2603.25</v>
          </cell>
          <cell r="D1480">
            <v>2614</v>
          </cell>
          <cell r="E1480">
            <v>2567.0500000000002</v>
          </cell>
          <cell r="F1480">
            <v>2572.85</v>
          </cell>
        </row>
        <row r="1481">
          <cell r="B1481">
            <v>38679</v>
          </cell>
          <cell r="C1481">
            <v>2572.85</v>
          </cell>
          <cell r="D1481">
            <v>2613.4</v>
          </cell>
          <cell r="E1481">
            <v>2563.1</v>
          </cell>
          <cell r="F1481">
            <v>2608.6</v>
          </cell>
        </row>
        <row r="1482">
          <cell r="B1482">
            <v>38680</v>
          </cell>
          <cell r="C1482">
            <v>2608.9</v>
          </cell>
          <cell r="D1482">
            <v>2643.7</v>
          </cell>
          <cell r="E1482">
            <v>2608.6999999999998</v>
          </cell>
          <cell r="F1482">
            <v>2635</v>
          </cell>
        </row>
        <row r="1483">
          <cell r="B1483">
            <v>38681</v>
          </cell>
          <cell r="C1483">
            <v>2635.35</v>
          </cell>
          <cell r="D1483">
            <v>2668.9</v>
          </cell>
          <cell r="E1483">
            <v>2633.75</v>
          </cell>
          <cell r="F1483">
            <v>2664.3</v>
          </cell>
        </row>
        <row r="1484">
          <cell r="B1484">
            <v>38682</v>
          </cell>
          <cell r="C1484">
            <v>2664.85</v>
          </cell>
          <cell r="D1484">
            <v>2686.5</v>
          </cell>
          <cell r="E1484">
            <v>2664.7</v>
          </cell>
          <cell r="F1484">
            <v>2683.45</v>
          </cell>
        </row>
        <row r="1485">
          <cell r="B1485">
            <v>38684</v>
          </cell>
          <cell r="C1485">
            <v>2683.6</v>
          </cell>
          <cell r="D1485">
            <v>2717.15</v>
          </cell>
          <cell r="E1485">
            <v>2682.65</v>
          </cell>
          <cell r="F1485">
            <v>2712</v>
          </cell>
        </row>
        <row r="1486">
          <cell r="B1486">
            <v>38685</v>
          </cell>
          <cell r="C1486">
            <v>2712.35</v>
          </cell>
          <cell r="D1486">
            <v>2713.9</v>
          </cell>
          <cell r="E1486">
            <v>2679.9</v>
          </cell>
          <cell r="F1486">
            <v>2698.3</v>
          </cell>
        </row>
        <row r="1487">
          <cell r="B1487">
            <v>38686</v>
          </cell>
          <cell r="C1487">
            <v>2698.1</v>
          </cell>
          <cell r="D1487">
            <v>2727.05</v>
          </cell>
          <cell r="E1487">
            <v>2647.1</v>
          </cell>
          <cell r="F1487">
            <v>2652.25</v>
          </cell>
        </row>
        <row r="1488">
          <cell r="B1488">
            <v>38687</v>
          </cell>
          <cell r="C1488">
            <v>2651.6</v>
          </cell>
          <cell r="D1488">
            <v>2705</v>
          </cell>
          <cell r="E1488">
            <v>2641.95</v>
          </cell>
          <cell r="F1488">
            <v>2698.95</v>
          </cell>
        </row>
        <row r="1489">
          <cell r="B1489">
            <v>38688</v>
          </cell>
          <cell r="C1489">
            <v>2699.55</v>
          </cell>
          <cell r="D1489">
            <v>2730.7</v>
          </cell>
          <cell r="E1489">
            <v>2691.5</v>
          </cell>
          <cell r="F1489">
            <v>2697.95</v>
          </cell>
        </row>
        <row r="1490">
          <cell r="B1490">
            <v>38691</v>
          </cell>
          <cell r="C1490">
            <v>2697.6</v>
          </cell>
          <cell r="D1490">
            <v>2710.65</v>
          </cell>
          <cell r="E1490">
            <v>2654.35</v>
          </cell>
          <cell r="F1490">
            <v>2660.5</v>
          </cell>
        </row>
        <row r="1491">
          <cell r="B1491">
            <v>38692</v>
          </cell>
          <cell r="C1491">
            <v>2661.4</v>
          </cell>
          <cell r="D1491">
            <v>2694.4</v>
          </cell>
          <cell r="E1491">
            <v>2647.35</v>
          </cell>
          <cell r="F1491">
            <v>2662.3</v>
          </cell>
        </row>
        <row r="1492">
          <cell r="B1492">
            <v>38693</v>
          </cell>
          <cell r="C1492">
            <v>2662.3</v>
          </cell>
          <cell r="D1492">
            <v>2697.1</v>
          </cell>
          <cell r="E1492">
            <v>2662.3</v>
          </cell>
          <cell r="F1492">
            <v>2693</v>
          </cell>
        </row>
        <row r="1493">
          <cell r="B1493">
            <v>38694</v>
          </cell>
          <cell r="C1493">
            <v>2694.95</v>
          </cell>
          <cell r="D1493">
            <v>2711.6</v>
          </cell>
          <cell r="E1493">
            <v>2673.5</v>
          </cell>
          <cell r="F1493">
            <v>2706.7</v>
          </cell>
        </row>
        <row r="1494">
          <cell r="B1494">
            <v>38695</v>
          </cell>
          <cell r="C1494">
            <v>2706.75</v>
          </cell>
          <cell r="D1494">
            <v>2761.1</v>
          </cell>
          <cell r="E1494">
            <v>2698</v>
          </cell>
          <cell r="F1494">
            <v>2756.45</v>
          </cell>
        </row>
        <row r="1495">
          <cell r="B1495">
            <v>38698</v>
          </cell>
          <cell r="C1495">
            <v>2756.4</v>
          </cell>
          <cell r="D1495">
            <v>2789.35</v>
          </cell>
          <cell r="E1495">
            <v>2756.4</v>
          </cell>
          <cell r="F1495">
            <v>2776.2</v>
          </cell>
        </row>
        <row r="1496">
          <cell r="B1496">
            <v>38699</v>
          </cell>
          <cell r="C1496">
            <v>2776.8</v>
          </cell>
          <cell r="D1496">
            <v>2815.3</v>
          </cell>
          <cell r="E1496">
            <v>2764.65</v>
          </cell>
          <cell r="F1496">
            <v>2812.3</v>
          </cell>
        </row>
        <row r="1497">
          <cell r="B1497">
            <v>38700</v>
          </cell>
          <cell r="C1497">
            <v>2812.8</v>
          </cell>
          <cell r="D1497">
            <v>2825.65</v>
          </cell>
          <cell r="E1497">
            <v>2788.3</v>
          </cell>
          <cell r="F1497">
            <v>2804.55</v>
          </cell>
        </row>
        <row r="1498">
          <cell r="B1498">
            <v>38701</v>
          </cell>
          <cell r="C1498">
            <v>2805.2</v>
          </cell>
          <cell r="D1498">
            <v>2821.5</v>
          </cell>
          <cell r="E1498">
            <v>2763.35</v>
          </cell>
          <cell r="F1498">
            <v>2778.55</v>
          </cell>
        </row>
        <row r="1499">
          <cell r="B1499">
            <v>38702</v>
          </cell>
          <cell r="C1499">
            <v>2778.65</v>
          </cell>
          <cell r="D1499">
            <v>2814.9</v>
          </cell>
          <cell r="E1499">
            <v>2766.5</v>
          </cell>
          <cell r="F1499">
            <v>2810.15</v>
          </cell>
        </row>
        <row r="1500">
          <cell r="B1500">
            <v>38705</v>
          </cell>
          <cell r="C1500">
            <v>2808.35</v>
          </cell>
          <cell r="D1500">
            <v>2846</v>
          </cell>
          <cell r="E1500">
            <v>2803.45</v>
          </cell>
          <cell r="F1500">
            <v>2842.6</v>
          </cell>
        </row>
        <row r="1501">
          <cell r="B1501">
            <v>38706</v>
          </cell>
          <cell r="C1501">
            <v>2843.15</v>
          </cell>
          <cell r="D1501">
            <v>2853.1</v>
          </cell>
          <cell r="E1501">
            <v>2815.2</v>
          </cell>
          <cell r="F1501">
            <v>2826.2</v>
          </cell>
        </row>
        <row r="1502">
          <cell r="B1502">
            <v>38707</v>
          </cell>
          <cell r="C1502">
            <v>2826.45</v>
          </cell>
          <cell r="D1502">
            <v>2847.3</v>
          </cell>
          <cell r="E1502">
            <v>2799.45</v>
          </cell>
          <cell r="F1502">
            <v>2822.9</v>
          </cell>
        </row>
        <row r="1503">
          <cell r="B1503">
            <v>38708</v>
          </cell>
          <cell r="C1503">
            <v>2826.7</v>
          </cell>
          <cell r="D1503">
            <v>2846.65</v>
          </cell>
          <cell r="E1503">
            <v>2818.65</v>
          </cell>
          <cell r="F1503">
            <v>2835.25</v>
          </cell>
        </row>
        <row r="1504">
          <cell r="B1504">
            <v>38709</v>
          </cell>
          <cell r="C1504">
            <v>2835.7</v>
          </cell>
          <cell r="D1504">
            <v>2857</v>
          </cell>
          <cell r="E1504">
            <v>2799.7</v>
          </cell>
          <cell r="F1504">
            <v>2804.85</v>
          </cell>
        </row>
        <row r="1505">
          <cell r="B1505">
            <v>38712</v>
          </cell>
          <cell r="C1505">
            <v>2804.3</v>
          </cell>
          <cell r="D1505">
            <v>2804.3</v>
          </cell>
          <cell r="E1505">
            <v>2741.8</v>
          </cell>
          <cell r="F1505">
            <v>2749.6</v>
          </cell>
        </row>
        <row r="1506">
          <cell r="B1506">
            <v>38713</v>
          </cell>
          <cell r="C1506">
            <v>2746.25</v>
          </cell>
          <cell r="D1506">
            <v>2812.6</v>
          </cell>
          <cell r="E1506">
            <v>2725.7</v>
          </cell>
          <cell r="F1506">
            <v>2805.9</v>
          </cell>
        </row>
        <row r="1507">
          <cell r="B1507">
            <v>38714</v>
          </cell>
          <cell r="C1507">
            <v>2806.8</v>
          </cell>
          <cell r="D1507">
            <v>2824.3</v>
          </cell>
          <cell r="E1507">
            <v>2780</v>
          </cell>
          <cell r="F1507">
            <v>2794.05</v>
          </cell>
        </row>
        <row r="1508">
          <cell r="B1508">
            <v>38715</v>
          </cell>
          <cell r="C1508">
            <v>2792.75</v>
          </cell>
          <cell r="D1508">
            <v>2829.4</v>
          </cell>
          <cell r="E1508">
            <v>2792.75</v>
          </cell>
          <cell r="F1508">
            <v>2821.95</v>
          </cell>
        </row>
        <row r="1509">
          <cell r="B1509">
            <v>38716</v>
          </cell>
          <cell r="C1509">
            <v>2823.95</v>
          </cell>
          <cell r="D1509">
            <v>2845.55</v>
          </cell>
          <cell r="E1509">
            <v>2812.75</v>
          </cell>
          <cell r="F1509">
            <v>2836.55</v>
          </cell>
        </row>
        <row r="1510">
          <cell r="B1510">
            <v>38719</v>
          </cell>
          <cell r="C1510">
            <v>2836.8</v>
          </cell>
          <cell r="D1510">
            <v>2849.45</v>
          </cell>
          <cell r="E1510">
            <v>2825.4</v>
          </cell>
          <cell r="F1510">
            <v>2835.95</v>
          </cell>
        </row>
        <row r="1511">
          <cell r="B1511">
            <v>38720</v>
          </cell>
          <cell r="C1511">
            <v>2835.95</v>
          </cell>
          <cell r="D1511">
            <v>2887.2</v>
          </cell>
          <cell r="E1511">
            <v>2832.05</v>
          </cell>
          <cell r="F1511">
            <v>2883.35</v>
          </cell>
        </row>
        <row r="1512">
          <cell r="B1512">
            <v>38721</v>
          </cell>
          <cell r="C1512">
            <v>2883</v>
          </cell>
          <cell r="D1512">
            <v>2909.35</v>
          </cell>
          <cell r="E1512">
            <v>2883</v>
          </cell>
          <cell r="F1512">
            <v>2904.4</v>
          </cell>
        </row>
        <row r="1513">
          <cell r="B1513">
            <v>38722</v>
          </cell>
          <cell r="C1513">
            <v>2904.45</v>
          </cell>
          <cell r="D1513">
            <v>2916.2</v>
          </cell>
          <cell r="E1513">
            <v>2884.8</v>
          </cell>
          <cell r="F1513">
            <v>2899.85</v>
          </cell>
        </row>
        <row r="1514">
          <cell r="B1514">
            <v>38723</v>
          </cell>
          <cell r="C1514">
            <v>2899.85</v>
          </cell>
          <cell r="D1514">
            <v>2921.7</v>
          </cell>
          <cell r="E1514">
            <v>2877.25</v>
          </cell>
          <cell r="F1514">
            <v>2914</v>
          </cell>
        </row>
        <row r="1515">
          <cell r="B1515">
            <v>38726</v>
          </cell>
          <cell r="C1515">
            <v>2913.35</v>
          </cell>
          <cell r="D1515">
            <v>2927.25</v>
          </cell>
          <cell r="E1515">
            <v>2898.25</v>
          </cell>
          <cell r="F1515">
            <v>2910.1</v>
          </cell>
        </row>
        <row r="1516">
          <cell r="B1516">
            <v>38727</v>
          </cell>
          <cell r="C1516">
            <v>2910.15</v>
          </cell>
          <cell r="D1516">
            <v>2913.05</v>
          </cell>
          <cell r="E1516">
            <v>2865.6</v>
          </cell>
          <cell r="F1516">
            <v>2870.8</v>
          </cell>
        </row>
        <row r="1517">
          <cell r="B1517">
            <v>38729</v>
          </cell>
          <cell r="C1517">
            <v>2869.35</v>
          </cell>
          <cell r="D1517">
            <v>2869.35</v>
          </cell>
          <cell r="E1517">
            <v>2824</v>
          </cell>
          <cell r="F1517">
            <v>2850.7</v>
          </cell>
        </row>
        <row r="1518">
          <cell r="B1518">
            <v>38730</v>
          </cell>
          <cell r="C1518">
            <v>2851.4</v>
          </cell>
          <cell r="D1518">
            <v>2878.35</v>
          </cell>
          <cell r="E1518">
            <v>2846.7</v>
          </cell>
          <cell r="F1518">
            <v>2850.55</v>
          </cell>
        </row>
        <row r="1519">
          <cell r="B1519">
            <v>38733</v>
          </cell>
          <cell r="C1519">
            <v>2851.35</v>
          </cell>
          <cell r="D1519">
            <v>2855.7</v>
          </cell>
          <cell r="E1519">
            <v>2824.05</v>
          </cell>
          <cell r="F1519">
            <v>2833.1</v>
          </cell>
        </row>
        <row r="1520">
          <cell r="B1520">
            <v>38734</v>
          </cell>
          <cell r="C1520">
            <v>2833.8</v>
          </cell>
          <cell r="D1520">
            <v>2861.25</v>
          </cell>
          <cell r="E1520">
            <v>2820.65</v>
          </cell>
          <cell r="F1520">
            <v>2829.1</v>
          </cell>
        </row>
        <row r="1521">
          <cell r="B1521">
            <v>38735</v>
          </cell>
          <cell r="C1521">
            <v>2809.9</v>
          </cell>
          <cell r="D1521">
            <v>2840.1</v>
          </cell>
          <cell r="E1521">
            <v>2783.85</v>
          </cell>
          <cell r="F1521">
            <v>2809.2</v>
          </cell>
        </row>
        <row r="1522">
          <cell r="B1522">
            <v>38736</v>
          </cell>
          <cell r="C1522">
            <v>2811.1</v>
          </cell>
          <cell r="D1522">
            <v>2875.95</v>
          </cell>
          <cell r="E1522">
            <v>2811.1</v>
          </cell>
          <cell r="F1522">
            <v>2870.85</v>
          </cell>
        </row>
        <row r="1523">
          <cell r="B1523">
            <v>38737</v>
          </cell>
          <cell r="C1523">
            <v>2870.8</v>
          </cell>
          <cell r="D1523">
            <v>2912.8</v>
          </cell>
          <cell r="E1523">
            <v>2870.8</v>
          </cell>
          <cell r="F1523">
            <v>2900.95</v>
          </cell>
        </row>
        <row r="1524">
          <cell r="B1524">
            <v>38740</v>
          </cell>
          <cell r="C1524">
            <v>2900.3</v>
          </cell>
          <cell r="D1524">
            <v>2900.3</v>
          </cell>
          <cell r="E1524">
            <v>2870.95</v>
          </cell>
          <cell r="F1524">
            <v>2884.05</v>
          </cell>
        </row>
        <row r="1525">
          <cell r="B1525">
            <v>38741</v>
          </cell>
          <cell r="C1525">
            <v>2886.35</v>
          </cell>
          <cell r="D1525">
            <v>2914.25</v>
          </cell>
          <cell r="E1525">
            <v>2885.75</v>
          </cell>
          <cell r="F1525">
            <v>2908</v>
          </cell>
        </row>
        <row r="1526">
          <cell r="B1526">
            <v>38742</v>
          </cell>
          <cell r="C1526">
            <v>2908.75</v>
          </cell>
          <cell r="D1526">
            <v>2949.1</v>
          </cell>
          <cell r="E1526">
            <v>2871.25</v>
          </cell>
          <cell r="F1526">
            <v>2940.35</v>
          </cell>
        </row>
        <row r="1527">
          <cell r="B1527">
            <v>38744</v>
          </cell>
          <cell r="C1527">
            <v>2941.9</v>
          </cell>
          <cell r="D1527">
            <v>2989.7</v>
          </cell>
          <cell r="E1527">
            <v>2941.9</v>
          </cell>
          <cell r="F1527">
            <v>2982.75</v>
          </cell>
        </row>
        <row r="1528">
          <cell r="B1528">
            <v>38747</v>
          </cell>
          <cell r="C1528">
            <v>2983.3</v>
          </cell>
          <cell r="D1528">
            <v>3002.2</v>
          </cell>
          <cell r="E1528">
            <v>2963.65</v>
          </cell>
          <cell r="F1528">
            <v>2974.5</v>
          </cell>
        </row>
        <row r="1529">
          <cell r="B1529">
            <v>38748</v>
          </cell>
          <cell r="C1529">
            <v>2968.95</v>
          </cell>
          <cell r="D1529">
            <v>3005.1</v>
          </cell>
          <cell r="E1529">
            <v>2968.85</v>
          </cell>
          <cell r="F1529">
            <v>3001.1</v>
          </cell>
        </row>
        <row r="1530">
          <cell r="B1530">
            <v>38749</v>
          </cell>
          <cell r="C1530">
            <v>3001.3</v>
          </cell>
          <cell r="D1530">
            <v>3011.05</v>
          </cell>
          <cell r="E1530">
            <v>2960.9</v>
          </cell>
          <cell r="F1530">
            <v>2971.55</v>
          </cell>
        </row>
        <row r="1531">
          <cell r="B1531">
            <v>38750</v>
          </cell>
          <cell r="C1531">
            <v>2972.2</v>
          </cell>
          <cell r="D1531">
            <v>2997.25</v>
          </cell>
          <cell r="E1531">
            <v>2957.55</v>
          </cell>
          <cell r="F1531">
            <v>2967.45</v>
          </cell>
        </row>
        <row r="1532">
          <cell r="B1532">
            <v>38751</v>
          </cell>
          <cell r="C1532">
            <v>2968.1</v>
          </cell>
          <cell r="D1532">
            <v>2973.9</v>
          </cell>
          <cell r="E1532">
            <v>2931.85</v>
          </cell>
          <cell r="F1532">
            <v>2940.6</v>
          </cell>
        </row>
        <row r="1533">
          <cell r="B1533">
            <v>38754</v>
          </cell>
          <cell r="C1533">
            <v>2940.95</v>
          </cell>
          <cell r="D1533">
            <v>3009.45</v>
          </cell>
          <cell r="E1533">
            <v>2928.1</v>
          </cell>
          <cell r="F1533">
            <v>3000.45</v>
          </cell>
        </row>
        <row r="1534">
          <cell r="B1534">
            <v>38755</v>
          </cell>
          <cell r="C1534">
            <v>3001.15</v>
          </cell>
          <cell r="D1534">
            <v>3025.1</v>
          </cell>
          <cell r="E1534">
            <v>2991.25</v>
          </cell>
          <cell r="F1534">
            <v>3020.1</v>
          </cell>
        </row>
        <row r="1535">
          <cell r="B1535">
            <v>38756</v>
          </cell>
          <cell r="C1535">
            <v>3018.2</v>
          </cell>
          <cell r="D1535">
            <v>3021.25</v>
          </cell>
          <cell r="E1535">
            <v>2984.9</v>
          </cell>
          <cell r="F1535">
            <v>3008.95</v>
          </cell>
        </row>
        <row r="1536">
          <cell r="B1536">
            <v>38758</v>
          </cell>
          <cell r="C1536">
            <v>3009.15</v>
          </cell>
          <cell r="D1536">
            <v>3031.75</v>
          </cell>
          <cell r="E1536">
            <v>3009.1</v>
          </cell>
          <cell r="F1536">
            <v>3027.55</v>
          </cell>
        </row>
        <row r="1537">
          <cell r="B1537">
            <v>38761</v>
          </cell>
          <cell r="C1537">
            <v>3026.15</v>
          </cell>
          <cell r="D1537">
            <v>3042.75</v>
          </cell>
          <cell r="E1537">
            <v>3018.5</v>
          </cell>
          <cell r="F1537">
            <v>3041.15</v>
          </cell>
        </row>
        <row r="1538">
          <cell r="B1538">
            <v>38762</v>
          </cell>
          <cell r="C1538">
            <v>3040.25</v>
          </cell>
          <cell r="D1538">
            <v>3051.7</v>
          </cell>
          <cell r="E1538">
            <v>3009.9</v>
          </cell>
          <cell r="F1538">
            <v>3017.55</v>
          </cell>
        </row>
        <row r="1539">
          <cell r="B1539">
            <v>38763</v>
          </cell>
          <cell r="C1539">
            <v>3001.4</v>
          </cell>
          <cell r="D1539">
            <v>3048.8</v>
          </cell>
          <cell r="E1539">
            <v>2995.3</v>
          </cell>
          <cell r="F1539">
            <v>3022.2</v>
          </cell>
        </row>
        <row r="1540">
          <cell r="B1540">
            <v>38764</v>
          </cell>
          <cell r="C1540">
            <v>3023.1</v>
          </cell>
          <cell r="D1540">
            <v>3036.65</v>
          </cell>
          <cell r="E1540">
            <v>3013.7</v>
          </cell>
          <cell r="F1540">
            <v>3021.6</v>
          </cell>
        </row>
        <row r="1541">
          <cell r="B1541">
            <v>38765</v>
          </cell>
          <cell r="C1541">
            <v>3021.65</v>
          </cell>
          <cell r="D1541">
            <v>3038.8</v>
          </cell>
          <cell r="E1541">
            <v>2976.7</v>
          </cell>
          <cell r="F1541">
            <v>2981.5</v>
          </cell>
        </row>
        <row r="1542">
          <cell r="B1542">
            <v>38768</v>
          </cell>
          <cell r="C1542">
            <v>2982.35</v>
          </cell>
          <cell r="D1542">
            <v>3010.65</v>
          </cell>
          <cell r="E1542">
            <v>2955.85</v>
          </cell>
          <cell r="F1542">
            <v>3005.85</v>
          </cell>
        </row>
        <row r="1543">
          <cell r="B1543">
            <v>38769</v>
          </cell>
          <cell r="C1543">
            <v>3008.55</v>
          </cell>
          <cell r="D1543">
            <v>3042.05</v>
          </cell>
          <cell r="E1543">
            <v>3008.55</v>
          </cell>
          <cell r="F1543">
            <v>3035.5</v>
          </cell>
        </row>
        <row r="1544">
          <cell r="B1544">
            <v>38770</v>
          </cell>
          <cell r="C1544">
            <v>3035.65</v>
          </cell>
          <cell r="D1544">
            <v>3055.65</v>
          </cell>
          <cell r="E1544">
            <v>3032.5</v>
          </cell>
          <cell r="F1544">
            <v>3050.8</v>
          </cell>
        </row>
        <row r="1545">
          <cell r="B1545">
            <v>38771</v>
          </cell>
          <cell r="C1545">
            <v>3050.85</v>
          </cell>
          <cell r="D1545">
            <v>3078.4</v>
          </cell>
          <cell r="E1545">
            <v>3050.85</v>
          </cell>
          <cell r="F1545">
            <v>3062.1</v>
          </cell>
        </row>
        <row r="1546">
          <cell r="B1546">
            <v>38772</v>
          </cell>
          <cell r="C1546">
            <v>3061.7</v>
          </cell>
          <cell r="D1546">
            <v>3072</v>
          </cell>
          <cell r="E1546">
            <v>3041.6</v>
          </cell>
          <cell r="F1546">
            <v>3050.05</v>
          </cell>
        </row>
        <row r="1547">
          <cell r="B1547">
            <v>38775</v>
          </cell>
          <cell r="C1547">
            <v>3050.3</v>
          </cell>
          <cell r="D1547">
            <v>3070.35</v>
          </cell>
          <cell r="E1547">
            <v>3050.3</v>
          </cell>
          <cell r="F1547">
            <v>3067.45</v>
          </cell>
        </row>
        <row r="1548">
          <cell r="B1548">
            <v>38776</v>
          </cell>
          <cell r="C1548">
            <v>3067.9</v>
          </cell>
          <cell r="D1548">
            <v>3090.3</v>
          </cell>
          <cell r="E1548">
            <v>3031.8</v>
          </cell>
          <cell r="F1548">
            <v>3074.7</v>
          </cell>
        </row>
        <row r="1549">
          <cell r="B1549">
            <v>38777</v>
          </cell>
          <cell r="C1549">
            <v>3074.6</v>
          </cell>
          <cell r="D1549">
            <v>3127.25</v>
          </cell>
          <cell r="E1549">
            <v>3064</v>
          </cell>
          <cell r="F1549">
            <v>3123.1</v>
          </cell>
        </row>
        <row r="1550">
          <cell r="B1550">
            <v>38778</v>
          </cell>
          <cell r="C1550">
            <v>3124.25</v>
          </cell>
          <cell r="D1550">
            <v>3170.35</v>
          </cell>
          <cell r="E1550">
            <v>3124.25</v>
          </cell>
          <cell r="F1550">
            <v>3150.7</v>
          </cell>
        </row>
        <row r="1551">
          <cell r="B1551">
            <v>38779</v>
          </cell>
          <cell r="C1551">
            <v>3151.3</v>
          </cell>
          <cell r="D1551">
            <v>3167.2</v>
          </cell>
          <cell r="E1551">
            <v>3132.6</v>
          </cell>
          <cell r="F1551">
            <v>3147.35</v>
          </cell>
        </row>
        <row r="1552">
          <cell r="B1552">
            <v>38782</v>
          </cell>
          <cell r="C1552">
            <v>3147.25</v>
          </cell>
          <cell r="D1552">
            <v>3194</v>
          </cell>
          <cell r="E1552">
            <v>3147.2</v>
          </cell>
          <cell r="F1552">
            <v>3190.4</v>
          </cell>
        </row>
        <row r="1553">
          <cell r="B1553">
            <v>38783</v>
          </cell>
          <cell r="C1553">
            <v>3190.45</v>
          </cell>
          <cell r="D1553">
            <v>3192.95</v>
          </cell>
          <cell r="E1553">
            <v>3166.75</v>
          </cell>
          <cell r="F1553">
            <v>3182.8</v>
          </cell>
        </row>
        <row r="1554">
          <cell r="B1554">
            <v>38784</v>
          </cell>
          <cell r="C1554">
            <v>3183.45</v>
          </cell>
          <cell r="D1554">
            <v>3187.5</v>
          </cell>
          <cell r="E1554">
            <v>3107.9</v>
          </cell>
          <cell r="F1554">
            <v>3116.7</v>
          </cell>
        </row>
        <row r="1555">
          <cell r="B1555">
            <v>38785</v>
          </cell>
          <cell r="C1555">
            <v>3116.75</v>
          </cell>
          <cell r="D1555">
            <v>3132.65</v>
          </cell>
          <cell r="E1555">
            <v>3069.85</v>
          </cell>
          <cell r="F1555">
            <v>3129.1</v>
          </cell>
        </row>
        <row r="1556">
          <cell r="B1556">
            <v>38786</v>
          </cell>
          <cell r="C1556">
            <v>3129.05</v>
          </cell>
          <cell r="D1556">
            <v>3189.35</v>
          </cell>
          <cell r="E1556">
            <v>3128.6</v>
          </cell>
          <cell r="F1556">
            <v>3183.9</v>
          </cell>
        </row>
        <row r="1557">
          <cell r="B1557">
            <v>38789</v>
          </cell>
          <cell r="C1557">
            <v>3184.1</v>
          </cell>
          <cell r="D1557">
            <v>3221.3</v>
          </cell>
          <cell r="E1557">
            <v>3174.05</v>
          </cell>
          <cell r="F1557">
            <v>3202.65</v>
          </cell>
        </row>
        <row r="1558">
          <cell r="B1558">
            <v>38790</v>
          </cell>
          <cell r="C1558">
            <v>3197.2</v>
          </cell>
          <cell r="D1558">
            <v>3223.45</v>
          </cell>
          <cell r="E1558">
            <v>3184.05</v>
          </cell>
          <cell r="F1558">
            <v>3195.35</v>
          </cell>
        </row>
        <row r="1559">
          <cell r="B1559">
            <v>38792</v>
          </cell>
          <cell r="C1559">
            <v>3197.3</v>
          </cell>
          <cell r="D1559">
            <v>3230.4</v>
          </cell>
          <cell r="E1559">
            <v>3196.95</v>
          </cell>
          <cell r="F1559">
            <v>3226.6</v>
          </cell>
        </row>
        <row r="1560">
          <cell r="B1560">
            <v>38793</v>
          </cell>
          <cell r="C1560">
            <v>3226.9</v>
          </cell>
          <cell r="D1560">
            <v>3258.3</v>
          </cell>
          <cell r="E1560">
            <v>3226.9</v>
          </cell>
          <cell r="F1560">
            <v>3234.05</v>
          </cell>
        </row>
        <row r="1561">
          <cell r="B1561">
            <v>38796</v>
          </cell>
          <cell r="C1561">
            <v>3234.2</v>
          </cell>
          <cell r="D1561">
            <v>3268.25</v>
          </cell>
          <cell r="E1561">
            <v>3234.2</v>
          </cell>
          <cell r="F1561">
            <v>3265.65</v>
          </cell>
        </row>
        <row r="1562">
          <cell r="B1562">
            <v>38797</v>
          </cell>
          <cell r="C1562">
            <v>3264.65</v>
          </cell>
          <cell r="D1562">
            <v>3292.15</v>
          </cell>
          <cell r="E1562">
            <v>3247.25</v>
          </cell>
          <cell r="F1562">
            <v>3262.3</v>
          </cell>
        </row>
        <row r="1563">
          <cell r="B1563">
            <v>38798</v>
          </cell>
          <cell r="C1563">
            <v>3263.35</v>
          </cell>
          <cell r="D1563">
            <v>3267.95</v>
          </cell>
          <cell r="E1563">
            <v>3221.95</v>
          </cell>
          <cell r="F1563">
            <v>3240.15</v>
          </cell>
        </row>
        <row r="1564">
          <cell r="B1564">
            <v>38799</v>
          </cell>
          <cell r="C1564">
            <v>3240.85</v>
          </cell>
          <cell r="D1564">
            <v>3265.6</v>
          </cell>
          <cell r="E1564">
            <v>3225.2</v>
          </cell>
          <cell r="F1564">
            <v>3247.15</v>
          </cell>
        </row>
        <row r="1565">
          <cell r="B1565">
            <v>38800</v>
          </cell>
          <cell r="C1565">
            <v>3247.15</v>
          </cell>
          <cell r="D1565">
            <v>3286.2</v>
          </cell>
          <cell r="E1565">
            <v>3242.6</v>
          </cell>
          <cell r="F1565">
            <v>3279.8</v>
          </cell>
        </row>
        <row r="1566">
          <cell r="B1566">
            <v>38803</v>
          </cell>
          <cell r="C1566">
            <v>3283.4</v>
          </cell>
          <cell r="D1566">
            <v>3327.05</v>
          </cell>
          <cell r="E1566">
            <v>3280.8</v>
          </cell>
          <cell r="F1566">
            <v>3321.65</v>
          </cell>
        </row>
        <row r="1567">
          <cell r="B1567">
            <v>38804</v>
          </cell>
          <cell r="C1567">
            <v>3321.45</v>
          </cell>
          <cell r="D1567">
            <v>3344.5</v>
          </cell>
          <cell r="E1567">
            <v>3311.85</v>
          </cell>
          <cell r="F1567">
            <v>3325</v>
          </cell>
        </row>
        <row r="1568">
          <cell r="B1568">
            <v>38805</v>
          </cell>
          <cell r="C1568">
            <v>3324.85</v>
          </cell>
          <cell r="D1568">
            <v>3359.8</v>
          </cell>
          <cell r="E1568">
            <v>3324.8</v>
          </cell>
          <cell r="F1568">
            <v>3354.2</v>
          </cell>
        </row>
        <row r="1569">
          <cell r="B1569">
            <v>38806</v>
          </cell>
          <cell r="C1569">
            <v>3354.25</v>
          </cell>
          <cell r="D1569">
            <v>3433.85</v>
          </cell>
          <cell r="E1569">
            <v>3354.25</v>
          </cell>
          <cell r="F1569">
            <v>3418.95</v>
          </cell>
        </row>
        <row r="1570">
          <cell r="B1570">
            <v>38807</v>
          </cell>
          <cell r="C1570">
            <v>3420.55</v>
          </cell>
          <cell r="D1570">
            <v>3425.45</v>
          </cell>
          <cell r="E1570">
            <v>3381.9</v>
          </cell>
          <cell r="F1570">
            <v>3402.55</v>
          </cell>
        </row>
        <row r="1571">
          <cell r="B1571">
            <v>38810</v>
          </cell>
          <cell r="C1571">
            <v>3403.15</v>
          </cell>
          <cell r="D1571">
            <v>3478.25</v>
          </cell>
          <cell r="E1571">
            <v>3402.45</v>
          </cell>
          <cell r="F1571">
            <v>3473.3</v>
          </cell>
        </row>
        <row r="1572">
          <cell r="B1572">
            <v>38811</v>
          </cell>
          <cell r="C1572">
            <v>3473.1</v>
          </cell>
          <cell r="D1572">
            <v>3508.25</v>
          </cell>
          <cell r="E1572">
            <v>3463.85</v>
          </cell>
          <cell r="F1572">
            <v>3483.15</v>
          </cell>
        </row>
        <row r="1573">
          <cell r="B1573">
            <v>38812</v>
          </cell>
          <cell r="C1573">
            <v>3483.15</v>
          </cell>
          <cell r="D1573">
            <v>3513.95</v>
          </cell>
          <cell r="E1573">
            <v>3483.15</v>
          </cell>
          <cell r="F1573">
            <v>3510.9</v>
          </cell>
        </row>
        <row r="1574">
          <cell r="B1574">
            <v>38814</v>
          </cell>
          <cell r="C1574">
            <v>3525.6</v>
          </cell>
          <cell r="D1574">
            <v>3555.5</v>
          </cell>
          <cell r="E1574">
            <v>3445.9</v>
          </cell>
          <cell r="F1574">
            <v>3454.8</v>
          </cell>
        </row>
        <row r="1575">
          <cell r="B1575">
            <v>38817</v>
          </cell>
          <cell r="C1575">
            <v>3455</v>
          </cell>
          <cell r="D1575">
            <v>3489.05</v>
          </cell>
          <cell r="E1575">
            <v>3430.4</v>
          </cell>
          <cell r="F1575">
            <v>3478.45</v>
          </cell>
        </row>
        <row r="1576">
          <cell r="B1576">
            <v>38819</v>
          </cell>
          <cell r="C1576">
            <v>3479.1</v>
          </cell>
          <cell r="D1576">
            <v>3484.65</v>
          </cell>
          <cell r="E1576">
            <v>3366.75</v>
          </cell>
          <cell r="F1576">
            <v>3380</v>
          </cell>
        </row>
        <row r="1577">
          <cell r="B1577">
            <v>38820</v>
          </cell>
          <cell r="C1577">
            <v>3380.4</v>
          </cell>
          <cell r="D1577">
            <v>3391.05</v>
          </cell>
          <cell r="E1577">
            <v>3290.35</v>
          </cell>
          <cell r="F1577">
            <v>3345.5</v>
          </cell>
        </row>
        <row r="1578">
          <cell r="B1578">
            <v>38824</v>
          </cell>
          <cell r="C1578">
            <v>3342.15</v>
          </cell>
          <cell r="D1578">
            <v>3433.65</v>
          </cell>
          <cell r="E1578">
            <v>3342.15</v>
          </cell>
          <cell r="F1578">
            <v>3425.15</v>
          </cell>
        </row>
        <row r="1579">
          <cell r="B1579">
            <v>38825</v>
          </cell>
          <cell r="C1579">
            <v>3429</v>
          </cell>
          <cell r="D1579">
            <v>3521.95</v>
          </cell>
          <cell r="E1579">
            <v>3429</v>
          </cell>
          <cell r="F1579">
            <v>3518.1</v>
          </cell>
        </row>
        <row r="1580">
          <cell r="B1580">
            <v>38826</v>
          </cell>
          <cell r="C1580">
            <v>3523.65</v>
          </cell>
          <cell r="D1580">
            <v>3570.5</v>
          </cell>
          <cell r="E1580">
            <v>3502.75</v>
          </cell>
          <cell r="F1580">
            <v>3535.85</v>
          </cell>
        </row>
        <row r="1581">
          <cell r="B1581">
            <v>38827</v>
          </cell>
          <cell r="C1581">
            <v>3539.8</v>
          </cell>
          <cell r="D1581">
            <v>3578.35</v>
          </cell>
          <cell r="E1581">
            <v>3527.25</v>
          </cell>
          <cell r="F1581">
            <v>3573.5</v>
          </cell>
        </row>
        <row r="1582">
          <cell r="B1582">
            <v>38828</v>
          </cell>
          <cell r="C1582">
            <v>3576.75</v>
          </cell>
          <cell r="D1582">
            <v>3592.75</v>
          </cell>
          <cell r="E1582">
            <v>3517.1</v>
          </cell>
          <cell r="F1582">
            <v>3573.05</v>
          </cell>
        </row>
        <row r="1583">
          <cell r="B1583">
            <v>38831</v>
          </cell>
          <cell r="C1583">
            <v>3572.8</v>
          </cell>
          <cell r="D1583">
            <v>3585.35</v>
          </cell>
          <cell r="E1583">
            <v>3536.3</v>
          </cell>
          <cell r="F1583">
            <v>3548.9</v>
          </cell>
        </row>
        <row r="1584">
          <cell r="B1584">
            <v>38832</v>
          </cell>
          <cell r="C1584">
            <v>3548.8</v>
          </cell>
          <cell r="D1584">
            <v>3552.65</v>
          </cell>
          <cell r="E1584">
            <v>3433.55</v>
          </cell>
          <cell r="F1584">
            <v>3462.65</v>
          </cell>
        </row>
        <row r="1585">
          <cell r="B1585">
            <v>38833</v>
          </cell>
          <cell r="C1585">
            <v>3462.65</v>
          </cell>
          <cell r="D1585">
            <v>3562.3</v>
          </cell>
          <cell r="E1585">
            <v>3454.1</v>
          </cell>
          <cell r="F1585">
            <v>3555.75</v>
          </cell>
        </row>
        <row r="1586">
          <cell r="B1586">
            <v>38834</v>
          </cell>
          <cell r="C1586">
            <v>3554.7</v>
          </cell>
          <cell r="D1586">
            <v>3598.95</v>
          </cell>
          <cell r="E1586">
            <v>3492.75</v>
          </cell>
          <cell r="F1586">
            <v>3508.1</v>
          </cell>
        </row>
        <row r="1587">
          <cell r="B1587">
            <v>38835</v>
          </cell>
          <cell r="C1587">
            <v>3507.45</v>
          </cell>
          <cell r="D1587">
            <v>3517.65</v>
          </cell>
          <cell r="E1587">
            <v>3342.85</v>
          </cell>
          <cell r="F1587">
            <v>3508.35</v>
          </cell>
        </row>
        <row r="1588">
          <cell r="B1588">
            <v>38836</v>
          </cell>
          <cell r="C1588">
            <v>3508.35</v>
          </cell>
          <cell r="D1588">
            <v>3565.75</v>
          </cell>
          <cell r="E1588">
            <v>3508.35</v>
          </cell>
          <cell r="F1588">
            <v>3557.6</v>
          </cell>
        </row>
        <row r="1589">
          <cell r="B1589">
            <v>38839</v>
          </cell>
          <cell r="C1589">
            <v>3557.55</v>
          </cell>
          <cell r="D1589">
            <v>3622.05</v>
          </cell>
          <cell r="E1589">
            <v>3556.9</v>
          </cell>
          <cell r="F1589">
            <v>3605.45</v>
          </cell>
        </row>
        <row r="1590">
          <cell r="B1590">
            <v>38840</v>
          </cell>
          <cell r="C1590">
            <v>3604.4</v>
          </cell>
          <cell r="D1590">
            <v>3640.8</v>
          </cell>
          <cell r="E1590">
            <v>3581.4</v>
          </cell>
          <cell r="F1590">
            <v>3634.25</v>
          </cell>
        </row>
        <row r="1591">
          <cell r="B1591">
            <v>38841</v>
          </cell>
          <cell r="C1591">
            <v>3630.65</v>
          </cell>
          <cell r="D1591">
            <v>3674.5</v>
          </cell>
          <cell r="E1591">
            <v>3621.55</v>
          </cell>
          <cell r="F1591">
            <v>3648.4</v>
          </cell>
        </row>
        <row r="1592">
          <cell r="B1592">
            <v>38842</v>
          </cell>
          <cell r="C1592">
            <v>3649.45</v>
          </cell>
          <cell r="D1592">
            <v>3676.55</v>
          </cell>
          <cell r="E1592">
            <v>3639.55</v>
          </cell>
          <cell r="F1592">
            <v>3663.95</v>
          </cell>
        </row>
        <row r="1593">
          <cell r="B1593">
            <v>38845</v>
          </cell>
          <cell r="C1593">
            <v>3668.65</v>
          </cell>
          <cell r="D1593">
            <v>3708.55</v>
          </cell>
          <cell r="E1593">
            <v>3668.65</v>
          </cell>
          <cell r="F1593">
            <v>3693.15</v>
          </cell>
        </row>
        <row r="1594">
          <cell r="B1594">
            <v>38846</v>
          </cell>
          <cell r="C1594">
            <v>3694.65</v>
          </cell>
          <cell r="D1594">
            <v>3725.4</v>
          </cell>
          <cell r="E1594">
            <v>3655.65</v>
          </cell>
          <cell r="F1594">
            <v>3720.55</v>
          </cell>
        </row>
        <row r="1595">
          <cell r="B1595">
            <v>38847</v>
          </cell>
          <cell r="C1595">
            <v>3720.75</v>
          </cell>
          <cell r="D1595">
            <v>3758.05</v>
          </cell>
          <cell r="E1595">
            <v>3717.25</v>
          </cell>
          <cell r="F1595">
            <v>3754.25</v>
          </cell>
        </row>
        <row r="1596">
          <cell r="B1596">
            <v>38848</v>
          </cell>
          <cell r="C1596">
            <v>3755.8</v>
          </cell>
          <cell r="D1596">
            <v>3774.15</v>
          </cell>
          <cell r="E1596">
            <v>3687.9</v>
          </cell>
          <cell r="F1596">
            <v>3701.05</v>
          </cell>
        </row>
        <row r="1597">
          <cell r="B1597">
            <v>38849</v>
          </cell>
          <cell r="C1597">
            <v>3704.15</v>
          </cell>
          <cell r="D1597">
            <v>3704.15</v>
          </cell>
          <cell r="E1597">
            <v>3633.85</v>
          </cell>
          <cell r="F1597">
            <v>3650.05</v>
          </cell>
        </row>
        <row r="1598">
          <cell r="B1598">
            <v>38852</v>
          </cell>
          <cell r="C1598">
            <v>3651</v>
          </cell>
          <cell r="D1598">
            <v>3653</v>
          </cell>
          <cell r="E1598">
            <v>3482.85</v>
          </cell>
          <cell r="F1598">
            <v>3502.95</v>
          </cell>
        </row>
        <row r="1599">
          <cell r="B1599">
            <v>38853</v>
          </cell>
          <cell r="C1599">
            <v>3502.95</v>
          </cell>
          <cell r="D1599">
            <v>3543.5</v>
          </cell>
          <cell r="E1599">
            <v>3382.4</v>
          </cell>
          <cell r="F1599">
            <v>3523.3</v>
          </cell>
        </row>
        <row r="1600">
          <cell r="B1600">
            <v>38854</v>
          </cell>
          <cell r="C1600">
            <v>3525.05</v>
          </cell>
          <cell r="D1600">
            <v>3641.85</v>
          </cell>
          <cell r="E1600">
            <v>3525.05</v>
          </cell>
          <cell r="F1600">
            <v>3635.1</v>
          </cell>
        </row>
        <row r="1601">
          <cell r="B1601">
            <v>38855</v>
          </cell>
          <cell r="C1601">
            <v>3636.45</v>
          </cell>
          <cell r="D1601">
            <v>3636.45</v>
          </cell>
          <cell r="E1601">
            <v>3365.9</v>
          </cell>
          <cell r="F1601">
            <v>3388.9</v>
          </cell>
        </row>
        <row r="1602">
          <cell r="B1602">
            <v>38856</v>
          </cell>
          <cell r="C1602">
            <v>3391.85</v>
          </cell>
          <cell r="D1602">
            <v>3493.05</v>
          </cell>
          <cell r="E1602">
            <v>3205.25</v>
          </cell>
          <cell r="F1602">
            <v>3246.9</v>
          </cell>
        </row>
        <row r="1603">
          <cell r="B1603">
            <v>38859</v>
          </cell>
          <cell r="C1603">
            <v>3254.3</v>
          </cell>
          <cell r="D1603">
            <v>3313.9</v>
          </cell>
          <cell r="E1603">
            <v>2896.4</v>
          </cell>
          <cell r="F1603">
            <v>3081.35</v>
          </cell>
        </row>
        <row r="1604">
          <cell r="B1604">
            <v>38860</v>
          </cell>
          <cell r="C1604">
            <v>3068.6</v>
          </cell>
          <cell r="D1604">
            <v>3221.05</v>
          </cell>
          <cell r="E1604">
            <v>2997.35</v>
          </cell>
          <cell r="F1604">
            <v>3199.35</v>
          </cell>
        </row>
        <row r="1605">
          <cell r="B1605">
            <v>38861</v>
          </cell>
          <cell r="C1605">
            <v>3203.5</v>
          </cell>
          <cell r="D1605">
            <v>3249.75</v>
          </cell>
          <cell r="E1605">
            <v>3091.6</v>
          </cell>
          <cell r="F1605">
            <v>3115.55</v>
          </cell>
        </row>
        <row r="1606">
          <cell r="B1606">
            <v>38862</v>
          </cell>
          <cell r="C1606">
            <v>3114.7</v>
          </cell>
          <cell r="D1606">
            <v>3198.35</v>
          </cell>
          <cell r="E1606">
            <v>3012.95</v>
          </cell>
          <cell r="F1606">
            <v>3177.7</v>
          </cell>
        </row>
        <row r="1607">
          <cell r="B1607">
            <v>38863</v>
          </cell>
          <cell r="C1607">
            <v>3177.7</v>
          </cell>
          <cell r="D1607">
            <v>3277.95</v>
          </cell>
          <cell r="E1607">
            <v>3177.7</v>
          </cell>
          <cell r="F1607">
            <v>3209.6</v>
          </cell>
        </row>
        <row r="1608">
          <cell r="B1608">
            <v>38866</v>
          </cell>
          <cell r="C1608">
            <v>3207.25</v>
          </cell>
          <cell r="D1608">
            <v>3255.25</v>
          </cell>
          <cell r="E1608">
            <v>3193.15</v>
          </cell>
          <cell r="F1608">
            <v>3214.9</v>
          </cell>
        </row>
        <row r="1609">
          <cell r="B1609">
            <v>38867</v>
          </cell>
          <cell r="C1609">
            <v>3215.5</v>
          </cell>
          <cell r="D1609">
            <v>3252.1</v>
          </cell>
          <cell r="E1609">
            <v>3167.05</v>
          </cell>
          <cell r="F1609">
            <v>3185.3</v>
          </cell>
        </row>
        <row r="1610">
          <cell r="B1610">
            <v>38868</v>
          </cell>
          <cell r="C1610">
            <v>3181.95</v>
          </cell>
          <cell r="D1610">
            <v>3181.95</v>
          </cell>
          <cell r="E1610">
            <v>2972.9</v>
          </cell>
          <cell r="F1610">
            <v>3071.05</v>
          </cell>
        </row>
        <row r="1611">
          <cell r="B1611">
            <v>38869</v>
          </cell>
          <cell r="C1611">
            <v>3072.55</v>
          </cell>
          <cell r="D1611">
            <v>3130</v>
          </cell>
          <cell r="E1611">
            <v>2936.6</v>
          </cell>
          <cell r="F1611">
            <v>2962.25</v>
          </cell>
        </row>
        <row r="1612">
          <cell r="B1612">
            <v>38870</v>
          </cell>
          <cell r="C1612">
            <v>2961.5</v>
          </cell>
          <cell r="D1612">
            <v>3099.35</v>
          </cell>
          <cell r="E1612">
            <v>2940.2</v>
          </cell>
          <cell r="F1612">
            <v>3091.35</v>
          </cell>
        </row>
        <row r="1613">
          <cell r="B1613">
            <v>38873</v>
          </cell>
          <cell r="C1613">
            <v>3092.6</v>
          </cell>
          <cell r="D1613">
            <v>3125.4</v>
          </cell>
          <cell r="E1613">
            <v>3006.4</v>
          </cell>
          <cell r="F1613">
            <v>3016.65</v>
          </cell>
        </row>
        <row r="1614">
          <cell r="B1614">
            <v>38874</v>
          </cell>
          <cell r="C1614">
            <v>3015.05</v>
          </cell>
          <cell r="D1614">
            <v>3015.05</v>
          </cell>
          <cell r="E1614">
            <v>2910.3</v>
          </cell>
          <cell r="F1614">
            <v>2937.3</v>
          </cell>
        </row>
        <row r="1615">
          <cell r="B1615">
            <v>38875</v>
          </cell>
          <cell r="C1615">
            <v>2935.25</v>
          </cell>
          <cell r="D1615">
            <v>2956.9</v>
          </cell>
          <cell r="E1615">
            <v>2819.45</v>
          </cell>
          <cell r="F1615">
            <v>2860.45</v>
          </cell>
        </row>
        <row r="1616">
          <cell r="B1616">
            <v>38876</v>
          </cell>
          <cell r="C1616">
            <v>2856.9</v>
          </cell>
          <cell r="D1616">
            <v>2859.4</v>
          </cell>
          <cell r="E1616">
            <v>2683.2</v>
          </cell>
          <cell r="F1616">
            <v>2724.35</v>
          </cell>
        </row>
        <row r="1617">
          <cell r="B1617">
            <v>38877</v>
          </cell>
          <cell r="C1617">
            <v>2721.2</v>
          </cell>
          <cell r="D1617">
            <v>2875.75</v>
          </cell>
          <cell r="E1617">
            <v>2707.85</v>
          </cell>
          <cell r="F1617">
            <v>2866.3</v>
          </cell>
        </row>
        <row r="1618">
          <cell r="B1618">
            <v>38880</v>
          </cell>
          <cell r="C1618">
            <v>2867.65</v>
          </cell>
          <cell r="D1618">
            <v>2877.8</v>
          </cell>
          <cell r="E1618">
            <v>2761.85</v>
          </cell>
          <cell r="F1618">
            <v>2776.85</v>
          </cell>
        </row>
        <row r="1619">
          <cell r="B1619">
            <v>38881</v>
          </cell>
          <cell r="C1619">
            <v>2773.6</v>
          </cell>
          <cell r="D1619">
            <v>2773.6</v>
          </cell>
          <cell r="E1619">
            <v>2638.1</v>
          </cell>
          <cell r="F1619">
            <v>2663.3</v>
          </cell>
        </row>
        <row r="1620">
          <cell r="B1620">
            <v>38882</v>
          </cell>
          <cell r="C1620">
            <v>2665.05</v>
          </cell>
          <cell r="D1620">
            <v>2767.75</v>
          </cell>
          <cell r="E1620">
            <v>2595.65</v>
          </cell>
          <cell r="F1620">
            <v>2632.8</v>
          </cell>
        </row>
        <row r="1621">
          <cell r="B1621">
            <v>38883</v>
          </cell>
          <cell r="C1621">
            <v>2634.1</v>
          </cell>
          <cell r="D1621">
            <v>2814.15</v>
          </cell>
          <cell r="E1621">
            <v>2634.1</v>
          </cell>
          <cell r="F1621">
            <v>2798.8</v>
          </cell>
        </row>
        <row r="1622">
          <cell r="B1622">
            <v>38884</v>
          </cell>
          <cell r="C1622">
            <v>2799.85</v>
          </cell>
          <cell r="D1622">
            <v>2960.15</v>
          </cell>
          <cell r="E1622">
            <v>2799.85</v>
          </cell>
          <cell r="F1622">
            <v>2890.35</v>
          </cell>
        </row>
        <row r="1623">
          <cell r="B1623">
            <v>38887</v>
          </cell>
          <cell r="C1623">
            <v>2892</v>
          </cell>
          <cell r="D1623">
            <v>2932.9</v>
          </cell>
          <cell r="E1623">
            <v>2846.5</v>
          </cell>
          <cell r="F1623">
            <v>2916.9</v>
          </cell>
        </row>
        <row r="1624">
          <cell r="B1624">
            <v>38888</v>
          </cell>
          <cell r="C1624">
            <v>2919</v>
          </cell>
          <cell r="D1624">
            <v>2919</v>
          </cell>
          <cell r="E1624">
            <v>2837.45</v>
          </cell>
          <cell r="F1624">
            <v>2861.3</v>
          </cell>
        </row>
        <row r="1625">
          <cell r="B1625">
            <v>38889</v>
          </cell>
          <cell r="C1625">
            <v>2861.4</v>
          </cell>
          <cell r="D1625">
            <v>2930.8</v>
          </cell>
          <cell r="E1625">
            <v>2836.4</v>
          </cell>
          <cell r="F1625">
            <v>2923.45</v>
          </cell>
        </row>
        <row r="1626">
          <cell r="B1626">
            <v>38890</v>
          </cell>
          <cell r="C1626">
            <v>2923.75</v>
          </cell>
          <cell r="D1626">
            <v>3017.65</v>
          </cell>
          <cell r="E1626">
            <v>2923.75</v>
          </cell>
          <cell r="F1626">
            <v>2994.75</v>
          </cell>
        </row>
        <row r="1627">
          <cell r="B1627">
            <v>38891</v>
          </cell>
          <cell r="C1627">
            <v>2993.55</v>
          </cell>
          <cell r="D1627">
            <v>3063.2</v>
          </cell>
          <cell r="E1627">
            <v>2920.2</v>
          </cell>
          <cell r="F1627">
            <v>3042.7</v>
          </cell>
        </row>
        <row r="1628">
          <cell r="B1628">
            <v>38893</v>
          </cell>
          <cell r="C1628">
            <v>3043.15</v>
          </cell>
          <cell r="D1628">
            <v>3083</v>
          </cell>
          <cell r="E1628">
            <v>3035.95</v>
          </cell>
          <cell r="F1628">
            <v>3050.3</v>
          </cell>
        </row>
        <row r="1629">
          <cell r="B1629">
            <v>38894</v>
          </cell>
          <cell r="C1629">
            <v>3051.8</v>
          </cell>
          <cell r="D1629">
            <v>3059.85</v>
          </cell>
          <cell r="E1629">
            <v>2928</v>
          </cell>
          <cell r="F1629">
            <v>2943.2</v>
          </cell>
        </row>
        <row r="1630">
          <cell r="B1630">
            <v>38895</v>
          </cell>
          <cell r="C1630">
            <v>2943.6</v>
          </cell>
          <cell r="D1630">
            <v>3004.15</v>
          </cell>
          <cell r="E1630">
            <v>2899.25</v>
          </cell>
          <cell r="F1630">
            <v>2982.45</v>
          </cell>
        </row>
        <row r="1631">
          <cell r="B1631">
            <v>38896</v>
          </cell>
          <cell r="C1631">
            <v>2982.2</v>
          </cell>
          <cell r="D1631">
            <v>3003.65</v>
          </cell>
          <cell r="E1631">
            <v>2909.6</v>
          </cell>
          <cell r="F1631">
            <v>2981.1</v>
          </cell>
        </row>
        <row r="1632">
          <cell r="B1632">
            <v>38897</v>
          </cell>
          <cell r="C1632">
            <v>2982.9</v>
          </cell>
          <cell r="D1632">
            <v>3049.25</v>
          </cell>
          <cell r="E1632">
            <v>2982.9</v>
          </cell>
          <cell r="F1632">
            <v>2997.9</v>
          </cell>
        </row>
        <row r="1633">
          <cell r="B1633">
            <v>38898</v>
          </cell>
          <cell r="C1633">
            <v>2993.5</v>
          </cell>
          <cell r="D1633">
            <v>3134.15</v>
          </cell>
          <cell r="E1633">
            <v>2993.5</v>
          </cell>
          <cell r="F1633">
            <v>3128.2</v>
          </cell>
        </row>
        <row r="1634">
          <cell r="B1634">
            <v>38901</v>
          </cell>
          <cell r="C1634">
            <v>3128.75</v>
          </cell>
          <cell r="D1634">
            <v>3160.35</v>
          </cell>
          <cell r="E1634">
            <v>3114.85</v>
          </cell>
          <cell r="F1634">
            <v>3150.95</v>
          </cell>
        </row>
        <row r="1635">
          <cell r="B1635">
            <v>38902</v>
          </cell>
          <cell r="C1635">
            <v>3151.05</v>
          </cell>
          <cell r="D1635">
            <v>3177.4</v>
          </cell>
          <cell r="E1635">
            <v>3130.3</v>
          </cell>
          <cell r="F1635">
            <v>3138.65</v>
          </cell>
        </row>
        <row r="1636">
          <cell r="B1636">
            <v>38903</v>
          </cell>
          <cell r="C1636">
            <v>3136.95</v>
          </cell>
          <cell r="D1636">
            <v>3201.2</v>
          </cell>
          <cell r="E1636">
            <v>3121.8</v>
          </cell>
          <cell r="F1636">
            <v>3197.1</v>
          </cell>
        </row>
        <row r="1637">
          <cell r="B1637">
            <v>38904</v>
          </cell>
          <cell r="C1637">
            <v>3197.5</v>
          </cell>
          <cell r="D1637">
            <v>3197.5</v>
          </cell>
          <cell r="E1637">
            <v>3138.4</v>
          </cell>
          <cell r="F1637">
            <v>3156.4</v>
          </cell>
        </row>
        <row r="1638">
          <cell r="B1638">
            <v>38905</v>
          </cell>
          <cell r="C1638">
            <v>3157.95</v>
          </cell>
          <cell r="D1638">
            <v>3193.1</v>
          </cell>
          <cell r="E1638">
            <v>3056.3</v>
          </cell>
          <cell r="F1638">
            <v>3075.85</v>
          </cell>
        </row>
        <row r="1639">
          <cell r="B1639">
            <v>38908</v>
          </cell>
          <cell r="C1639">
            <v>3077.1</v>
          </cell>
          <cell r="D1639">
            <v>3147.7</v>
          </cell>
          <cell r="E1639">
            <v>3064.1</v>
          </cell>
          <cell r="F1639">
            <v>3142</v>
          </cell>
        </row>
        <row r="1640">
          <cell r="B1640">
            <v>38909</v>
          </cell>
          <cell r="C1640">
            <v>3145.3</v>
          </cell>
          <cell r="D1640">
            <v>3146</v>
          </cell>
          <cell r="E1640">
            <v>3100.4</v>
          </cell>
          <cell r="F1640">
            <v>3116.15</v>
          </cell>
        </row>
        <row r="1641">
          <cell r="B1641">
            <v>38910</v>
          </cell>
          <cell r="C1641">
            <v>3124.95</v>
          </cell>
          <cell r="D1641">
            <v>3201.35</v>
          </cell>
          <cell r="E1641">
            <v>3078.25</v>
          </cell>
          <cell r="F1641">
            <v>3195.9</v>
          </cell>
        </row>
        <row r="1642">
          <cell r="B1642">
            <v>38911</v>
          </cell>
          <cell r="C1642">
            <v>3196.3</v>
          </cell>
          <cell r="D1642">
            <v>3208.85</v>
          </cell>
          <cell r="E1642">
            <v>3148.95</v>
          </cell>
          <cell r="F1642">
            <v>3169.3</v>
          </cell>
        </row>
        <row r="1643">
          <cell r="B1643">
            <v>38912</v>
          </cell>
          <cell r="C1643">
            <v>3166.25</v>
          </cell>
          <cell r="D1643">
            <v>3166.25</v>
          </cell>
          <cell r="E1643">
            <v>3089.55</v>
          </cell>
          <cell r="F1643">
            <v>3123.35</v>
          </cell>
        </row>
        <row r="1644">
          <cell r="B1644">
            <v>38915</v>
          </cell>
          <cell r="C1644">
            <v>3123.65</v>
          </cell>
          <cell r="D1644">
            <v>3125.1</v>
          </cell>
          <cell r="E1644">
            <v>2999.35</v>
          </cell>
          <cell r="F1644">
            <v>3007.55</v>
          </cell>
        </row>
        <row r="1645">
          <cell r="B1645">
            <v>38916</v>
          </cell>
          <cell r="C1645">
            <v>3007.15</v>
          </cell>
          <cell r="D1645">
            <v>3038.25</v>
          </cell>
          <cell r="E1645">
            <v>2967.95</v>
          </cell>
          <cell r="F1645">
            <v>2993.65</v>
          </cell>
        </row>
        <row r="1646">
          <cell r="B1646">
            <v>38917</v>
          </cell>
          <cell r="C1646">
            <v>2995.85</v>
          </cell>
          <cell r="D1646">
            <v>3045.35</v>
          </cell>
          <cell r="E1646">
            <v>2919.95</v>
          </cell>
          <cell r="F1646">
            <v>2932.75</v>
          </cell>
        </row>
        <row r="1647">
          <cell r="B1647">
            <v>38918</v>
          </cell>
          <cell r="C1647">
            <v>2943.65</v>
          </cell>
          <cell r="D1647">
            <v>3041.25</v>
          </cell>
          <cell r="E1647">
            <v>2943.65</v>
          </cell>
          <cell r="F1647">
            <v>3023.05</v>
          </cell>
        </row>
        <row r="1648">
          <cell r="B1648">
            <v>38919</v>
          </cell>
          <cell r="C1648">
            <v>3025.1</v>
          </cell>
          <cell r="D1648">
            <v>3029.1</v>
          </cell>
          <cell r="E1648">
            <v>2930.15</v>
          </cell>
          <cell r="F1648">
            <v>2945</v>
          </cell>
        </row>
        <row r="1649">
          <cell r="B1649">
            <v>38922</v>
          </cell>
          <cell r="C1649">
            <v>2944.9</v>
          </cell>
          <cell r="D1649">
            <v>2996.65</v>
          </cell>
          <cell r="E1649">
            <v>2878.25</v>
          </cell>
          <cell r="F1649">
            <v>2985.85</v>
          </cell>
        </row>
        <row r="1650">
          <cell r="B1650">
            <v>38923</v>
          </cell>
          <cell r="C1650">
            <v>2989.5</v>
          </cell>
          <cell r="D1650">
            <v>3046.95</v>
          </cell>
          <cell r="E1650">
            <v>2987.15</v>
          </cell>
          <cell r="F1650">
            <v>3040.5</v>
          </cell>
        </row>
        <row r="1651">
          <cell r="B1651">
            <v>38924</v>
          </cell>
          <cell r="C1651">
            <v>3040.45</v>
          </cell>
          <cell r="D1651">
            <v>3121.4</v>
          </cell>
          <cell r="E1651">
            <v>3022.7</v>
          </cell>
          <cell r="F1651">
            <v>3110.15</v>
          </cell>
        </row>
        <row r="1652">
          <cell r="B1652">
            <v>38925</v>
          </cell>
          <cell r="C1652">
            <v>3109.85</v>
          </cell>
          <cell r="D1652">
            <v>3167.1</v>
          </cell>
          <cell r="E1652">
            <v>3109.85</v>
          </cell>
          <cell r="F1652">
            <v>3156.15</v>
          </cell>
        </row>
        <row r="1653">
          <cell r="B1653">
            <v>38926</v>
          </cell>
          <cell r="C1653">
            <v>3158</v>
          </cell>
          <cell r="D1653">
            <v>3168.5</v>
          </cell>
          <cell r="E1653">
            <v>3109.45</v>
          </cell>
          <cell r="F1653">
            <v>3130.8</v>
          </cell>
        </row>
        <row r="1654">
          <cell r="B1654">
            <v>38929</v>
          </cell>
          <cell r="C1654">
            <v>3131.35</v>
          </cell>
          <cell r="D1654">
            <v>3179.7</v>
          </cell>
          <cell r="E1654">
            <v>3110.6</v>
          </cell>
          <cell r="F1654">
            <v>3143.2</v>
          </cell>
        </row>
        <row r="1655">
          <cell r="B1655">
            <v>38930</v>
          </cell>
          <cell r="C1655">
            <v>3128.2</v>
          </cell>
          <cell r="D1655">
            <v>3154.7</v>
          </cell>
          <cell r="E1655">
            <v>3113.6</v>
          </cell>
          <cell r="F1655">
            <v>3147.8</v>
          </cell>
        </row>
        <row r="1656">
          <cell r="B1656">
            <v>38931</v>
          </cell>
          <cell r="C1656">
            <v>3129.45</v>
          </cell>
          <cell r="D1656">
            <v>3187.85</v>
          </cell>
          <cell r="E1656">
            <v>3127.9</v>
          </cell>
          <cell r="F1656">
            <v>3182.1</v>
          </cell>
        </row>
        <row r="1657">
          <cell r="B1657">
            <v>38932</v>
          </cell>
          <cell r="C1657">
            <v>3182.55</v>
          </cell>
          <cell r="D1657">
            <v>3234.25</v>
          </cell>
          <cell r="E1657">
            <v>3175.15</v>
          </cell>
          <cell r="F1657">
            <v>3190</v>
          </cell>
        </row>
        <row r="1658">
          <cell r="B1658">
            <v>38933</v>
          </cell>
          <cell r="C1658">
            <v>3189.7</v>
          </cell>
          <cell r="D1658">
            <v>3228.15</v>
          </cell>
          <cell r="E1658">
            <v>3161.8</v>
          </cell>
          <cell r="F1658">
            <v>3176.75</v>
          </cell>
        </row>
        <row r="1659">
          <cell r="B1659">
            <v>38936</v>
          </cell>
          <cell r="C1659">
            <v>3176.7</v>
          </cell>
          <cell r="D1659">
            <v>3178.5</v>
          </cell>
          <cell r="E1659">
            <v>3142.55</v>
          </cell>
          <cell r="F1659">
            <v>3151.1</v>
          </cell>
        </row>
        <row r="1660">
          <cell r="B1660">
            <v>38937</v>
          </cell>
          <cell r="C1660">
            <v>3151.55</v>
          </cell>
          <cell r="D1660">
            <v>3216.75</v>
          </cell>
          <cell r="E1660">
            <v>3151.55</v>
          </cell>
          <cell r="F1660">
            <v>3212.4</v>
          </cell>
        </row>
        <row r="1661">
          <cell r="B1661">
            <v>38938</v>
          </cell>
          <cell r="C1661">
            <v>3211.55</v>
          </cell>
          <cell r="D1661">
            <v>3267.2</v>
          </cell>
          <cell r="E1661">
            <v>3187.85</v>
          </cell>
          <cell r="F1661">
            <v>3254.6</v>
          </cell>
        </row>
        <row r="1662">
          <cell r="B1662">
            <v>38939</v>
          </cell>
          <cell r="C1662">
            <v>3254.6</v>
          </cell>
          <cell r="D1662">
            <v>3274.75</v>
          </cell>
          <cell r="E1662">
            <v>3229.45</v>
          </cell>
          <cell r="F1662">
            <v>3260.1</v>
          </cell>
        </row>
        <row r="1663">
          <cell r="B1663">
            <v>38940</v>
          </cell>
          <cell r="C1663">
            <v>3260.05</v>
          </cell>
          <cell r="D1663">
            <v>3286.5</v>
          </cell>
          <cell r="E1663">
            <v>3236.95</v>
          </cell>
          <cell r="F1663">
            <v>3274.35</v>
          </cell>
        </row>
        <row r="1664">
          <cell r="B1664">
            <v>38943</v>
          </cell>
          <cell r="C1664">
            <v>3274.95</v>
          </cell>
          <cell r="D1664">
            <v>3317.8</v>
          </cell>
          <cell r="E1664">
            <v>3269.15</v>
          </cell>
          <cell r="F1664">
            <v>3313.1</v>
          </cell>
        </row>
        <row r="1665">
          <cell r="B1665">
            <v>38945</v>
          </cell>
          <cell r="C1665">
            <v>3314.75</v>
          </cell>
          <cell r="D1665">
            <v>3377.1</v>
          </cell>
          <cell r="E1665">
            <v>3314.75</v>
          </cell>
          <cell r="F1665">
            <v>3356.05</v>
          </cell>
        </row>
        <row r="1666">
          <cell r="B1666">
            <v>38946</v>
          </cell>
          <cell r="C1666">
            <v>3359.7</v>
          </cell>
          <cell r="D1666">
            <v>3385.15</v>
          </cell>
          <cell r="E1666">
            <v>3328.6</v>
          </cell>
          <cell r="F1666">
            <v>3353.9</v>
          </cell>
        </row>
        <row r="1667">
          <cell r="B1667">
            <v>38947</v>
          </cell>
          <cell r="C1667">
            <v>3354.5</v>
          </cell>
          <cell r="D1667">
            <v>3366.25</v>
          </cell>
          <cell r="E1667">
            <v>3332.2</v>
          </cell>
          <cell r="F1667">
            <v>3356.75</v>
          </cell>
        </row>
        <row r="1668">
          <cell r="B1668">
            <v>38950</v>
          </cell>
          <cell r="C1668">
            <v>3356.8</v>
          </cell>
          <cell r="D1668">
            <v>3374.9</v>
          </cell>
          <cell r="E1668">
            <v>3332.9</v>
          </cell>
          <cell r="F1668">
            <v>3366</v>
          </cell>
        </row>
        <row r="1669">
          <cell r="B1669">
            <v>38951</v>
          </cell>
          <cell r="C1669">
            <v>3369.6</v>
          </cell>
          <cell r="D1669">
            <v>3398.35</v>
          </cell>
          <cell r="E1669">
            <v>3351.5</v>
          </cell>
          <cell r="F1669">
            <v>3364.6</v>
          </cell>
        </row>
        <row r="1670">
          <cell r="B1670">
            <v>38952</v>
          </cell>
          <cell r="C1670">
            <v>3363.6</v>
          </cell>
          <cell r="D1670">
            <v>3369.65</v>
          </cell>
          <cell r="E1670">
            <v>3325.1</v>
          </cell>
          <cell r="F1670">
            <v>3335.8</v>
          </cell>
        </row>
        <row r="1671">
          <cell r="B1671">
            <v>38953</v>
          </cell>
          <cell r="C1671">
            <v>3336.65</v>
          </cell>
          <cell r="D1671">
            <v>3379.55</v>
          </cell>
          <cell r="E1671">
            <v>3304.85</v>
          </cell>
          <cell r="F1671">
            <v>3370.4</v>
          </cell>
        </row>
        <row r="1672">
          <cell r="B1672">
            <v>38954</v>
          </cell>
          <cell r="C1672">
            <v>3368.55</v>
          </cell>
          <cell r="D1672">
            <v>3402.7</v>
          </cell>
          <cell r="E1672">
            <v>3368.55</v>
          </cell>
          <cell r="F1672">
            <v>3385.95</v>
          </cell>
        </row>
        <row r="1673">
          <cell r="B1673">
            <v>38957</v>
          </cell>
          <cell r="C1673">
            <v>3386</v>
          </cell>
          <cell r="D1673">
            <v>3405.3</v>
          </cell>
          <cell r="E1673">
            <v>3377.75</v>
          </cell>
          <cell r="F1673">
            <v>3401.1</v>
          </cell>
        </row>
        <row r="1674">
          <cell r="B1674">
            <v>38958</v>
          </cell>
          <cell r="C1674">
            <v>3405.05</v>
          </cell>
          <cell r="D1674">
            <v>3434.95</v>
          </cell>
          <cell r="E1674">
            <v>3396.1</v>
          </cell>
          <cell r="F1674">
            <v>3425.7</v>
          </cell>
        </row>
        <row r="1675">
          <cell r="B1675">
            <v>38959</v>
          </cell>
          <cell r="C1675">
            <v>3425.8</v>
          </cell>
          <cell r="D1675">
            <v>3440.2</v>
          </cell>
          <cell r="E1675">
            <v>3407.75</v>
          </cell>
          <cell r="F1675">
            <v>3430.35</v>
          </cell>
        </row>
        <row r="1676">
          <cell r="B1676">
            <v>38960</v>
          </cell>
          <cell r="C1676">
            <v>3404.5</v>
          </cell>
          <cell r="D1676">
            <v>3452.3</v>
          </cell>
          <cell r="E1676">
            <v>3403.65</v>
          </cell>
          <cell r="F1676">
            <v>3413.9</v>
          </cell>
        </row>
        <row r="1677">
          <cell r="B1677">
            <v>38961</v>
          </cell>
          <cell r="C1677">
            <v>3414</v>
          </cell>
          <cell r="D1677">
            <v>3439.5</v>
          </cell>
          <cell r="E1677">
            <v>3402.9</v>
          </cell>
          <cell r="F1677">
            <v>3435.45</v>
          </cell>
        </row>
        <row r="1678">
          <cell r="B1678">
            <v>38964</v>
          </cell>
          <cell r="C1678">
            <v>3435.55</v>
          </cell>
          <cell r="D1678">
            <v>3483.1</v>
          </cell>
          <cell r="E1678">
            <v>3435.55</v>
          </cell>
          <cell r="F1678">
            <v>3476.85</v>
          </cell>
        </row>
        <row r="1679">
          <cell r="B1679">
            <v>38965</v>
          </cell>
          <cell r="C1679">
            <v>3471.4</v>
          </cell>
          <cell r="D1679">
            <v>3488.6</v>
          </cell>
          <cell r="E1679">
            <v>3457.9</v>
          </cell>
          <cell r="F1679">
            <v>3473.75</v>
          </cell>
        </row>
        <row r="1680">
          <cell r="B1680">
            <v>38966</v>
          </cell>
          <cell r="C1680">
            <v>3474.4</v>
          </cell>
          <cell r="D1680">
            <v>3490.7</v>
          </cell>
          <cell r="E1680">
            <v>3465.8</v>
          </cell>
          <cell r="F1680">
            <v>3477.25</v>
          </cell>
        </row>
        <row r="1681">
          <cell r="B1681">
            <v>38967</v>
          </cell>
          <cell r="C1681">
            <v>3477.15</v>
          </cell>
          <cell r="D1681">
            <v>3478.85</v>
          </cell>
          <cell r="E1681">
            <v>3438.8</v>
          </cell>
          <cell r="F1681">
            <v>3454.55</v>
          </cell>
        </row>
        <row r="1682">
          <cell r="B1682">
            <v>38968</v>
          </cell>
          <cell r="C1682">
            <v>3454.65</v>
          </cell>
          <cell r="D1682">
            <v>3477.95</v>
          </cell>
          <cell r="E1682">
            <v>3442.85</v>
          </cell>
          <cell r="F1682">
            <v>3471.45</v>
          </cell>
        </row>
        <row r="1683">
          <cell r="B1683">
            <v>38971</v>
          </cell>
          <cell r="C1683">
            <v>3470.35</v>
          </cell>
          <cell r="D1683">
            <v>3486.65</v>
          </cell>
          <cell r="E1683">
            <v>3351.3</v>
          </cell>
          <cell r="F1683">
            <v>3366.15</v>
          </cell>
        </row>
        <row r="1684">
          <cell r="B1684">
            <v>38972</v>
          </cell>
          <cell r="C1684">
            <v>3363.3</v>
          </cell>
          <cell r="D1684">
            <v>3395.05</v>
          </cell>
          <cell r="E1684">
            <v>3328.45</v>
          </cell>
          <cell r="F1684">
            <v>3389.9</v>
          </cell>
        </row>
        <row r="1685">
          <cell r="B1685">
            <v>38973</v>
          </cell>
          <cell r="C1685">
            <v>3389.85</v>
          </cell>
          <cell r="D1685">
            <v>3470.65</v>
          </cell>
          <cell r="E1685">
            <v>3389.8</v>
          </cell>
          <cell r="F1685">
            <v>3454.55</v>
          </cell>
        </row>
        <row r="1686">
          <cell r="B1686">
            <v>38974</v>
          </cell>
          <cell r="C1686">
            <v>3454.6</v>
          </cell>
          <cell r="D1686">
            <v>3484</v>
          </cell>
          <cell r="E1686">
            <v>3454.6</v>
          </cell>
          <cell r="F1686">
            <v>3471.6</v>
          </cell>
        </row>
        <row r="1687">
          <cell r="B1687">
            <v>38975</v>
          </cell>
          <cell r="C1687">
            <v>3471.65</v>
          </cell>
          <cell r="D1687">
            <v>3487.45</v>
          </cell>
          <cell r="E1687">
            <v>3434.55</v>
          </cell>
          <cell r="F1687">
            <v>3478.6</v>
          </cell>
        </row>
        <row r="1688">
          <cell r="B1688">
            <v>38978</v>
          </cell>
          <cell r="C1688">
            <v>3478.65</v>
          </cell>
          <cell r="D1688">
            <v>3506.2</v>
          </cell>
          <cell r="E1688">
            <v>3478.4</v>
          </cell>
          <cell r="F1688">
            <v>3492.75</v>
          </cell>
        </row>
        <row r="1689">
          <cell r="B1689">
            <v>38979</v>
          </cell>
          <cell r="C1689">
            <v>3493.5</v>
          </cell>
          <cell r="D1689">
            <v>3514.95</v>
          </cell>
          <cell r="E1689">
            <v>3438.8</v>
          </cell>
          <cell r="F1689">
            <v>3457.35</v>
          </cell>
        </row>
        <row r="1690">
          <cell r="B1690">
            <v>38980</v>
          </cell>
          <cell r="C1690">
            <v>3457.85</v>
          </cell>
          <cell r="D1690">
            <v>3509.85</v>
          </cell>
          <cell r="E1690">
            <v>3419.75</v>
          </cell>
          <cell r="F1690">
            <v>3502.8</v>
          </cell>
        </row>
        <row r="1691">
          <cell r="B1691">
            <v>38981</v>
          </cell>
          <cell r="C1691">
            <v>3506.7</v>
          </cell>
          <cell r="D1691">
            <v>3556.35</v>
          </cell>
          <cell r="E1691">
            <v>3506.7</v>
          </cell>
          <cell r="F1691">
            <v>3553.05</v>
          </cell>
        </row>
        <row r="1692">
          <cell r="B1692">
            <v>38982</v>
          </cell>
          <cell r="C1692">
            <v>3554.05</v>
          </cell>
          <cell r="D1692">
            <v>3562.45</v>
          </cell>
          <cell r="E1692">
            <v>3525.4</v>
          </cell>
          <cell r="F1692">
            <v>3544.05</v>
          </cell>
        </row>
        <row r="1693">
          <cell r="B1693">
            <v>38985</v>
          </cell>
          <cell r="C1693">
            <v>3545.1</v>
          </cell>
          <cell r="D1693">
            <v>3568.65</v>
          </cell>
          <cell r="E1693">
            <v>3514.85</v>
          </cell>
          <cell r="F1693">
            <v>3523.45</v>
          </cell>
        </row>
        <row r="1694">
          <cell r="B1694">
            <v>38986</v>
          </cell>
          <cell r="C1694">
            <v>3523.7</v>
          </cell>
          <cell r="D1694">
            <v>3576.75</v>
          </cell>
          <cell r="E1694">
            <v>3517.15</v>
          </cell>
          <cell r="F1694">
            <v>3571.75</v>
          </cell>
        </row>
        <row r="1695">
          <cell r="B1695">
            <v>38987</v>
          </cell>
          <cell r="C1695">
            <v>3571.75</v>
          </cell>
          <cell r="D1695">
            <v>3603.7</v>
          </cell>
          <cell r="E1695">
            <v>3568.4</v>
          </cell>
          <cell r="F1695">
            <v>3579.3</v>
          </cell>
        </row>
        <row r="1696">
          <cell r="B1696">
            <v>38988</v>
          </cell>
          <cell r="C1696">
            <v>3579.95</v>
          </cell>
          <cell r="D1696">
            <v>3589.3</v>
          </cell>
          <cell r="E1696">
            <v>3560.75</v>
          </cell>
          <cell r="F1696">
            <v>3571.75</v>
          </cell>
        </row>
        <row r="1697">
          <cell r="B1697">
            <v>38989</v>
          </cell>
          <cell r="C1697">
            <v>3572.15</v>
          </cell>
          <cell r="D1697">
            <v>3599.8</v>
          </cell>
          <cell r="E1697">
            <v>3564.7</v>
          </cell>
          <cell r="F1697">
            <v>3588.4</v>
          </cell>
        </row>
        <row r="1698">
          <cell r="B1698">
            <v>38993</v>
          </cell>
          <cell r="C1698">
            <v>3588.95</v>
          </cell>
          <cell r="D1698">
            <v>3606.2</v>
          </cell>
          <cell r="E1698">
            <v>3561.7</v>
          </cell>
          <cell r="F1698">
            <v>3569.6</v>
          </cell>
        </row>
        <row r="1699">
          <cell r="B1699">
            <v>38994</v>
          </cell>
          <cell r="C1699">
            <v>3570.95</v>
          </cell>
          <cell r="D1699">
            <v>3580.05</v>
          </cell>
          <cell r="E1699">
            <v>3508.65</v>
          </cell>
          <cell r="F1699">
            <v>3515.35</v>
          </cell>
        </row>
        <row r="1700">
          <cell r="B1700">
            <v>38995</v>
          </cell>
          <cell r="C1700">
            <v>3515.6</v>
          </cell>
          <cell r="D1700">
            <v>3574.95</v>
          </cell>
          <cell r="E1700">
            <v>3515.6</v>
          </cell>
          <cell r="F1700">
            <v>3564.9</v>
          </cell>
        </row>
        <row r="1701">
          <cell r="B1701">
            <v>38996</v>
          </cell>
          <cell r="C1701">
            <v>3565.45</v>
          </cell>
          <cell r="D1701">
            <v>3583.75</v>
          </cell>
          <cell r="E1701">
            <v>3560.9</v>
          </cell>
          <cell r="F1701">
            <v>3569.7</v>
          </cell>
        </row>
        <row r="1702">
          <cell r="B1702">
            <v>38999</v>
          </cell>
          <cell r="C1702">
            <v>3570.05</v>
          </cell>
          <cell r="D1702">
            <v>3585.35</v>
          </cell>
          <cell r="E1702">
            <v>3540.45</v>
          </cell>
          <cell r="F1702">
            <v>3567.15</v>
          </cell>
        </row>
        <row r="1703">
          <cell r="B1703">
            <v>39000</v>
          </cell>
          <cell r="C1703">
            <v>3567.45</v>
          </cell>
          <cell r="D1703">
            <v>3597.2</v>
          </cell>
          <cell r="E1703">
            <v>3563.1</v>
          </cell>
          <cell r="F1703">
            <v>3571.05</v>
          </cell>
        </row>
        <row r="1704">
          <cell r="B1704">
            <v>39001</v>
          </cell>
          <cell r="C1704">
            <v>3581.55</v>
          </cell>
          <cell r="D1704">
            <v>3614.5</v>
          </cell>
          <cell r="E1704">
            <v>3544.25</v>
          </cell>
          <cell r="F1704">
            <v>3558.55</v>
          </cell>
        </row>
        <row r="1705">
          <cell r="B1705">
            <v>39002</v>
          </cell>
          <cell r="C1705">
            <v>3562.55</v>
          </cell>
          <cell r="D1705">
            <v>3626.8</v>
          </cell>
          <cell r="E1705">
            <v>3545.95</v>
          </cell>
          <cell r="F1705">
            <v>3621.05</v>
          </cell>
        </row>
        <row r="1706">
          <cell r="B1706">
            <v>39003</v>
          </cell>
          <cell r="C1706">
            <v>3621.65</v>
          </cell>
          <cell r="D1706">
            <v>3682.35</v>
          </cell>
          <cell r="E1706">
            <v>3621.65</v>
          </cell>
          <cell r="F1706">
            <v>3676.05</v>
          </cell>
        </row>
        <row r="1707">
          <cell r="B1707">
            <v>39006</v>
          </cell>
          <cell r="C1707">
            <v>3668.9</v>
          </cell>
          <cell r="D1707">
            <v>3729.7</v>
          </cell>
          <cell r="E1707">
            <v>3668.9</v>
          </cell>
          <cell r="F1707">
            <v>3723.95</v>
          </cell>
        </row>
        <row r="1708">
          <cell r="B1708">
            <v>39007</v>
          </cell>
          <cell r="C1708">
            <v>3726.4</v>
          </cell>
          <cell r="D1708">
            <v>3742.5</v>
          </cell>
          <cell r="E1708">
            <v>3691.35</v>
          </cell>
          <cell r="F1708">
            <v>3715</v>
          </cell>
        </row>
        <row r="1709">
          <cell r="B1709">
            <v>39008</v>
          </cell>
          <cell r="C1709">
            <v>3715.2</v>
          </cell>
          <cell r="D1709">
            <v>3727</v>
          </cell>
          <cell r="E1709">
            <v>3701.3</v>
          </cell>
          <cell r="F1709">
            <v>3710.65</v>
          </cell>
        </row>
        <row r="1710">
          <cell r="B1710">
            <v>39009</v>
          </cell>
          <cell r="C1710">
            <v>3711.1</v>
          </cell>
          <cell r="D1710">
            <v>3726.95</v>
          </cell>
          <cell r="E1710">
            <v>3655.05</v>
          </cell>
          <cell r="F1710">
            <v>3677.8</v>
          </cell>
        </row>
        <row r="1711">
          <cell r="B1711">
            <v>39010</v>
          </cell>
          <cell r="C1711">
            <v>3678.75</v>
          </cell>
          <cell r="D1711">
            <v>3714.25</v>
          </cell>
          <cell r="E1711">
            <v>3665.5</v>
          </cell>
          <cell r="F1711">
            <v>3676.85</v>
          </cell>
        </row>
        <row r="1712">
          <cell r="B1712">
            <v>39011</v>
          </cell>
          <cell r="C1712">
            <v>3680.85</v>
          </cell>
          <cell r="D1712">
            <v>3708.4</v>
          </cell>
          <cell r="E1712">
            <v>3662.85</v>
          </cell>
          <cell r="F1712">
            <v>3683.5</v>
          </cell>
        </row>
        <row r="1713">
          <cell r="B1713">
            <v>39013</v>
          </cell>
          <cell r="C1713">
            <v>3683.4</v>
          </cell>
          <cell r="D1713">
            <v>3690.85</v>
          </cell>
          <cell r="E1713">
            <v>3651.2</v>
          </cell>
          <cell r="F1713">
            <v>3657.3</v>
          </cell>
        </row>
        <row r="1714">
          <cell r="B1714">
            <v>39016</v>
          </cell>
          <cell r="C1714">
            <v>3656.2</v>
          </cell>
          <cell r="D1714">
            <v>3686.85</v>
          </cell>
          <cell r="E1714">
            <v>3651.2</v>
          </cell>
          <cell r="F1714">
            <v>3677.55</v>
          </cell>
        </row>
        <row r="1715">
          <cell r="B1715">
            <v>39017</v>
          </cell>
          <cell r="C1715">
            <v>3676.85</v>
          </cell>
          <cell r="D1715">
            <v>3747.35</v>
          </cell>
          <cell r="E1715">
            <v>3674.8</v>
          </cell>
          <cell r="F1715">
            <v>3739.35</v>
          </cell>
        </row>
        <row r="1716">
          <cell r="B1716">
            <v>39020</v>
          </cell>
          <cell r="C1716">
            <v>3739.35</v>
          </cell>
          <cell r="D1716">
            <v>3776.05</v>
          </cell>
          <cell r="E1716">
            <v>3719.45</v>
          </cell>
          <cell r="F1716">
            <v>3769.1</v>
          </cell>
        </row>
        <row r="1717">
          <cell r="B1717">
            <v>39021</v>
          </cell>
          <cell r="C1717">
            <v>3770.5</v>
          </cell>
          <cell r="D1717">
            <v>3782.85</v>
          </cell>
          <cell r="E1717">
            <v>3726.75</v>
          </cell>
          <cell r="F1717">
            <v>3744.1</v>
          </cell>
        </row>
        <row r="1718">
          <cell r="B1718">
            <v>39022</v>
          </cell>
          <cell r="C1718">
            <v>3744.1</v>
          </cell>
          <cell r="D1718">
            <v>3777.7</v>
          </cell>
          <cell r="E1718">
            <v>3737</v>
          </cell>
          <cell r="F1718">
            <v>3767.05</v>
          </cell>
        </row>
        <row r="1719">
          <cell r="B1719">
            <v>39023</v>
          </cell>
          <cell r="C1719">
            <v>3769.4</v>
          </cell>
          <cell r="D1719">
            <v>3805.5</v>
          </cell>
          <cell r="E1719">
            <v>3761.9</v>
          </cell>
          <cell r="F1719">
            <v>3791.2</v>
          </cell>
        </row>
        <row r="1720">
          <cell r="B1720">
            <v>39024</v>
          </cell>
          <cell r="C1720">
            <v>3793.05</v>
          </cell>
          <cell r="D1720">
            <v>3809.65</v>
          </cell>
          <cell r="E1720">
            <v>3771</v>
          </cell>
          <cell r="F1720">
            <v>3805.35</v>
          </cell>
        </row>
        <row r="1721">
          <cell r="B1721">
            <v>39027</v>
          </cell>
          <cell r="C1721">
            <v>3804.75</v>
          </cell>
          <cell r="D1721">
            <v>3822.4</v>
          </cell>
          <cell r="E1721">
            <v>3798.25</v>
          </cell>
          <cell r="F1721">
            <v>3809.25</v>
          </cell>
        </row>
        <row r="1722">
          <cell r="B1722">
            <v>39028</v>
          </cell>
          <cell r="C1722">
            <v>3812.15</v>
          </cell>
          <cell r="D1722">
            <v>3840.45</v>
          </cell>
          <cell r="E1722">
            <v>3789.4</v>
          </cell>
          <cell r="F1722">
            <v>3798.75</v>
          </cell>
        </row>
        <row r="1723">
          <cell r="B1723">
            <v>39029</v>
          </cell>
          <cell r="C1723">
            <v>3799.2</v>
          </cell>
          <cell r="D1723">
            <v>3809.95</v>
          </cell>
          <cell r="E1723">
            <v>3737.2</v>
          </cell>
          <cell r="F1723">
            <v>3777.3</v>
          </cell>
        </row>
        <row r="1724">
          <cell r="B1724">
            <v>39030</v>
          </cell>
          <cell r="C1724">
            <v>3777.8</v>
          </cell>
          <cell r="D1724">
            <v>3808.2</v>
          </cell>
          <cell r="E1724">
            <v>3769.8</v>
          </cell>
          <cell r="F1724">
            <v>3796.4</v>
          </cell>
        </row>
        <row r="1725">
          <cell r="B1725">
            <v>39031</v>
          </cell>
          <cell r="C1725">
            <v>3796.05</v>
          </cell>
          <cell r="D1725">
            <v>3842.4</v>
          </cell>
          <cell r="E1725">
            <v>3785.4</v>
          </cell>
          <cell r="F1725">
            <v>3834.75</v>
          </cell>
        </row>
        <row r="1726">
          <cell r="B1726">
            <v>39034</v>
          </cell>
          <cell r="C1726">
            <v>3834.8</v>
          </cell>
          <cell r="D1726">
            <v>3862.05</v>
          </cell>
          <cell r="E1726">
            <v>3834</v>
          </cell>
          <cell r="F1726">
            <v>3858.75</v>
          </cell>
        </row>
        <row r="1727">
          <cell r="B1727">
            <v>39035</v>
          </cell>
          <cell r="C1727">
            <v>3862</v>
          </cell>
          <cell r="D1727">
            <v>3883</v>
          </cell>
          <cell r="E1727">
            <v>3850.75</v>
          </cell>
          <cell r="F1727">
            <v>3865.9</v>
          </cell>
        </row>
        <row r="1728">
          <cell r="B1728">
            <v>39036</v>
          </cell>
          <cell r="C1728">
            <v>3865.95</v>
          </cell>
          <cell r="D1728">
            <v>3888.8</v>
          </cell>
          <cell r="E1728">
            <v>3838.25</v>
          </cell>
          <cell r="F1728">
            <v>3876.3</v>
          </cell>
        </row>
        <row r="1729">
          <cell r="B1729">
            <v>39037</v>
          </cell>
          <cell r="C1729">
            <v>3876.4</v>
          </cell>
          <cell r="D1729">
            <v>3900.4</v>
          </cell>
          <cell r="E1729">
            <v>3863.85</v>
          </cell>
          <cell r="F1729">
            <v>3876.85</v>
          </cell>
        </row>
        <row r="1730">
          <cell r="B1730">
            <v>39038</v>
          </cell>
          <cell r="C1730">
            <v>3877</v>
          </cell>
          <cell r="D1730">
            <v>3891.85</v>
          </cell>
          <cell r="E1730">
            <v>3835.7</v>
          </cell>
          <cell r="F1730">
            <v>3852.8</v>
          </cell>
        </row>
        <row r="1731">
          <cell r="B1731">
            <v>39041</v>
          </cell>
          <cell r="C1731">
            <v>3852.65</v>
          </cell>
          <cell r="D1731">
            <v>3866.95</v>
          </cell>
          <cell r="E1731">
            <v>3794.3</v>
          </cell>
          <cell r="F1731">
            <v>3856.15</v>
          </cell>
        </row>
        <row r="1732">
          <cell r="B1732">
            <v>39042</v>
          </cell>
          <cell r="C1732">
            <v>3859.5</v>
          </cell>
          <cell r="D1732">
            <v>3921.7</v>
          </cell>
          <cell r="E1732">
            <v>3856.75</v>
          </cell>
          <cell r="F1732">
            <v>3918.25</v>
          </cell>
        </row>
        <row r="1733">
          <cell r="B1733">
            <v>39043</v>
          </cell>
          <cell r="C1733">
            <v>3918.3</v>
          </cell>
          <cell r="D1733">
            <v>3960</v>
          </cell>
          <cell r="E1733">
            <v>3909.6</v>
          </cell>
          <cell r="F1733">
            <v>3954.75</v>
          </cell>
        </row>
        <row r="1734">
          <cell r="B1734">
            <v>39044</v>
          </cell>
          <cell r="C1734">
            <v>3955.3</v>
          </cell>
          <cell r="D1734">
            <v>3976.8</v>
          </cell>
          <cell r="E1734">
            <v>3933.7</v>
          </cell>
          <cell r="F1734">
            <v>3945.45</v>
          </cell>
        </row>
        <row r="1735">
          <cell r="B1735">
            <v>39045</v>
          </cell>
          <cell r="C1735">
            <v>3945.45</v>
          </cell>
          <cell r="D1735">
            <v>3965.8</v>
          </cell>
          <cell r="E1735">
            <v>3935.3</v>
          </cell>
          <cell r="F1735">
            <v>3950.85</v>
          </cell>
        </row>
        <row r="1736">
          <cell r="B1736">
            <v>39048</v>
          </cell>
          <cell r="C1736">
            <v>3974.95</v>
          </cell>
          <cell r="D1736">
            <v>3974.95</v>
          </cell>
          <cell r="E1736">
            <v>3948.85</v>
          </cell>
          <cell r="F1736">
            <v>3968.9</v>
          </cell>
        </row>
        <row r="1737">
          <cell r="B1737">
            <v>39049</v>
          </cell>
          <cell r="C1737">
            <v>3966</v>
          </cell>
          <cell r="D1737">
            <v>3966</v>
          </cell>
          <cell r="E1737">
            <v>3911.55</v>
          </cell>
          <cell r="F1737">
            <v>3921.75</v>
          </cell>
        </row>
        <row r="1738">
          <cell r="B1738">
            <v>39050</v>
          </cell>
          <cell r="C1738">
            <v>3922.5</v>
          </cell>
          <cell r="D1738">
            <v>3952.4</v>
          </cell>
          <cell r="E1738">
            <v>3920</v>
          </cell>
          <cell r="F1738">
            <v>3928.2</v>
          </cell>
        </row>
        <row r="1739">
          <cell r="B1739">
            <v>39051</v>
          </cell>
          <cell r="C1739">
            <v>3929.4</v>
          </cell>
          <cell r="D1739">
            <v>3973</v>
          </cell>
          <cell r="E1739">
            <v>3929.4</v>
          </cell>
          <cell r="F1739">
            <v>3954.5</v>
          </cell>
        </row>
        <row r="1740">
          <cell r="B1740">
            <v>39052</v>
          </cell>
          <cell r="C1740">
            <v>3955.7</v>
          </cell>
          <cell r="D1740">
            <v>4001.3</v>
          </cell>
          <cell r="E1740">
            <v>3953.95</v>
          </cell>
          <cell r="F1740">
            <v>3997.6</v>
          </cell>
        </row>
        <row r="1741">
          <cell r="B1741">
            <v>39055</v>
          </cell>
          <cell r="C1741">
            <v>4002.4</v>
          </cell>
          <cell r="D1741">
            <v>4015.25</v>
          </cell>
          <cell r="E1741">
            <v>3991.55</v>
          </cell>
          <cell r="F1741">
            <v>4001</v>
          </cell>
        </row>
        <row r="1742">
          <cell r="B1742">
            <v>39056</v>
          </cell>
          <cell r="C1742">
            <v>4001.25</v>
          </cell>
          <cell r="D1742">
            <v>4033.2</v>
          </cell>
          <cell r="E1742">
            <v>4001.25</v>
          </cell>
          <cell r="F1742">
            <v>4015.75</v>
          </cell>
        </row>
        <row r="1743">
          <cell r="B1743">
            <v>39057</v>
          </cell>
          <cell r="C1743">
            <v>4016</v>
          </cell>
          <cell r="D1743">
            <v>4036.2</v>
          </cell>
          <cell r="E1743">
            <v>3982.5</v>
          </cell>
          <cell r="F1743">
            <v>4015.95</v>
          </cell>
        </row>
        <row r="1744">
          <cell r="B1744">
            <v>39058</v>
          </cell>
          <cell r="C1744">
            <v>4015</v>
          </cell>
          <cell r="D1744">
            <v>4027.7</v>
          </cell>
          <cell r="E1744">
            <v>4001.4</v>
          </cell>
          <cell r="F1744">
            <v>4015.35</v>
          </cell>
        </row>
        <row r="1745">
          <cell r="B1745">
            <v>39059</v>
          </cell>
          <cell r="C1745">
            <v>4015.75</v>
          </cell>
          <cell r="D1745">
            <v>4046.85</v>
          </cell>
          <cell r="E1745">
            <v>3948.7</v>
          </cell>
          <cell r="F1745">
            <v>3962</v>
          </cell>
        </row>
        <row r="1746">
          <cell r="B1746">
            <v>39062</v>
          </cell>
          <cell r="C1746">
            <v>3961.9</v>
          </cell>
          <cell r="D1746">
            <v>3965.05</v>
          </cell>
          <cell r="E1746">
            <v>3798.3</v>
          </cell>
          <cell r="F1746">
            <v>3849.5</v>
          </cell>
        </row>
        <row r="1747">
          <cell r="B1747">
            <v>39063</v>
          </cell>
          <cell r="C1747">
            <v>3849.1</v>
          </cell>
          <cell r="D1747">
            <v>3861.25</v>
          </cell>
          <cell r="E1747">
            <v>3661.6</v>
          </cell>
          <cell r="F1747">
            <v>3716.9</v>
          </cell>
        </row>
        <row r="1748">
          <cell r="B1748">
            <v>39064</v>
          </cell>
          <cell r="C1748">
            <v>3716.75</v>
          </cell>
          <cell r="D1748">
            <v>3777.6</v>
          </cell>
          <cell r="E1748">
            <v>3657.65</v>
          </cell>
          <cell r="F1748">
            <v>3765.2</v>
          </cell>
        </row>
        <row r="1749">
          <cell r="B1749">
            <v>39065</v>
          </cell>
          <cell r="C1749">
            <v>3765.7</v>
          </cell>
          <cell r="D1749">
            <v>3855.05</v>
          </cell>
          <cell r="E1749">
            <v>3763.5</v>
          </cell>
          <cell r="F1749">
            <v>3843.05</v>
          </cell>
        </row>
        <row r="1750">
          <cell r="B1750">
            <v>39066</v>
          </cell>
          <cell r="C1750">
            <v>3849.6</v>
          </cell>
          <cell r="D1750">
            <v>3908.45</v>
          </cell>
          <cell r="E1750">
            <v>3845.45</v>
          </cell>
          <cell r="F1750">
            <v>3888.65</v>
          </cell>
        </row>
        <row r="1751">
          <cell r="B1751">
            <v>39069</v>
          </cell>
          <cell r="C1751">
            <v>3888.2</v>
          </cell>
          <cell r="D1751">
            <v>3934</v>
          </cell>
          <cell r="E1751">
            <v>3828.15</v>
          </cell>
          <cell r="F1751">
            <v>3928.75</v>
          </cell>
        </row>
        <row r="1752">
          <cell r="B1752">
            <v>39070</v>
          </cell>
          <cell r="C1752">
            <v>3928.85</v>
          </cell>
          <cell r="D1752">
            <v>3931.9</v>
          </cell>
          <cell r="E1752">
            <v>3783.45</v>
          </cell>
          <cell r="F1752">
            <v>3832</v>
          </cell>
        </row>
        <row r="1753">
          <cell r="B1753">
            <v>39071</v>
          </cell>
          <cell r="C1753">
            <v>3832.15</v>
          </cell>
          <cell r="D1753">
            <v>3886.1</v>
          </cell>
          <cell r="E1753">
            <v>3787.55</v>
          </cell>
          <cell r="F1753">
            <v>3815.55</v>
          </cell>
        </row>
        <row r="1754">
          <cell r="B1754">
            <v>39072</v>
          </cell>
          <cell r="C1754">
            <v>3814.75</v>
          </cell>
          <cell r="D1754">
            <v>3851.2</v>
          </cell>
          <cell r="E1754">
            <v>3768.8</v>
          </cell>
          <cell r="F1754">
            <v>3833.5</v>
          </cell>
        </row>
        <row r="1755">
          <cell r="B1755">
            <v>39073</v>
          </cell>
          <cell r="C1755">
            <v>3834.9</v>
          </cell>
          <cell r="D1755">
            <v>3880.15</v>
          </cell>
          <cell r="E1755">
            <v>3823.4</v>
          </cell>
          <cell r="F1755">
            <v>3871.15</v>
          </cell>
        </row>
        <row r="1756">
          <cell r="B1756">
            <v>39077</v>
          </cell>
          <cell r="C1756">
            <v>3871.3</v>
          </cell>
          <cell r="D1756">
            <v>3946.1</v>
          </cell>
          <cell r="E1756">
            <v>3870.45</v>
          </cell>
          <cell r="F1756">
            <v>3940.5</v>
          </cell>
        </row>
        <row r="1757">
          <cell r="B1757">
            <v>39078</v>
          </cell>
          <cell r="C1757">
            <v>3942.75</v>
          </cell>
          <cell r="D1757">
            <v>3986.75</v>
          </cell>
          <cell r="E1757">
            <v>3937.7</v>
          </cell>
          <cell r="F1757">
            <v>3974.25</v>
          </cell>
        </row>
        <row r="1758">
          <cell r="B1758">
            <v>39079</v>
          </cell>
          <cell r="C1758">
            <v>3974.2</v>
          </cell>
          <cell r="D1758">
            <v>3997.35</v>
          </cell>
          <cell r="E1758">
            <v>3961.95</v>
          </cell>
          <cell r="F1758">
            <v>3970.55</v>
          </cell>
        </row>
        <row r="1759">
          <cell r="B1759">
            <v>39080</v>
          </cell>
          <cell r="C1759">
            <v>3971.65</v>
          </cell>
          <cell r="D1759">
            <v>3991.6</v>
          </cell>
          <cell r="E1759">
            <v>3960.45</v>
          </cell>
          <cell r="F1759">
            <v>3966.4</v>
          </cell>
        </row>
        <row r="1760">
          <cell r="B1760">
            <v>39084</v>
          </cell>
          <cell r="C1760">
            <v>3966.25</v>
          </cell>
          <cell r="D1760">
            <v>4016.65</v>
          </cell>
          <cell r="E1760">
            <v>3964.95</v>
          </cell>
          <cell r="F1760">
            <v>4007.4</v>
          </cell>
        </row>
        <row r="1761">
          <cell r="B1761">
            <v>39085</v>
          </cell>
          <cell r="C1761">
            <v>4007.7</v>
          </cell>
          <cell r="D1761">
            <v>4029.8</v>
          </cell>
          <cell r="E1761">
            <v>3985</v>
          </cell>
          <cell r="F1761">
            <v>4024.05</v>
          </cell>
        </row>
        <row r="1762">
          <cell r="B1762">
            <v>39086</v>
          </cell>
          <cell r="C1762">
            <v>4027.3</v>
          </cell>
          <cell r="D1762">
            <v>4041</v>
          </cell>
          <cell r="E1762">
            <v>3979.8</v>
          </cell>
          <cell r="F1762">
            <v>3988.8</v>
          </cell>
        </row>
        <row r="1763">
          <cell r="B1763">
            <v>39087</v>
          </cell>
          <cell r="C1763">
            <v>3990.15</v>
          </cell>
          <cell r="D1763">
            <v>4011.45</v>
          </cell>
          <cell r="E1763">
            <v>3969.65</v>
          </cell>
          <cell r="F1763">
            <v>3983.4</v>
          </cell>
        </row>
        <row r="1764">
          <cell r="B1764">
            <v>39090</v>
          </cell>
          <cell r="C1764">
            <v>3983.3</v>
          </cell>
          <cell r="D1764">
            <v>3987.45</v>
          </cell>
          <cell r="E1764">
            <v>3913</v>
          </cell>
          <cell r="F1764">
            <v>3933.4</v>
          </cell>
        </row>
        <row r="1765">
          <cell r="B1765">
            <v>39091</v>
          </cell>
          <cell r="C1765">
            <v>3933.3</v>
          </cell>
          <cell r="D1765">
            <v>3963.75</v>
          </cell>
          <cell r="E1765">
            <v>3890.75</v>
          </cell>
          <cell r="F1765">
            <v>3911.4</v>
          </cell>
        </row>
        <row r="1766">
          <cell r="B1766">
            <v>39092</v>
          </cell>
          <cell r="C1766">
            <v>3910.95</v>
          </cell>
          <cell r="D1766">
            <v>3911.95</v>
          </cell>
          <cell r="E1766">
            <v>3841.7</v>
          </cell>
          <cell r="F1766">
            <v>3850.3</v>
          </cell>
        </row>
        <row r="1767">
          <cell r="B1767">
            <v>39093</v>
          </cell>
          <cell r="C1767">
            <v>3852.15</v>
          </cell>
          <cell r="D1767">
            <v>3953.1</v>
          </cell>
          <cell r="E1767">
            <v>3833.6</v>
          </cell>
          <cell r="F1767">
            <v>3942.25</v>
          </cell>
        </row>
        <row r="1768">
          <cell r="B1768">
            <v>39094</v>
          </cell>
          <cell r="C1768">
            <v>3944.55</v>
          </cell>
          <cell r="D1768">
            <v>4059.15</v>
          </cell>
          <cell r="E1768">
            <v>3944.55</v>
          </cell>
          <cell r="F1768">
            <v>4052.45</v>
          </cell>
        </row>
        <row r="1769">
          <cell r="B1769">
            <v>39097</v>
          </cell>
          <cell r="C1769">
            <v>4052.85</v>
          </cell>
          <cell r="D1769">
            <v>4099.6499999999996</v>
          </cell>
          <cell r="E1769">
            <v>4052.4</v>
          </cell>
          <cell r="F1769">
            <v>4078.4</v>
          </cell>
        </row>
        <row r="1770">
          <cell r="B1770">
            <v>39098</v>
          </cell>
          <cell r="C1770">
            <v>4090.7</v>
          </cell>
          <cell r="D1770">
            <v>4107.45</v>
          </cell>
          <cell r="E1770">
            <v>4067.9</v>
          </cell>
          <cell r="F1770">
            <v>4080.5</v>
          </cell>
        </row>
        <row r="1771">
          <cell r="B1771">
            <v>39099</v>
          </cell>
          <cell r="C1771">
            <v>4084.9</v>
          </cell>
          <cell r="D1771">
            <v>4096.75</v>
          </cell>
          <cell r="E1771">
            <v>4071.55</v>
          </cell>
          <cell r="F1771">
            <v>4076.45</v>
          </cell>
        </row>
        <row r="1772">
          <cell r="B1772">
            <v>39100</v>
          </cell>
          <cell r="C1772">
            <v>4075.2</v>
          </cell>
          <cell r="D1772">
            <v>4140.25</v>
          </cell>
          <cell r="E1772">
            <v>4075.2</v>
          </cell>
          <cell r="F1772">
            <v>4109.05</v>
          </cell>
        </row>
        <row r="1773">
          <cell r="B1773">
            <v>39101</v>
          </cell>
          <cell r="C1773">
            <v>4126</v>
          </cell>
          <cell r="D1773">
            <v>4137.1499999999996</v>
          </cell>
          <cell r="E1773">
            <v>4058.35</v>
          </cell>
          <cell r="F1773">
            <v>4090.15</v>
          </cell>
        </row>
        <row r="1774">
          <cell r="B1774">
            <v>39104</v>
          </cell>
          <cell r="C1774">
            <v>4089.6</v>
          </cell>
          <cell r="D1774">
            <v>4114.5</v>
          </cell>
          <cell r="E1774">
            <v>4069.95</v>
          </cell>
          <cell r="F1774">
            <v>4102.45</v>
          </cell>
        </row>
        <row r="1775">
          <cell r="B1775">
            <v>39105</v>
          </cell>
          <cell r="C1775">
            <v>4102.6499999999996</v>
          </cell>
          <cell r="D1775">
            <v>4105.1000000000004</v>
          </cell>
          <cell r="E1775">
            <v>4056.45</v>
          </cell>
          <cell r="F1775">
            <v>4066.1</v>
          </cell>
        </row>
        <row r="1776">
          <cell r="B1776">
            <v>39106</v>
          </cell>
          <cell r="C1776">
            <v>4066.6</v>
          </cell>
          <cell r="D1776">
            <v>4098.25</v>
          </cell>
          <cell r="E1776">
            <v>4065.75</v>
          </cell>
          <cell r="F1776">
            <v>4089.9</v>
          </cell>
        </row>
        <row r="1777">
          <cell r="B1777">
            <v>39107</v>
          </cell>
          <cell r="C1777">
            <v>4092.05</v>
          </cell>
          <cell r="D1777">
            <v>4157.95</v>
          </cell>
          <cell r="E1777">
            <v>4090.1</v>
          </cell>
          <cell r="F1777">
            <v>4147.7</v>
          </cell>
        </row>
        <row r="1778">
          <cell r="B1778">
            <v>39111</v>
          </cell>
          <cell r="C1778">
            <v>4148.3999999999996</v>
          </cell>
          <cell r="D1778">
            <v>4167.1499999999996</v>
          </cell>
          <cell r="E1778">
            <v>4115.75</v>
          </cell>
          <cell r="F1778">
            <v>4124.45</v>
          </cell>
        </row>
        <row r="1779">
          <cell r="B1779">
            <v>39113</v>
          </cell>
          <cell r="C1779">
            <v>4123.8500000000004</v>
          </cell>
          <cell r="D1779">
            <v>4137.8500000000004</v>
          </cell>
          <cell r="E1779">
            <v>4068.55</v>
          </cell>
          <cell r="F1779">
            <v>4082.7</v>
          </cell>
        </row>
        <row r="1780">
          <cell r="B1780">
            <v>39114</v>
          </cell>
          <cell r="C1780">
            <v>4083.4</v>
          </cell>
          <cell r="D1780">
            <v>4141.6000000000004</v>
          </cell>
          <cell r="E1780">
            <v>4081.1</v>
          </cell>
          <cell r="F1780">
            <v>4137.2</v>
          </cell>
        </row>
        <row r="1781">
          <cell r="B1781">
            <v>39115</v>
          </cell>
          <cell r="C1781">
            <v>4140.2</v>
          </cell>
          <cell r="D1781">
            <v>4198.7</v>
          </cell>
          <cell r="E1781">
            <v>4132.95</v>
          </cell>
          <cell r="F1781">
            <v>4183.5</v>
          </cell>
        </row>
        <row r="1782">
          <cell r="B1782">
            <v>39118</v>
          </cell>
          <cell r="C1782">
            <v>4193.1499999999996</v>
          </cell>
          <cell r="D1782">
            <v>4219</v>
          </cell>
          <cell r="E1782">
            <v>4170</v>
          </cell>
          <cell r="F1782">
            <v>4215.3500000000004</v>
          </cell>
        </row>
        <row r="1783">
          <cell r="B1783">
            <v>39119</v>
          </cell>
          <cell r="C1783">
            <v>4216.55</v>
          </cell>
          <cell r="D1783">
            <v>4228.1499999999996</v>
          </cell>
          <cell r="E1783">
            <v>4186.1499999999996</v>
          </cell>
          <cell r="F1783">
            <v>4195.8999999999996</v>
          </cell>
        </row>
        <row r="1784">
          <cell r="B1784">
            <v>39120</v>
          </cell>
          <cell r="C1784">
            <v>4198.2</v>
          </cell>
          <cell r="D1784">
            <v>4232.3</v>
          </cell>
          <cell r="E1784">
            <v>4192.8500000000004</v>
          </cell>
          <cell r="F1784">
            <v>4224.25</v>
          </cell>
        </row>
        <row r="1785">
          <cell r="B1785">
            <v>39121</v>
          </cell>
          <cell r="C1785">
            <v>4232</v>
          </cell>
          <cell r="D1785">
            <v>4245.3</v>
          </cell>
          <cell r="E1785">
            <v>4188.45</v>
          </cell>
          <cell r="F1785">
            <v>4223.3999999999996</v>
          </cell>
        </row>
        <row r="1786">
          <cell r="B1786">
            <v>39122</v>
          </cell>
          <cell r="C1786">
            <v>4223.5</v>
          </cell>
          <cell r="D1786">
            <v>4239.2</v>
          </cell>
          <cell r="E1786">
            <v>4171.8</v>
          </cell>
          <cell r="F1786">
            <v>4187.3999999999996</v>
          </cell>
        </row>
        <row r="1787">
          <cell r="B1787">
            <v>39125</v>
          </cell>
          <cell r="C1787">
            <v>4187.2</v>
          </cell>
          <cell r="D1787">
            <v>4187.2</v>
          </cell>
          <cell r="E1787">
            <v>4044.35</v>
          </cell>
          <cell r="F1787">
            <v>4058.3</v>
          </cell>
        </row>
        <row r="1788">
          <cell r="B1788">
            <v>39126</v>
          </cell>
          <cell r="C1788">
            <v>4069.1</v>
          </cell>
          <cell r="D1788">
            <v>4132.7</v>
          </cell>
          <cell r="E1788">
            <v>3998.3</v>
          </cell>
          <cell r="F1788">
            <v>4044.55</v>
          </cell>
        </row>
        <row r="1789">
          <cell r="B1789">
            <v>39127</v>
          </cell>
          <cell r="C1789">
            <v>4044.9</v>
          </cell>
          <cell r="D1789">
            <v>4057.35</v>
          </cell>
          <cell r="E1789">
            <v>3965.2</v>
          </cell>
          <cell r="F1789">
            <v>4047.1</v>
          </cell>
        </row>
        <row r="1790">
          <cell r="B1790">
            <v>39128</v>
          </cell>
          <cell r="C1790">
            <v>4046.8</v>
          </cell>
          <cell r="D1790">
            <v>4155.7</v>
          </cell>
          <cell r="E1790">
            <v>4046.8</v>
          </cell>
          <cell r="F1790">
            <v>4146.2</v>
          </cell>
        </row>
        <row r="1791">
          <cell r="B1791">
            <v>39132</v>
          </cell>
          <cell r="C1791">
            <v>4149.25</v>
          </cell>
          <cell r="D1791">
            <v>4177.7</v>
          </cell>
          <cell r="E1791">
            <v>4149.25</v>
          </cell>
          <cell r="F1791">
            <v>4164.55</v>
          </cell>
        </row>
        <row r="1792">
          <cell r="B1792">
            <v>39133</v>
          </cell>
          <cell r="C1792">
            <v>4164.8500000000004</v>
          </cell>
          <cell r="D1792">
            <v>4175.45</v>
          </cell>
          <cell r="E1792">
            <v>4099.55</v>
          </cell>
          <cell r="F1792">
            <v>4106.95</v>
          </cell>
        </row>
        <row r="1793">
          <cell r="B1793">
            <v>39134</v>
          </cell>
          <cell r="C1793">
            <v>4107.1499999999996</v>
          </cell>
          <cell r="D1793">
            <v>4132.8</v>
          </cell>
          <cell r="E1793">
            <v>4080.9</v>
          </cell>
          <cell r="F1793">
            <v>4096.2</v>
          </cell>
        </row>
        <row r="1794">
          <cell r="B1794">
            <v>39135</v>
          </cell>
          <cell r="C1794">
            <v>4096.6499999999996</v>
          </cell>
          <cell r="D1794">
            <v>4126.8999999999996</v>
          </cell>
          <cell r="E1794">
            <v>4023.15</v>
          </cell>
          <cell r="F1794">
            <v>4040</v>
          </cell>
        </row>
        <row r="1795">
          <cell r="B1795">
            <v>39136</v>
          </cell>
          <cell r="C1795">
            <v>4046</v>
          </cell>
          <cell r="D1795">
            <v>4065.45</v>
          </cell>
          <cell r="E1795">
            <v>3918.2</v>
          </cell>
          <cell r="F1795">
            <v>3938.95</v>
          </cell>
        </row>
        <row r="1796">
          <cell r="B1796">
            <v>39139</v>
          </cell>
          <cell r="C1796">
            <v>3939.1</v>
          </cell>
          <cell r="D1796">
            <v>3958.9</v>
          </cell>
          <cell r="E1796">
            <v>3856.7</v>
          </cell>
          <cell r="F1796">
            <v>3942</v>
          </cell>
        </row>
        <row r="1797">
          <cell r="B1797">
            <v>39140</v>
          </cell>
          <cell r="C1797">
            <v>3948.05</v>
          </cell>
          <cell r="D1797">
            <v>3958</v>
          </cell>
          <cell r="E1797">
            <v>3873.85</v>
          </cell>
          <cell r="F1797">
            <v>3893.9</v>
          </cell>
        </row>
        <row r="1798">
          <cell r="B1798">
            <v>39141</v>
          </cell>
          <cell r="C1798">
            <v>3893.4</v>
          </cell>
          <cell r="D1798">
            <v>3893.4</v>
          </cell>
          <cell r="E1798">
            <v>3674.85</v>
          </cell>
          <cell r="F1798">
            <v>3745.3</v>
          </cell>
        </row>
        <row r="1799">
          <cell r="B1799">
            <v>39142</v>
          </cell>
          <cell r="C1799">
            <v>3745.4</v>
          </cell>
          <cell r="D1799">
            <v>3818.75</v>
          </cell>
          <cell r="E1799">
            <v>3718.15</v>
          </cell>
          <cell r="F1799">
            <v>3811.2</v>
          </cell>
        </row>
        <row r="1800">
          <cell r="B1800">
            <v>39143</v>
          </cell>
          <cell r="C1800">
            <v>3811.65</v>
          </cell>
          <cell r="D1800">
            <v>3842.05</v>
          </cell>
          <cell r="E1800">
            <v>3711.05</v>
          </cell>
          <cell r="F1800">
            <v>3726.75</v>
          </cell>
        </row>
        <row r="1801">
          <cell r="B1801">
            <v>39146</v>
          </cell>
          <cell r="C1801">
            <v>3726.5</v>
          </cell>
          <cell r="D1801">
            <v>3726.65</v>
          </cell>
          <cell r="E1801">
            <v>3554.5</v>
          </cell>
          <cell r="F1801">
            <v>3576.5</v>
          </cell>
        </row>
        <row r="1802">
          <cell r="B1802">
            <v>39147</v>
          </cell>
          <cell r="C1802">
            <v>3577.15</v>
          </cell>
          <cell r="D1802">
            <v>3679.15</v>
          </cell>
          <cell r="E1802">
            <v>3576.65</v>
          </cell>
          <cell r="F1802">
            <v>3655.65</v>
          </cell>
        </row>
        <row r="1803">
          <cell r="B1803">
            <v>39148</v>
          </cell>
          <cell r="C1803">
            <v>3661.55</v>
          </cell>
          <cell r="D1803">
            <v>3714.15</v>
          </cell>
          <cell r="E1803">
            <v>3568.55</v>
          </cell>
          <cell r="F1803">
            <v>3626.85</v>
          </cell>
        </row>
        <row r="1804">
          <cell r="B1804">
            <v>39149</v>
          </cell>
          <cell r="C1804">
            <v>3627.25</v>
          </cell>
          <cell r="D1804">
            <v>3779.5</v>
          </cell>
          <cell r="E1804">
            <v>3626.8</v>
          </cell>
          <cell r="F1804">
            <v>3761.65</v>
          </cell>
        </row>
        <row r="1805">
          <cell r="B1805">
            <v>39150</v>
          </cell>
          <cell r="C1805">
            <v>3761.85</v>
          </cell>
          <cell r="D1805">
            <v>3795.7</v>
          </cell>
          <cell r="E1805">
            <v>3684.25</v>
          </cell>
          <cell r="F1805">
            <v>3718</v>
          </cell>
        </row>
        <row r="1806">
          <cell r="B1806">
            <v>39153</v>
          </cell>
          <cell r="C1806">
            <v>3717.45</v>
          </cell>
          <cell r="D1806">
            <v>3781.45</v>
          </cell>
          <cell r="E1806">
            <v>3713.9</v>
          </cell>
          <cell r="F1806">
            <v>3734.6</v>
          </cell>
        </row>
        <row r="1807">
          <cell r="B1807">
            <v>39154</v>
          </cell>
          <cell r="C1807">
            <v>3735.25</v>
          </cell>
          <cell r="D1807">
            <v>3775.85</v>
          </cell>
          <cell r="E1807">
            <v>3717.15</v>
          </cell>
          <cell r="F1807">
            <v>3770.55</v>
          </cell>
        </row>
        <row r="1808">
          <cell r="B1808">
            <v>39155</v>
          </cell>
          <cell r="C1808">
            <v>3768.4</v>
          </cell>
          <cell r="D1808">
            <v>3768.4</v>
          </cell>
          <cell r="E1808">
            <v>3623</v>
          </cell>
          <cell r="F1808">
            <v>3641.1</v>
          </cell>
        </row>
        <row r="1809">
          <cell r="B1809">
            <v>39156</v>
          </cell>
          <cell r="C1809">
            <v>3644.9</v>
          </cell>
          <cell r="D1809">
            <v>3711.05</v>
          </cell>
          <cell r="E1809">
            <v>3630.55</v>
          </cell>
          <cell r="F1809">
            <v>3643.6</v>
          </cell>
        </row>
        <row r="1810">
          <cell r="B1810">
            <v>39157</v>
          </cell>
          <cell r="C1810">
            <v>3639.35</v>
          </cell>
          <cell r="D1810">
            <v>3683.6</v>
          </cell>
          <cell r="E1810">
            <v>3573.85</v>
          </cell>
          <cell r="F1810">
            <v>3608.55</v>
          </cell>
        </row>
        <row r="1811">
          <cell r="B1811">
            <v>39160</v>
          </cell>
          <cell r="C1811">
            <v>3611.3</v>
          </cell>
          <cell r="D1811">
            <v>3683.35</v>
          </cell>
          <cell r="E1811">
            <v>3602.85</v>
          </cell>
          <cell r="F1811">
            <v>3678.9</v>
          </cell>
        </row>
        <row r="1812">
          <cell r="B1812">
            <v>39161</v>
          </cell>
          <cell r="C1812">
            <v>3680.35</v>
          </cell>
          <cell r="D1812">
            <v>3725</v>
          </cell>
          <cell r="E1812">
            <v>3676.65</v>
          </cell>
          <cell r="F1812">
            <v>3697.6</v>
          </cell>
        </row>
        <row r="1813">
          <cell r="B1813">
            <v>39162</v>
          </cell>
          <cell r="C1813">
            <v>3697.7</v>
          </cell>
          <cell r="D1813">
            <v>3771.2</v>
          </cell>
          <cell r="E1813">
            <v>3680.6</v>
          </cell>
          <cell r="F1813">
            <v>3764.55</v>
          </cell>
        </row>
        <row r="1814">
          <cell r="B1814">
            <v>39163</v>
          </cell>
          <cell r="C1814">
            <v>3764.5</v>
          </cell>
          <cell r="D1814">
            <v>3881</v>
          </cell>
          <cell r="E1814">
            <v>3764.5</v>
          </cell>
          <cell r="F1814">
            <v>3875.9</v>
          </cell>
        </row>
        <row r="1815">
          <cell r="B1815">
            <v>39164</v>
          </cell>
          <cell r="C1815">
            <v>3876.75</v>
          </cell>
          <cell r="D1815">
            <v>3901.75</v>
          </cell>
          <cell r="E1815">
            <v>3850.8</v>
          </cell>
          <cell r="F1815">
            <v>3861.05</v>
          </cell>
        </row>
        <row r="1816">
          <cell r="B1816">
            <v>39167</v>
          </cell>
          <cell r="C1816">
            <v>3863.45</v>
          </cell>
          <cell r="D1816">
            <v>3885.45</v>
          </cell>
          <cell r="E1816">
            <v>3768.25</v>
          </cell>
          <cell r="F1816">
            <v>3819.95</v>
          </cell>
        </row>
        <row r="1817">
          <cell r="B1817">
            <v>39169</v>
          </cell>
          <cell r="C1817">
            <v>3818.75</v>
          </cell>
          <cell r="D1817">
            <v>3830.3</v>
          </cell>
          <cell r="E1817">
            <v>3752.95</v>
          </cell>
          <cell r="F1817">
            <v>3761.1</v>
          </cell>
        </row>
        <row r="1818">
          <cell r="B1818">
            <v>39170</v>
          </cell>
          <cell r="C1818">
            <v>3759.15</v>
          </cell>
          <cell r="D1818">
            <v>3805.85</v>
          </cell>
          <cell r="E1818">
            <v>3750.35</v>
          </cell>
          <cell r="F1818">
            <v>3798.1</v>
          </cell>
        </row>
        <row r="1819">
          <cell r="B1819">
            <v>39171</v>
          </cell>
          <cell r="C1819">
            <v>3788.85</v>
          </cell>
          <cell r="D1819">
            <v>3832.2</v>
          </cell>
          <cell r="E1819">
            <v>3785.3</v>
          </cell>
          <cell r="F1819">
            <v>3821.55</v>
          </cell>
        </row>
        <row r="1820">
          <cell r="B1820">
            <v>39174</v>
          </cell>
          <cell r="C1820">
            <v>3820</v>
          </cell>
          <cell r="D1820">
            <v>3820</v>
          </cell>
          <cell r="E1820">
            <v>3617</v>
          </cell>
          <cell r="F1820">
            <v>3633.6</v>
          </cell>
        </row>
        <row r="1821">
          <cell r="B1821">
            <v>39175</v>
          </cell>
          <cell r="C1821">
            <v>3633.85</v>
          </cell>
          <cell r="D1821">
            <v>3703.05</v>
          </cell>
          <cell r="E1821">
            <v>3632.2</v>
          </cell>
          <cell r="F1821">
            <v>3690.65</v>
          </cell>
        </row>
        <row r="1822">
          <cell r="B1822">
            <v>39176</v>
          </cell>
          <cell r="C1822">
            <v>3689.75</v>
          </cell>
          <cell r="D1822">
            <v>3751.4</v>
          </cell>
          <cell r="E1822">
            <v>3689.75</v>
          </cell>
          <cell r="F1822">
            <v>3733.25</v>
          </cell>
        </row>
        <row r="1823">
          <cell r="B1823">
            <v>39177</v>
          </cell>
          <cell r="C1823">
            <v>3735.2</v>
          </cell>
          <cell r="D1823">
            <v>3771.45</v>
          </cell>
          <cell r="E1823">
            <v>3709.15</v>
          </cell>
          <cell r="F1823">
            <v>3752</v>
          </cell>
        </row>
        <row r="1824">
          <cell r="B1824">
            <v>39181</v>
          </cell>
          <cell r="C1824">
            <v>3752.9</v>
          </cell>
          <cell r="D1824">
            <v>3850.9</v>
          </cell>
          <cell r="E1824">
            <v>3747.25</v>
          </cell>
          <cell r="F1824">
            <v>3843.5</v>
          </cell>
        </row>
        <row r="1825">
          <cell r="B1825">
            <v>39182</v>
          </cell>
          <cell r="C1825">
            <v>3844.15</v>
          </cell>
          <cell r="D1825">
            <v>3858.35</v>
          </cell>
          <cell r="E1825">
            <v>3819.3</v>
          </cell>
          <cell r="F1825">
            <v>3848.15</v>
          </cell>
        </row>
        <row r="1826">
          <cell r="B1826">
            <v>39183</v>
          </cell>
          <cell r="C1826">
            <v>3848.35</v>
          </cell>
          <cell r="D1826">
            <v>3876.35</v>
          </cell>
          <cell r="E1826">
            <v>3844.75</v>
          </cell>
          <cell r="F1826">
            <v>3862.65</v>
          </cell>
        </row>
        <row r="1827">
          <cell r="B1827">
            <v>39184</v>
          </cell>
          <cell r="C1827">
            <v>3861.85</v>
          </cell>
          <cell r="D1827">
            <v>3861.85</v>
          </cell>
          <cell r="E1827">
            <v>3811.25</v>
          </cell>
          <cell r="F1827">
            <v>3829.85</v>
          </cell>
        </row>
        <row r="1828">
          <cell r="B1828">
            <v>39185</v>
          </cell>
          <cell r="C1828">
            <v>3830.35</v>
          </cell>
          <cell r="D1828">
            <v>3924.55</v>
          </cell>
          <cell r="E1828">
            <v>3828.45</v>
          </cell>
          <cell r="F1828">
            <v>3917.35</v>
          </cell>
        </row>
        <row r="1829">
          <cell r="B1829">
            <v>39188</v>
          </cell>
          <cell r="C1829">
            <v>3920.5</v>
          </cell>
          <cell r="D1829">
            <v>4016.8</v>
          </cell>
          <cell r="E1829">
            <v>3920.5</v>
          </cell>
          <cell r="F1829">
            <v>4013.35</v>
          </cell>
        </row>
        <row r="1830">
          <cell r="B1830">
            <v>39189</v>
          </cell>
          <cell r="C1830">
            <v>4014.4</v>
          </cell>
          <cell r="D1830">
            <v>4030</v>
          </cell>
          <cell r="E1830">
            <v>3976.25</v>
          </cell>
          <cell r="F1830">
            <v>3984.95</v>
          </cell>
        </row>
        <row r="1831">
          <cell r="B1831">
            <v>39190</v>
          </cell>
          <cell r="C1831">
            <v>3989.6</v>
          </cell>
          <cell r="D1831">
            <v>4039.25</v>
          </cell>
          <cell r="E1831">
            <v>3981.75</v>
          </cell>
          <cell r="F1831">
            <v>4011.6</v>
          </cell>
        </row>
        <row r="1832">
          <cell r="B1832">
            <v>39191</v>
          </cell>
          <cell r="C1832">
            <v>3998.5</v>
          </cell>
          <cell r="D1832">
            <v>4011</v>
          </cell>
          <cell r="E1832">
            <v>3933.35</v>
          </cell>
          <cell r="F1832">
            <v>3997.65</v>
          </cell>
        </row>
        <row r="1833">
          <cell r="B1833">
            <v>39192</v>
          </cell>
          <cell r="C1833">
            <v>4000.25</v>
          </cell>
          <cell r="D1833">
            <v>4090.05</v>
          </cell>
          <cell r="E1833">
            <v>3995.5</v>
          </cell>
          <cell r="F1833">
            <v>4083.55</v>
          </cell>
        </row>
        <row r="1834">
          <cell r="B1834">
            <v>39195</v>
          </cell>
          <cell r="C1834">
            <v>4083.55</v>
          </cell>
          <cell r="D1834">
            <v>4122.3500000000004</v>
          </cell>
          <cell r="E1834">
            <v>4075.2</v>
          </cell>
          <cell r="F1834">
            <v>4085.1</v>
          </cell>
        </row>
        <row r="1835">
          <cell r="B1835">
            <v>39196</v>
          </cell>
          <cell r="C1835">
            <v>4085.1</v>
          </cell>
          <cell r="D1835">
            <v>4162.1499999999996</v>
          </cell>
          <cell r="E1835">
            <v>4057.7</v>
          </cell>
          <cell r="F1835">
            <v>4141.8</v>
          </cell>
        </row>
        <row r="1836">
          <cell r="B1836">
            <v>39197</v>
          </cell>
          <cell r="C1836">
            <v>4134.25</v>
          </cell>
          <cell r="D1836">
            <v>4173.3</v>
          </cell>
          <cell r="E1836">
            <v>4114.3500000000004</v>
          </cell>
          <cell r="F1836">
            <v>4167.3</v>
          </cell>
        </row>
        <row r="1837">
          <cell r="B1837">
            <v>39198</v>
          </cell>
          <cell r="C1837">
            <v>4170.05</v>
          </cell>
          <cell r="D1837">
            <v>4217.8999999999996</v>
          </cell>
          <cell r="E1837">
            <v>4143.25</v>
          </cell>
          <cell r="F1837">
            <v>4177.8500000000004</v>
          </cell>
        </row>
        <row r="1838">
          <cell r="B1838">
            <v>39199</v>
          </cell>
          <cell r="C1838">
            <v>4182</v>
          </cell>
          <cell r="D1838">
            <v>4182</v>
          </cell>
          <cell r="E1838">
            <v>4074.3</v>
          </cell>
          <cell r="F1838">
            <v>4083.5</v>
          </cell>
        </row>
        <row r="1839">
          <cell r="B1839">
            <v>39202</v>
          </cell>
          <cell r="C1839">
            <v>4081.6</v>
          </cell>
          <cell r="D1839">
            <v>4096.8999999999996</v>
          </cell>
          <cell r="E1839">
            <v>4028.9</v>
          </cell>
          <cell r="F1839">
            <v>4087.9</v>
          </cell>
        </row>
        <row r="1840">
          <cell r="B1840">
            <v>39205</v>
          </cell>
          <cell r="C1840">
            <v>4089.45</v>
          </cell>
          <cell r="D1840">
            <v>4161.2</v>
          </cell>
          <cell r="E1840">
            <v>4080.75</v>
          </cell>
          <cell r="F1840">
            <v>4150.8500000000004</v>
          </cell>
        </row>
        <row r="1841">
          <cell r="B1841">
            <v>39206</v>
          </cell>
          <cell r="C1841">
            <v>4168.8999999999996</v>
          </cell>
          <cell r="D1841">
            <v>4180.8999999999996</v>
          </cell>
          <cell r="E1841">
            <v>4109.7</v>
          </cell>
          <cell r="F1841">
            <v>4117.3500000000004</v>
          </cell>
        </row>
        <row r="1842">
          <cell r="B1842">
            <v>39209</v>
          </cell>
          <cell r="C1842">
            <v>4117.5</v>
          </cell>
          <cell r="D1842">
            <v>4157.6499999999996</v>
          </cell>
          <cell r="E1842">
            <v>4103.6000000000004</v>
          </cell>
          <cell r="F1842">
            <v>4111.1499999999996</v>
          </cell>
        </row>
        <row r="1843">
          <cell r="B1843">
            <v>39210</v>
          </cell>
          <cell r="C1843">
            <v>4111.25</v>
          </cell>
          <cell r="D1843">
            <v>4136.05</v>
          </cell>
          <cell r="E1843">
            <v>4066.4</v>
          </cell>
          <cell r="F1843">
            <v>4077</v>
          </cell>
        </row>
        <row r="1844">
          <cell r="B1844">
            <v>39211</v>
          </cell>
          <cell r="C1844">
            <v>4077.25</v>
          </cell>
          <cell r="D1844">
            <v>4087.8</v>
          </cell>
          <cell r="E1844">
            <v>4030.55</v>
          </cell>
          <cell r="F1844">
            <v>4079.3</v>
          </cell>
        </row>
        <row r="1845">
          <cell r="B1845">
            <v>39212</v>
          </cell>
          <cell r="C1845">
            <v>4079.6</v>
          </cell>
          <cell r="D1845">
            <v>4134.2</v>
          </cell>
          <cell r="E1845">
            <v>4057.55</v>
          </cell>
          <cell r="F1845">
            <v>4066.8</v>
          </cell>
        </row>
        <row r="1846">
          <cell r="B1846">
            <v>39213</v>
          </cell>
          <cell r="C1846">
            <v>4070.2</v>
          </cell>
          <cell r="D1846">
            <v>4094.65</v>
          </cell>
          <cell r="E1846">
            <v>3981.15</v>
          </cell>
          <cell r="F1846">
            <v>4076.65</v>
          </cell>
        </row>
        <row r="1847">
          <cell r="B1847">
            <v>39216</v>
          </cell>
          <cell r="C1847">
            <v>4078.8</v>
          </cell>
          <cell r="D1847">
            <v>4151.3</v>
          </cell>
          <cell r="E1847">
            <v>4072.45</v>
          </cell>
          <cell r="F1847">
            <v>4134.3</v>
          </cell>
        </row>
        <row r="1848">
          <cell r="B1848">
            <v>39217</v>
          </cell>
          <cell r="C1848">
            <v>4134.3</v>
          </cell>
          <cell r="D1848">
            <v>4150.45</v>
          </cell>
          <cell r="E1848">
            <v>4102.45</v>
          </cell>
          <cell r="F1848">
            <v>4120.3</v>
          </cell>
        </row>
        <row r="1849">
          <cell r="B1849">
            <v>39218</v>
          </cell>
          <cell r="C1849">
            <v>4125.3999999999996</v>
          </cell>
          <cell r="D1849">
            <v>4181</v>
          </cell>
          <cell r="E1849">
            <v>4113.05</v>
          </cell>
          <cell r="F1849">
            <v>4170.95</v>
          </cell>
        </row>
        <row r="1850">
          <cell r="B1850">
            <v>39219</v>
          </cell>
          <cell r="C1850">
            <v>4172.1000000000004</v>
          </cell>
          <cell r="D1850">
            <v>4232.45</v>
          </cell>
          <cell r="E1850">
            <v>4172.1000000000004</v>
          </cell>
          <cell r="F1850">
            <v>4219.55</v>
          </cell>
        </row>
        <row r="1851">
          <cell r="B1851">
            <v>39220</v>
          </cell>
          <cell r="C1851">
            <v>4216.5</v>
          </cell>
          <cell r="D1851">
            <v>4228.45</v>
          </cell>
          <cell r="E1851">
            <v>4177</v>
          </cell>
          <cell r="F1851">
            <v>4214.5</v>
          </cell>
        </row>
        <row r="1852">
          <cell r="B1852">
            <v>39223</v>
          </cell>
          <cell r="C1852">
            <v>4217.6499999999996</v>
          </cell>
          <cell r="D1852">
            <v>4269.3500000000004</v>
          </cell>
          <cell r="E1852">
            <v>4217.55</v>
          </cell>
          <cell r="F1852">
            <v>4260.8999999999996</v>
          </cell>
        </row>
        <row r="1853">
          <cell r="B1853">
            <v>39224</v>
          </cell>
          <cell r="C1853">
            <v>4263.1000000000004</v>
          </cell>
          <cell r="D1853">
            <v>4281.6000000000004</v>
          </cell>
          <cell r="E1853">
            <v>4234.1000000000004</v>
          </cell>
          <cell r="F1853">
            <v>4278.1000000000004</v>
          </cell>
        </row>
        <row r="1854">
          <cell r="B1854">
            <v>39225</v>
          </cell>
          <cell r="C1854">
            <v>4279.6000000000004</v>
          </cell>
          <cell r="D1854">
            <v>4291.3999999999996</v>
          </cell>
          <cell r="E1854">
            <v>4231.05</v>
          </cell>
          <cell r="F1854">
            <v>4246.2</v>
          </cell>
        </row>
        <row r="1855">
          <cell r="B1855">
            <v>39226</v>
          </cell>
          <cell r="C1855">
            <v>4246.2</v>
          </cell>
          <cell r="D1855">
            <v>4250.8500000000004</v>
          </cell>
          <cell r="E1855">
            <v>4189.05</v>
          </cell>
          <cell r="F1855">
            <v>4204.8999999999996</v>
          </cell>
        </row>
        <row r="1856">
          <cell r="B1856">
            <v>39227</v>
          </cell>
          <cell r="C1856">
            <v>4197.8500000000004</v>
          </cell>
          <cell r="D1856">
            <v>4256.3999999999996</v>
          </cell>
          <cell r="E1856">
            <v>4141.3500000000004</v>
          </cell>
          <cell r="F1856">
            <v>4248.1499999999996</v>
          </cell>
        </row>
        <row r="1857">
          <cell r="B1857">
            <v>39230</v>
          </cell>
          <cell r="C1857">
            <v>4248.3500000000004</v>
          </cell>
          <cell r="D1857">
            <v>4295.6000000000004</v>
          </cell>
          <cell r="E1857">
            <v>4242.8</v>
          </cell>
          <cell r="F1857">
            <v>4256.55</v>
          </cell>
        </row>
        <row r="1858">
          <cell r="B1858">
            <v>39231</v>
          </cell>
          <cell r="C1858">
            <v>4257.6000000000004</v>
          </cell>
          <cell r="D1858">
            <v>4298.8500000000004</v>
          </cell>
          <cell r="E1858">
            <v>4248.8999999999996</v>
          </cell>
          <cell r="F1858">
            <v>4293.25</v>
          </cell>
        </row>
        <row r="1859">
          <cell r="B1859">
            <v>39232</v>
          </cell>
          <cell r="C1859">
            <v>4292.7</v>
          </cell>
          <cell r="D1859">
            <v>4301.6000000000004</v>
          </cell>
          <cell r="E1859">
            <v>4241.3500000000004</v>
          </cell>
          <cell r="F1859">
            <v>4249.6499999999996</v>
          </cell>
        </row>
        <row r="1860">
          <cell r="B1860">
            <v>39233</v>
          </cell>
          <cell r="C1860">
            <v>4250.25</v>
          </cell>
          <cell r="D1860">
            <v>4306.75</v>
          </cell>
          <cell r="E1860">
            <v>4250.25</v>
          </cell>
          <cell r="F1860">
            <v>4295.8</v>
          </cell>
        </row>
        <row r="1861">
          <cell r="B1861">
            <v>39234</v>
          </cell>
          <cell r="C1861">
            <v>4296.05</v>
          </cell>
          <cell r="D1861">
            <v>4325.8</v>
          </cell>
          <cell r="E1861">
            <v>4288.55</v>
          </cell>
          <cell r="F1861">
            <v>4297.05</v>
          </cell>
        </row>
        <row r="1862">
          <cell r="B1862">
            <v>39237</v>
          </cell>
          <cell r="C1862">
            <v>4300.7</v>
          </cell>
          <cell r="D1862">
            <v>4362.95</v>
          </cell>
          <cell r="E1862">
            <v>4256.45</v>
          </cell>
          <cell r="F1862">
            <v>4267.05</v>
          </cell>
        </row>
        <row r="1863">
          <cell r="B1863">
            <v>39238</v>
          </cell>
          <cell r="C1863">
            <v>4268.8999999999996</v>
          </cell>
          <cell r="D1863">
            <v>4292.5</v>
          </cell>
          <cell r="E1863">
            <v>4249.1000000000004</v>
          </cell>
          <cell r="F1863">
            <v>4284.6499999999996</v>
          </cell>
        </row>
        <row r="1864">
          <cell r="B1864">
            <v>39239</v>
          </cell>
          <cell r="C1864">
            <v>4285.75</v>
          </cell>
          <cell r="D1864">
            <v>4324.1000000000004</v>
          </cell>
          <cell r="E1864">
            <v>4190.95</v>
          </cell>
          <cell r="F1864">
            <v>4198.25</v>
          </cell>
        </row>
        <row r="1865">
          <cell r="B1865">
            <v>39240</v>
          </cell>
          <cell r="C1865">
            <v>4197.6000000000004</v>
          </cell>
          <cell r="D1865">
            <v>4230.05</v>
          </cell>
          <cell r="E1865">
            <v>4130.5</v>
          </cell>
          <cell r="F1865">
            <v>4179.5</v>
          </cell>
        </row>
        <row r="1866">
          <cell r="B1866">
            <v>39241</v>
          </cell>
          <cell r="C1866">
            <v>4179.5</v>
          </cell>
          <cell r="D1866">
            <v>4195.1499999999996</v>
          </cell>
          <cell r="E1866">
            <v>4126.1000000000004</v>
          </cell>
          <cell r="F1866">
            <v>4145</v>
          </cell>
        </row>
        <row r="1867">
          <cell r="B1867">
            <v>39244</v>
          </cell>
          <cell r="C1867">
            <v>4183.75</v>
          </cell>
          <cell r="D1867">
            <v>4205.2</v>
          </cell>
          <cell r="E1867">
            <v>4134.95</v>
          </cell>
          <cell r="F1867">
            <v>4145.6000000000004</v>
          </cell>
        </row>
        <row r="1868">
          <cell r="B1868">
            <v>39245</v>
          </cell>
          <cell r="C1868">
            <v>4139.7</v>
          </cell>
          <cell r="D1868">
            <v>4166.8500000000004</v>
          </cell>
          <cell r="E1868">
            <v>4100.8</v>
          </cell>
          <cell r="F1868">
            <v>4155.2</v>
          </cell>
        </row>
        <row r="1869">
          <cell r="B1869">
            <v>39246</v>
          </cell>
          <cell r="C1869">
            <v>4155.2</v>
          </cell>
          <cell r="D1869">
            <v>4161.8</v>
          </cell>
          <cell r="E1869">
            <v>4102.95</v>
          </cell>
          <cell r="F1869">
            <v>4113.05</v>
          </cell>
        </row>
        <row r="1870">
          <cell r="B1870">
            <v>39247</v>
          </cell>
          <cell r="C1870">
            <v>4113.2</v>
          </cell>
          <cell r="D1870">
            <v>4174.05</v>
          </cell>
          <cell r="E1870">
            <v>4112.8500000000004</v>
          </cell>
          <cell r="F1870">
            <v>4170</v>
          </cell>
        </row>
        <row r="1871">
          <cell r="B1871">
            <v>39248</v>
          </cell>
          <cell r="C1871">
            <v>4186.3999999999996</v>
          </cell>
          <cell r="D1871">
            <v>4209.45</v>
          </cell>
          <cell r="E1871">
            <v>4153.7</v>
          </cell>
          <cell r="F1871">
            <v>4171.45</v>
          </cell>
        </row>
        <row r="1872">
          <cell r="B1872">
            <v>39251</v>
          </cell>
          <cell r="C1872">
            <v>4177</v>
          </cell>
          <cell r="D1872">
            <v>4208.1499999999996</v>
          </cell>
          <cell r="E1872">
            <v>4140.25</v>
          </cell>
          <cell r="F1872">
            <v>4147.1000000000004</v>
          </cell>
        </row>
        <row r="1873">
          <cell r="B1873">
            <v>39252</v>
          </cell>
          <cell r="C1873">
            <v>4143.8500000000004</v>
          </cell>
          <cell r="D1873">
            <v>4222.3999999999996</v>
          </cell>
          <cell r="E1873">
            <v>4136.1499999999996</v>
          </cell>
          <cell r="F1873">
            <v>4214.3</v>
          </cell>
        </row>
        <row r="1874">
          <cell r="B1874">
            <v>39253</v>
          </cell>
          <cell r="C1874">
            <v>4214.3</v>
          </cell>
          <cell r="D1874">
            <v>4257</v>
          </cell>
          <cell r="E1874">
            <v>4214.3</v>
          </cell>
          <cell r="F1874">
            <v>4248.6499999999996</v>
          </cell>
        </row>
        <row r="1875">
          <cell r="B1875">
            <v>39254</v>
          </cell>
          <cell r="C1875">
            <v>4248.6499999999996</v>
          </cell>
          <cell r="D1875">
            <v>4275.3500000000004</v>
          </cell>
          <cell r="E1875">
            <v>4220.1000000000004</v>
          </cell>
          <cell r="F1875">
            <v>4267.3999999999996</v>
          </cell>
        </row>
        <row r="1876">
          <cell r="B1876">
            <v>39255</v>
          </cell>
          <cell r="C1876">
            <v>4267.55</v>
          </cell>
          <cell r="D1876">
            <v>4278.8500000000004</v>
          </cell>
          <cell r="E1876">
            <v>4242.5</v>
          </cell>
          <cell r="F1876">
            <v>4252.05</v>
          </cell>
        </row>
        <row r="1877">
          <cell r="B1877">
            <v>39258</v>
          </cell>
          <cell r="C1877">
            <v>4251.3999999999996</v>
          </cell>
          <cell r="D1877">
            <v>4264.25</v>
          </cell>
          <cell r="E1877">
            <v>4236.3</v>
          </cell>
          <cell r="F1877">
            <v>4259.3999999999996</v>
          </cell>
        </row>
        <row r="1878">
          <cell r="B1878">
            <v>39259</v>
          </cell>
          <cell r="C1878">
            <v>4259.3999999999996</v>
          </cell>
          <cell r="D1878">
            <v>4296.1499999999996</v>
          </cell>
          <cell r="E1878">
            <v>4250.1000000000004</v>
          </cell>
          <cell r="F1878">
            <v>4285.7</v>
          </cell>
        </row>
        <row r="1879">
          <cell r="B1879">
            <v>39260</v>
          </cell>
          <cell r="C1879">
            <v>4286.2</v>
          </cell>
          <cell r="D1879">
            <v>4294.2</v>
          </cell>
          <cell r="E1879">
            <v>4255.25</v>
          </cell>
          <cell r="F1879">
            <v>4263.95</v>
          </cell>
        </row>
        <row r="1880">
          <cell r="B1880">
            <v>39261</v>
          </cell>
          <cell r="C1880">
            <v>4263.8999999999996</v>
          </cell>
          <cell r="D1880">
            <v>4291.3999999999996</v>
          </cell>
          <cell r="E1880">
            <v>4256.8999999999996</v>
          </cell>
          <cell r="F1880">
            <v>4282</v>
          </cell>
        </row>
        <row r="1881">
          <cell r="B1881">
            <v>39262</v>
          </cell>
          <cell r="C1881">
            <v>4282.3999999999996</v>
          </cell>
          <cell r="D1881">
            <v>4321.3500000000004</v>
          </cell>
          <cell r="E1881">
            <v>4280.95</v>
          </cell>
          <cell r="F1881">
            <v>4318.3</v>
          </cell>
        </row>
        <row r="1882">
          <cell r="B1882">
            <v>39265</v>
          </cell>
          <cell r="C1882">
            <v>4318.3999999999996</v>
          </cell>
          <cell r="D1882">
            <v>4346.75</v>
          </cell>
          <cell r="E1882">
            <v>4305.45</v>
          </cell>
          <cell r="F1882">
            <v>4313.75</v>
          </cell>
        </row>
        <row r="1883">
          <cell r="B1883">
            <v>39266</v>
          </cell>
          <cell r="C1883">
            <v>4315.05</v>
          </cell>
          <cell r="D1883">
            <v>4363.3500000000004</v>
          </cell>
          <cell r="E1883">
            <v>4313.55</v>
          </cell>
          <cell r="F1883">
            <v>4357.55</v>
          </cell>
        </row>
        <row r="1884">
          <cell r="B1884">
            <v>39267</v>
          </cell>
          <cell r="C1884">
            <v>4358.25</v>
          </cell>
          <cell r="D1884">
            <v>4386.45</v>
          </cell>
          <cell r="E1884">
            <v>4342</v>
          </cell>
          <cell r="F1884">
            <v>4359.3</v>
          </cell>
        </row>
        <row r="1885">
          <cell r="B1885">
            <v>39268</v>
          </cell>
          <cell r="C1885">
            <v>4359.2</v>
          </cell>
          <cell r="D1885">
            <v>4378.55</v>
          </cell>
          <cell r="E1885">
            <v>4311.8</v>
          </cell>
          <cell r="F1885">
            <v>4353.95</v>
          </cell>
        </row>
        <row r="1886">
          <cell r="B1886">
            <v>39269</v>
          </cell>
          <cell r="C1886">
            <v>4353.1000000000004</v>
          </cell>
          <cell r="D1886">
            <v>4411</v>
          </cell>
          <cell r="E1886">
            <v>4304</v>
          </cell>
          <cell r="F1886">
            <v>4384.8500000000004</v>
          </cell>
        </row>
        <row r="1887">
          <cell r="B1887">
            <v>39272</v>
          </cell>
          <cell r="C1887">
            <v>4385.45</v>
          </cell>
          <cell r="D1887">
            <v>4427.55</v>
          </cell>
          <cell r="E1887">
            <v>4385.45</v>
          </cell>
          <cell r="F1887">
            <v>4419.3999999999996</v>
          </cell>
        </row>
        <row r="1888">
          <cell r="B1888">
            <v>39273</v>
          </cell>
          <cell r="C1888">
            <v>4419.1000000000004</v>
          </cell>
          <cell r="D1888">
            <v>4434.45</v>
          </cell>
          <cell r="E1888">
            <v>4393</v>
          </cell>
          <cell r="F1888">
            <v>4406.05</v>
          </cell>
        </row>
        <row r="1889">
          <cell r="B1889">
            <v>39274</v>
          </cell>
          <cell r="C1889">
            <v>4403.8</v>
          </cell>
          <cell r="D1889">
            <v>4411.45</v>
          </cell>
          <cell r="E1889">
            <v>4344.7</v>
          </cell>
          <cell r="F1889">
            <v>4387.1499999999996</v>
          </cell>
        </row>
        <row r="1890">
          <cell r="B1890">
            <v>39275</v>
          </cell>
          <cell r="C1890">
            <v>4388.05</v>
          </cell>
          <cell r="D1890">
            <v>4451.95</v>
          </cell>
          <cell r="E1890">
            <v>4387.05</v>
          </cell>
          <cell r="F1890">
            <v>4446.1499999999996</v>
          </cell>
        </row>
        <row r="1891">
          <cell r="B1891">
            <v>39276</v>
          </cell>
          <cell r="C1891">
            <v>4446.3999999999996</v>
          </cell>
          <cell r="D1891">
            <v>4513.8999999999996</v>
          </cell>
          <cell r="E1891">
            <v>4446.05</v>
          </cell>
          <cell r="F1891">
            <v>4504.55</v>
          </cell>
        </row>
        <row r="1892">
          <cell r="B1892">
            <v>39279</v>
          </cell>
          <cell r="C1892">
            <v>4505.95</v>
          </cell>
          <cell r="D1892">
            <v>4521.8500000000004</v>
          </cell>
          <cell r="E1892">
            <v>4495.95</v>
          </cell>
          <cell r="F1892">
            <v>4512.1499999999996</v>
          </cell>
        </row>
        <row r="1893">
          <cell r="B1893">
            <v>39280</v>
          </cell>
          <cell r="C1893">
            <v>4497.1000000000004</v>
          </cell>
          <cell r="D1893">
            <v>4550.25</v>
          </cell>
          <cell r="E1893">
            <v>4488.25</v>
          </cell>
          <cell r="F1893">
            <v>4496.75</v>
          </cell>
        </row>
        <row r="1894">
          <cell r="B1894">
            <v>39281</v>
          </cell>
          <cell r="C1894">
            <v>4498.6499999999996</v>
          </cell>
          <cell r="D1894">
            <v>4510.8</v>
          </cell>
          <cell r="E1894">
            <v>4452.8500000000004</v>
          </cell>
          <cell r="F1894">
            <v>4499.55</v>
          </cell>
        </row>
        <row r="1895">
          <cell r="B1895">
            <v>39282</v>
          </cell>
          <cell r="C1895">
            <v>4500.3500000000004</v>
          </cell>
          <cell r="D1895">
            <v>4573</v>
          </cell>
          <cell r="E1895">
            <v>4496.2</v>
          </cell>
          <cell r="F1895">
            <v>4562.1000000000004</v>
          </cell>
        </row>
        <row r="1896">
          <cell r="B1896">
            <v>39283</v>
          </cell>
          <cell r="C1896">
            <v>4563.75</v>
          </cell>
          <cell r="D1896">
            <v>4600.8</v>
          </cell>
          <cell r="E1896">
            <v>4553.8</v>
          </cell>
          <cell r="F1896">
            <v>4566.05</v>
          </cell>
        </row>
        <row r="1897">
          <cell r="B1897">
            <v>39286</v>
          </cell>
          <cell r="C1897">
            <v>4564.25</v>
          </cell>
          <cell r="D1897">
            <v>4628.45</v>
          </cell>
          <cell r="E1897">
            <v>4547.2</v>
          </cell>
          <cell r="F1897">
            <v>4619.3500000000004</v>
          </cell>
        </row>
        <row r="1898">
          <cell r="B1898">
            <v>39287</v>
          </cell>
          <cell r="C1898">
            <v>4620.05</v>
          </cell>
          <cell r="D1898">
            <v>4647.95</v>
          </cell>
          <cell r="E1898">
            <v>4609.75</v>
          </cell>
          <cell r="F1898">
            <v>4620.75</v>
          </cell>
        </row>
        <row r="1899">
          <cell r="B1899">
            <v>39288</v>
          </cell>
          <cell r="C1899">
            <v>4620.5</v>
          </cell>
          <cell r="D1899">
            <v>4620.5</v>
          </cell>
          <cell r="E1899">
            <v>4555.8</v>
          </cell>
          <cell r="F1899">
            <v>4588.7</v>
          </cell>
        </row>
        <row r="1900">
          <cell r="B1900">
            <v>39289</v>
          </cell>
          <cell r="C1900">
            <v>4593.1000000000004</v>
          </cell>
          <cell r="D1900">
            <v>4624.3</v>
          </cell>
          <cell r="E1900">
            <v>4570.8</v>
          </cell>
          <cell r="F1900">
            <v>4619.8</v>
          </cell>
        </row>
        <row r="1901">
          <cell r="B1901">
            <v>39290</v>
          </cell>
          <cell r="C1901">
            <v>4618.6499999999996</v>
          </cell>
          <cell r="D1901">
            <v>4618.8999999999996</v>
          </cell>
          <cell r="E1901">
            <v>4424.25</v>
          </cell>
          <cell r="F1901">
            <v>4445.2</v>
          </cell>
        </row>
        <row r="1902">
          <cell r="B1902">
            <v>39293</v>
          </cell>
          <cell r="C1902">
            <v>4442.3500000000004</v>
          </cell>
          <cell r="D1902">
            <v>4493.05</v>
          </cell>
          <cell r="E1902">
            <v>4403.7</v>
          </cell>
          <cell r="F1902">
            <v>4440.05</v>
          </cell>
        </row>
        <row r="1903">
          <cell r="B1903">
            <v>39294</v>
          </cell>
          <cell r="C1903">
            <v>4444.25</v>
          </cell>
          <cell r="D1903">
            <v>4534.2</v>
          </cell>
          <cell r="E1903">
            <v>4432.8500000000004</v>
          </cell>
          <cell r="F1903">
            <v>4528.8500000000004</v>
          </cell>
        </row>
        <row r="1904">
          <cell r="B1904">
            <v>39295</v>
          </cell>
          <cell r="C1904">
            <v>4528.8500000000004</v>
          </cell>
          <cell r="D1904">
            <v>4532.8999999999996</v>
          </cell>
          <cell r="E1904">
            <v>4339.75</v>
          </cell>
          <cell r="F1904">
            <v>4345.8500000000004</v>
          </cell>
        </row>
        <row r="1905">
          <cell r="B1905">
            <v>39296</v>
          </cell>
          <cell r="C1905">
            <v>4356.3500000000004</v>
          </cell>
          <cell r="D1905">
            <v>4399.75</v>
          </cell>
          <cell r="E1905">
            <v>4327</v>
          </cell>
          <cell r="F1905">
            <v>4356.3500000000004</v>
          </cell>
        </row>
        <row r="1906">
          <cell r="B1906">
            <v>39297</v>
          </cell>
          <cell r="C1906">
            <v>4355.75</v>
          </cell>
          <cell r="D1906">
            <v>4428.1000000000004</v>
          </cell>
          <cell r="E1906">
            <v>4355.75</v>
          </cell>
          <cell r="F1906">
            <v>4401.55</v>
          </cell>
        </row>
        <row r="1907">
          <cell r="B1907">
            <v>39300</v>
          </cell>
          <cell r="C1907">
            <v>4404.05</v>
          </cell>
          <cell r="D1907">
            <v>4404.05</v>
          </cell>
          <cell r="E1907">
            <v>4267.1499999999996</v>
          </cell>
          <cell r="F1907">
            <v>4339.5</v>
          </cell>
        </row>
        <row r="1908">
          <cell r="B1908">
            <v>39301</v>
          </cell>
          <cell r="C1908">
            <v>4341.5</v>
          </cell>
          <cell r="D1908">
            <v>4406.3999999999996</v>
          </cell>
          <cell r="E1908">
            <v>4341.5</v>
          </cell>
          <cell r="F1908">
            <v>4356.3500000000004</v>
          </cell>
        </row>
        <row r="1909">
          <cell r="B1909">
            <v>39302</v>
          </cell>
          <cell r="C1909">
            <v>4357</v>
          </cell>
          <cell r="D1909">
            <v>4472.1499999999996</v>
          </cell>
          <cell r="E1909">
            <v>4356.75</v>
          </cell>
          <cell r="F1909">
            <v>4462.1000000000004</v>
          </cell>
        </row>
        <row r="1910">
          <cell r="B1910">
            <v>39303</v>
          </cell>
          <cell r="C1910">
            <v>4462.25</v>
          </cell>
          <cell r="D1910">
            <v>4530.05</v>
          </cell>
          <cell r="E1910">
            <v>4390.8</v>
          </cell>
          <cell r="F1910">
            <v>4403.2</v>
          </cell>
        </row>
        <row r="1911">
          <cell r="B1911">
            <v>39304</v>
          </cell>
          <cell r="C1911">
            <v>4393.6000000000004</v>
          </cell>
          <cell r="D1911">
            <v>4395.5</v>
          </cell>
          <cell r="E1911">
            <v>4239.2</v>
          </cell>
          <cell r="F1911">
            <v>4333.3500000000004</v>
          </cell>
        </row>
        <row r="1912">
          <cell r="B1912">
            <v>39307</v>
          </cell>
          <cell r="C1912">
            <v>4324.6499999999996</v>
          </cell>
          <cell r="D1912">
            <v>4383.8</v>
          </cell>
          <cell r="E1912">
            <v>4324.6499999999996</v>
          </cell>
          <cell r="F1912">
            <v>4373.6499999999996</v>
          </cell>
        </row>
        <row r="1913">
          <cell r="B1913">
            <v>39308</v>
          </cell>
          <cell r="C1913">
            <v>4373.8999999999996</v>
          </cell>
          <cell r="D1913">
            <v>4394.3</v>
          </cell>
          <cell r="E1913">
            <v>4354.3500000000004</v>
          </cell>
          <cell r="F1913">
            <v>4370.2</v>
          </cell>
        </row>
        <row r="1914">
          <cell r="B1914">
            <v>39310</v>
          </cell>
          <cell r="C1914">
            <v>4366</v>
          </cell>
          <cell r="D1914">
            <v>4366</v>
          </cell>
          <cell r="E1914">
            <v>4171.1499999999996</v>
          </cell>
          <cell r="F1914">
            <v>4178.6000000000004</v>
          </cell>
        </row>
        <row r="1915">
          <cell r="B1915">
            <v>39311</v>
          </cell>
          <cell r="C1915">
            <v>4171.1000000000004</v>
          </cell>
          <cell r="D1915">
            <v>4171.1000000000004</v>
          </cell>
          <cell r="E1915">
            <v>4002.2</v>
          </cell>
          <cell r="F1915">
            <v>4108.05</v>
          </cell>
        </row>
        <row r="1916">
          <cell r="B1916">
            <v>39314</v>
          </cell>
          <cell r="C1916">
            <v>4108.95</v>
          </cell>
          <cell r="D1916">
            <v>4262.6000000000004</v>
          </cell>
          <cell r="E1916">
            <v>4108.95</v>
          </cell>
          <cell r="F1916">
            <v>4209.05</v>
          </cell>
        </row>
        <row r="1917">
          <cell r="B1917">
            <v>39315</v>
          </cell>
          <cell r="C1917">
            <v>4209.55</v>
          </cell>
          <cell r="D1917">
            <v>4238.1000000000004</v>
          </cell>
          <cell r="E1917">
            <v>4058.55</v>
          </cell>
          <cell r="F1917">
            <v>4074.9</v>
          </cell>
        </row>
        <row r="1918">
          <cell r="B1918">
            <v>39316</v>
          </cell>
          <cell r="C1918">
            <v>4081.25</v>
          </cell>
          <cell r="D1918">
            <v>4165.7</v>
          </cell>
          <cell r="E1918">
            <v>4040.15</v>
          </cell>
          <cell r="F1918">
            <v>4153.1499999999996</v>
          </cell>
        </row>
        <row r="1919">
          <cell r="B1919">
            <v>39317</v>
          </cell>
          <cell r="C1919">
            <v>4160.1000000000004</v>
          </cell>
          <cell r="D1919">
            <v>4249.8500000000004</v>
          </cell>
          <cell r="E1919">
            <v>4100.8</v>
          </cell>
          <cell r="F1919">
            <v>4114.95</v>
          </cell>
        </row>
        <row r="1920">
          <cell r="B1920">
            <v>39318</v>
          </cell>
          <cell r="C1920">
            <v>4113.05</v>
          </cell>
          <cell r="D1920">
            <v>4201.45</v>
          </cell>
          <cell r="E1920">
            <v>4110.05</v>
          </cell>
          <cell r="F1920">
            <v>4190.1499999999996</v>
          </cell>
        </row>
        <row r="1921">
          <cell r="B1921">
            <v>39321</v>
          </cell>
          <cell r="C1921">
            <v>4193.6000000000004</v>
          </cell>
          <cell r="D1921">
            <v>4310</v>
          </cell>
          <cell r="E1921">
            <v>4193.6000000000004</v>
          </cell>
          <cell r="F1921">
            <v>4302.6000000000004</v>
          </cell>
        </row>
        <row r="1922">
          <cell r="B1922">
            <v>39322</v>
          </cell>
          <cell r="C1922">
            <v>4302.3999999999996</v>
          </cell>
          <cell r="D1922">
            <v>4329.1499999999996</v>
          </cell>
          <cell r="E1922">
            <v>4280.6000000000004</v>
          </cell>
          <cell r="F1922">
            <v>4320.7</v>
          </cell>
        </row>
        <row r="1923">
          <cell r="B1923">
            <v>39323</v>
          </cell>
          <cell r="C1923">
            <v>4317.7</v>
          </cell>
          <cell r="D1923">
            <v>4368.6000000000004</v>
          </cell>
          <cell r="E1923">
            <v>4226.3500000000004</v>
          </cell>
          <cell r="F1923">
            <v>4359.3</v>
          </cell>
        </row>
        <row r="1924">
          <cell r="B1924">
            <v>39324</v>
          </cell>
          <cell r="C1924">
            <v>4360.3500000000004</v>
          </cell>
          <cell r="D1924">
            <v>4422.3</v>
          </cell>
          <cell r="E1924">
            <v>4359.75</v>
          </cell>
          <cell r="F1924">
            <v>4412.3</v>
          </cell>
        </row>
        <row r="1925">
          <cell r="B1925">
            <v>39325</v>
          </cell>
          <cell r="C1925">
            <v>4412.6000000000004</v>
          </cell>
          <cell r="D1925">
            <v>4471.3</v>
          </cell>
          <cell r="E1925">
            <v>4403</v>
          </cell>
          <cell r="F1925">
            <v>4464</v>
          </cell>
        </row>
        <row r="1926">
          <cell r="B1926">
            <v>39328</v>
          </cell>
          <cell r="C1926">
            <v>4466.6499999999996</v>
          </cell>
          <cell r="D1926">
            <v>4490.55</v>
          </cell>
          <cell r="E1926">
            <v>4452.3999999999996</v>
          </cell>
          <cell r="F1926">
            <v>4474.75</v>
          </cell>
        </row>
        <row r="1927">
          <cell r="B1927">
            <v>39329</v>
          </cell>
          <cell r="C1927">
            <v>4481.55</v>
          </cell>
          <cell r="D1927">
            <v>4501.3</v>
          </cell>
          <cell r="E1927">
            <v>4460.3999999999996</v>
          </cell>
          <cell r="F1927">
            <v>4479.25</v>
          </cell>
        </row>
        <row r="1928">
          <cell r="B1928">
            <v>39330</v>
          </cell>
          <cell r="C1928">
            <v>4479.6000000000004</v>
          </cell>
          <cell r="D1928">
            <v>4507.75</v>
          </cell>
          <cell r="E1928">
            <v>4458.55</v>
          </cell>
          <cell r="F1928">
            <v>4475.8500000000004</v>
          </cell>
        </row>
        <row r="1929">
          <cell r="B1929">
            <v>39331</v>
          </cell>
          <cell r="C1929">
            <v>4475.7</v>
          </cell>
          <cell r="D1929">
            <v>4522.5</v>
          </cell>
          <cell r="E1929">
            <v>4445.55</v>
          </cell>
          <cell r="F1929">
            <v>4518.6000000000004</v>
          </cell>
        </row>
        <row r="1930">
          <cell r="B1930">
            <v>39332</v>
          </cell>
          <cell r="C1930">
            <v>4518.6499999999996</v>
          </cell>
          <cell r="D1930">
            <v>4547.75</v>
          </cell>
          <cell r="E1930">
            <v>4499.8999999999996</v>
          </cell>
          <cell r="F1930">
            <v>4509.5</v>
          </cell>
        </row>
        <row r="1931">
          <cell r="B1931">
            <v>39335</v>
          </cell>
          <cell r="C1931">
            <v>4506.8500000000004</v>
          </cell>
          <cell r="D1931">
            <v>4515.25</v>
          </cell>
          <cell r="E1931">
            <v>4452.95</v>
          </cell>
          <cell r="F1931">
            <v>4507.8500000000004</v>
          </cell>
        </row>
        <row r="1932">
          <cell r="B1932">
            <v>39336</v>
          </cell>
          <cell r="C1932">
            <v>4509.6499999999996</v>
          </cell>
          <cell r="D1932">
            <v>4538.6000000000004</v>
          </cell>
          <cell r="E1932">
            <v>4487.1499999999996</v>
          </cell>
          <cell r="F1932">
            <v>4497.05</v>
          </cell>
        </row>
        <row r="1933">
          <cell r="B1933">
            <v>39337</v>
          </cell>
          <cell r="C1933">
            <v>4498.6499999999996</v>
          </cell>
          <cell r="D1933">
            <v>4531.5</v>
          </cell>
          <cell r="E1933">
            <v>4490.3999999999996</v>
          </cell>
          <cell r="F1933">
            <v>4496.8500000000004</v>
          </cell>
        </row>
        <row r="1934">
          <cell r="B1934">
            <v>39338</v>
          </cell>
          <cell r="C1934">
            <v>4498.05</v>
          </cell>
          <cell r="D1934">
            <v>4540.6000000000004</v>
          </cell>
          <cell r="E1934">
            <v>4498.05</v>
          </cell>
          <cell r="F1934">
            <v>4528.95</v>
          </cell>
        </row>
        <row r="1935">
          <cell r="B1935">
            <v>39339</v>
          </cell>
          <cell r="C1935">
            <v>4530</v>
          </cell>
          <cell r="D1935">
            <v>4582.6000000000004</v>
          </cell>
          <cell r="E1935">
            <v>4508.8500000000004</v>
          </cell>
          <cell r="F1935">
            <v>4518</v>
          </cell>
        </row>
        <row r="1936">
          <cell r="B1936">
            <v>39342</v>
          </cell>
          <cell r="C1936">
            <v>4518.45</v>
          </cell>
          <cell r="D1936">
            <v>4549.05</v>
          </cell>
          <cell r="E1936">
            <v>4482.8500000000004</v>
          </cell>
          <cell r="F1936">
            <v>4494.6499999999996</v>
          </cell>
        </row>
        <row r="1937">
          <cell r="B1937">
            <v>39343</v>
          </cell>
          <cell r="C1937">
            <v>4494.1000000000004</v>
          </cell>
          <cell r="D1937">
            <v>4551.8</v>
          </cell>
          <cell r="E1937">
            <v>4481.55</v>
          </cell>
          <cell r="F1937">
            <v>4546.2</v>
          </cell>
        </row>
        <row r="1938">
          <cell r="B1938">
            <v>39344</v>
          </cell>
          <cell r="C1938">
            <v>4550.25</v>
          </cell>
          <cell r="D1938">
            <v>4739</v>
          </cell>
          <cell r="E1938">
            <v>4550.25</v>
          </cell>
          <cell r="F1938">
            <v>4732.3500000000004</v>
          </cell>
        </row>
        <row r="1939">
          <cell r="B1939">
            <v>39345</v>
          </cell>
          <cell r="C1939">
            <v>4734.8500000000004</v>
          </cell>
          <cell r="D1939">
            <v>4760.8500000000004</v>
          </cell>
          <cell r="E1939">
            <v>4721.1499999999996</v>
          </cell>
          <cell r="F1939">
            <v>4747.55</v>
          </cell>
        </row>
        <row r="1940">
          <cell r="B1940">
            <v>39346</v>
          </cell>
          <cell r="C1940">
            <v>4752.95</v>
          </cell>
          <cell r="D1940">
            <v>4855.7</v>
          </cell>
          <cell r="E1940">
            <v>4733.7</v>
          </cell>
          <cell r="F1940">
            <v>4837.55</v>
          </cell>
        </row>
        <row r="1941">
          <cell r="B1941">
            <v>39349</v>
          </cell>
          <cell r="C1941">
            <v>4837.1499999999996</v>
          </cell>
          <cell r="D1941">
            <v>4941.1499999999996</v>
          </cell>
          <cell r="E1941">
            <v>4837.1499999999996</v>
          </cell>
          <cell r="F1941">
            <v>4932.2</v>
          </cell>
        </row>
        <row r="1942">
          <cell r="B1942">
            <v>39350</v>
          </cell>
          <cell r="C1942">
            <v>4939.1000000000004</v>
          </cell>
          <cell r="D1942">
            <v>4953.8999999999996</v>
          </cell>
          <cell r="E1942">
            <v>4878.1499999999996</v>
          </cell>
          <cell r="F1942">
            <v>4938.8500000000004</v>
          </cell>
        </row>
        <row r="1943">
          <cell r="B1943">
            <v>39351</v>
          </cell>
          <cell r="C1943">
            <v>4937.6000000000004</v>
          </cell>
          <cell r="D1943">
            <v>4980.8500000000004</v>
          </cell>
          <cell r="E1943">
            <v>4930.3500000000004</v>
          </cell>
          <cell r="F1943">
            <v>4940.5</v>
          </cell>
        </row>
        <row r="1944">
          <cell r="B1944">
            <v>39352</v>
          </cell>
          <cell r="C1944">
            <v>4942.7</v>
          </cell>
          <cell r="D1944">
            <v>5016.3999999999996</v>
          </cell>
          <cell r="E1944">
            <v>4942.7</v>
          </cell>
          <cell r="F1944">
            <v>5000.55</v>
          </cell>
        </row>
        <row r="1945">
          <cell r="B1945">
            <v>39353</v>
          </cell>
          <cell r="C1945">
            <v>4996.45</v>
          </cell>
          <cell r="D1945">
            <v>5055.8</v>
          </cell>
          <cell r="E1945">
            <v>4996.45</v>
          </cell>
          <cell r="F1945">
            <v>5021.3500000000004</v>
          </cell>
        </row>
        <row r="1946">
          <cell r="B1946">
            <v>39356</v>
          </cell>
          <cell r="C1946">
            <v>5021.5</v>
          </cell>
          <cell r="D1946">
            <v>5089.3</v>
          </cell>
          <cell r="E1946">
            <v>5001.3500000000004</v>
          </cell>
          <cell r="F1946">
            <v>5068.95</v>
          </cell>
        </row>
        <row r="1947">
          <cell r="B1947">
            <v>39358</v>
          </cell>
          <cell r="C1947">
            <v>5069</v>
          </cell>
          <cell r="D1947">
            <v>5261.35</v>
          </cell>
          <cell r="E1947">
            <v>5034.1499999999996</v>
          </cell>
          <cell r="F1947">
            <v>5210.8</v>
          </cell>
        </row>
        <row r="1948">
          <cell r="B1948">
            <v>39359</v>
          </cell>
          <cell r="C1948">
            <v>5211.6499999999996</v>
          </cell>
          <cell r="D1948">
            <v>5233.1000000000004</v>
          </cell>
          <cell r="E1948">
            <v>5126.05</v>
          </cell>
          <cell r="F1948">
            <v>5208.6499999999996</v>
          </cell>
        </row>
        <row r="1949">
          <cell r="B1949">
            <v>39360</v>
          </cell>
          <cell r="C1949">
            <v>5208.1499999999996</v>
          </cell>
          <cell r="D1949">
            <v>5248.55</v>
          </cell>
          <cell r="E1949">
            <v>5164.5</v>
          </cell>
          <cell r="F1949">
            <v>5185.8500000000004</v>
          </cell>
        </row>
        <row r="1950">
          <cell r="B1950">
            <v>39363</v>
          </cell>
          <cell r="C1950">
            <v>5186.25</v>
          </cell>
          <cell r="D1950">
            <v>5249.3</v>
          </cell>
          <cell r="E1950">
            <v>5024.75</v>
          </cell>
          <cell r="F1950">
            <v>5085.1000000000004</v>
          </cell>
        </row>
        <row r="1951">
          <cell r="B1951">
            <v>39364</v>
          </cell>
          <cell r="C1951">
            <v>5062.6499999999996</v>
          </cell>
          <cell r="D1951">
            <v>5348.7</v>
          </cell>
          <cell r="E1951">
            <v>5000.95</v>
          </cell>
          <cell r="F1951">
            <v>5327.25</v>
          </cell>
        </row>
        <row r="1952">
          <cell r="B1952">
            <v>39365</v>
          </cell>
          <cell r="C1952">
            <v>5328.15</v>
          </cell>
          <cell r="D1952">
            <v>5454.7</v>
          </cell>
          <cell r="E1952">
            <v>5328.15</v>
          </cell>
          <cell r="F1952">
            <v>5441.45</v>
          </cell>
        </row>
        <row r="1953">
          <cell r="B1953">
            <v>39366</v>
          </cell>
          <cell r="C1953">
            <v>5438.9</v>
          </cell>
          <cell r="D1953">
            <v>5532.75</v>
          </cell>
          <cell r="E1953">
            <v>5424.25</v>
          </cell>
          <cell r="F1953">
            <v>5524.85</v>
          </cell>
        </row>
        <row r="1954">
          <cell r="B1954">
            <v>39367</v>
          </cell>
          <cell r="C1954">
            <v>5525.3</v>
          </cell>
          <cell r="D1954">
            <v>5549.3</v>
          </cell>
          <cell r="E1954">
            <v>5402.6</v>
          </cell>
          <cell r="F1954">
            <v>5428.25</v>
          </cell>
        </row>
        <row r="1955">
          <cell r="B1955">
            <v>39370</v>
          </cell>
          <cell r="C1955">
            <v>5428.35</v>
          </cell>
          <cell r="D1955">
            <v>5682.65</v>
          </cell>
          <cell r="E1955">
            <v>5419.9</v>
          </cell>
          <cell r="F1955">
            <v>5670.4</v>
          </cell>
        </row>
        <row r="1956">
          <cell r="B1956">
            <v>39371</v>
          </cell>
          <cell r="C1956">
            <v>5670.65</v>
          </cell>
          <cell r="D1956">
            <v>5708.35</v>
          </cell>
          <cell r="E1956">
            <v>5578.45</v>
          </cell>
          <cell r="F1956">
            <v>5668.05</v>
          </cell>
        </row>
        <row r="1957">
          <cell r="B1957">
            <v>39372</v>
          </cell>
          <cell r="C1957">
            <v>5658.9</v>
          </cell>
          <cell r="D1957">
            <v>5658.9</v>
          </cell>
          <cell r="E1957">
            <v>5107.3</v>
          </cell>
          <cell r="F1957">
            <v>5559.3</v>
          </cell>
        </row>
        <row r="1958">
          <cell r="B1958">
            <v>39373</v>
          </cell>
          <cell r="C1958">
            <v>5551.1</v>
          </cell>
          <cell r="D1958">
            <v>5736.8</v>
          </cell>
          <cell r="E1958">
            <v>5269.65</v>
          </cell>
          <cell r="F1958">
            <v>5351</v>
          </cell>
        </row>
        <row r="1959">
          <cell r="B1959">
            <v>39374</v>
          </cell>
          <cell r="C1959">
            <v>5360.35</v>
          </cell>
          <cell r="D1959">
            <v>5390.85</v>
          </cell>
          <cell r="E1959">
            <v>5101.75</v>
          </cell>
          <cell r="F1959">
            <v>5215.3</v>
          </cell>
        </row>
        <row r="1960">
          <cell r="B1960">
            <v>39377</v>
          </cell>
          <cell r="C1960">
            <v>5202.75</v>
          </cell>
          <cell r="D1960">
            <v>5247.4</v>
          </cell>
          <cell r="E1960">
            <v>5070.8999999999996</v>
          </cell>
          <cell r="F1960">
            <v>5184</v>
          </cell>
        </row>
        <row r="1961">
          <cell r="B1961">
            <v>39378</v>
          </cell>
          <cell r="C1961">
            <v>5185.3</v>
          </cell>
          <cell r="D1961">
            <v>5488.5</v>
          </cell>
          <cell r="E1961">
            <v>5176.8500000000004</v>
          </cell>
          <cell r="F1961">
            <v>5473.7</v>
          </cell>
        </row>
        <row r="1962">
          <cell r="B1962">
            <v>39379</v>
          </cell>
          <cell r="C1962">
            <v>5477.6</v>
          </cell>
          <cell r="D1962">
            <v>5577.9</v>
          </cell>
          <cell r="E1962">
            <v>5419.4</v>
          </cell>
          <cell r="F1962">
            <v>5496.15</v>
          </cell>
        </row>
        <row r="1963">
          <cell r="B1963">
            <v>39380</v>
          </cell>
          <cell r="C1963">
            <v>5499.05</v>
          </cell>
          <cell r="D1963">
            <v>5605.95</v>
          </cell>
          <cell r="E1963">
            <v>5469.3</v>
          </cell>
          <cell r="F1963">
            <v>5568.95</v>
          </cell>
        </row>
        <row r="1964">
          <cell r="B1964">
            <v>39381</v>
          </cell>
          <cell r="C1964">
            <v>5564.25</v>
          </cell>
          <cell r="D1964">
            <v>5716.9</v>
          </cell>
          <cell r="E1964">
            <v>5513.35</v>
          </cell>
          <cell r="F1964">
            <v>5702.3</v>
          </cell>
        </row>
        <row r="1965">
          <cell r="B1965">
            <v>39384</v>
          </cell>
          <cell r="C1965">
            <v>5708.9</v>
          </cell>
          <cell r="D1965">
            <v>5922.5</v>
          </cell>
          <cell r="E1965">
            <v>5708.9</v>
          </cell>
          <cell r="F1965">
            <v>5905.9</v>
          </cell>
        </row>
        <row r="1966">
          <cell r="B1966">
            <v>39385</v>
          </cell>
          <cell r="C1966">
            <v>5917.55</v>
          </cell>
          <cell r="D1966">
            <v>5976</v>
          </cell>
          <cell r="E1966">
            <v>5833.9</v>
          </cell>
          <cell r="F1966">
            <v>5868.75</v>
          </cell>
        </row>
        <row r="1967">
          <cell r="B1967">
            <v>39386</v>
          </cell>
          <cell r="C1967">
            <v>5868.9</v>
          </cell>
          <cell r="D1967">
            <v>5952.25</v>
          </cell>
          <cell r="E1967">
            <v>5861.3</v>
          </cell>
          <cell r="F1967">
            <v>5900.65</v>
          </cell>
        </row>
        <row r="1968">
          <cell r="B1968">
            <v>39387</v>
          </cell>
          <cell r="C1968">
            <v>5903.8</v>
          </cell>
          <cell r="D1968">
            <v>6011.95</v>
          </cell>
          <cell r="E1968">
            <v>5837.2</v>
          </cell>
          <cell r="F1968">
            <v>5866.45</v>
          </cell>
        </row>
        <row r="1969">
          <cell r="B1969">
            <v>39388</v>
          </cell>
          <cell r="C1969">
            <v>5854.85</v>
          </cell>
          <cell r="D1969">
            <v>5944.75</v>
          </cell>
          <cell r="E1969">
            <v>5714.25</v>
          </cell>
          <cell r="F1969">
            <v>5932.4</v>
          </cell>
        </row>
        <row r="1970">
          <cell r="B1970">
            <v>39391</v>
          </cell>
          <cell r="C1970">
            <v>5931.9</v>
          </cell>
          <cell r="D1970">
            <v>5948.55</v>
          </cell>
          <cell r="E1970">
            <v>5819.6</v>
          </cell>
          <cell r="F1970">
            <v>5847.3</v>
          </cell>
        </row>
        <row r="1971">
          <cell r="B1971">
            <v>39392</v>
          </cell>
          <cell r="C1971">
            <v>5847.1</v>
          </cell>
          <cell r="D1971">
            <v>5957.2</v>
          </cell>
          <cell r="E1971">
            <v>5759.95</v>
          </cell>
          <cell r="F1971">
            <v>5786.5</v>
          </cell>
        </row>
        <row r="1972">
          <cell r="B1972">
            <v>39393</v>
          </cell>
          <cell r="C1972">
            <v>5782.4</v>
          </cell>
          <cell r="D1972">
            <v>5861.35</v>
          </cell>
          <cell r="E1972">
            <v>5744.3</v>
          </cell>
          <cell r="F1972">
            <v>5782.35</v>
          </cell>
        </row>
        <row r="1973">
          <cell r="B1973">
            <v>39394</v>
          </cell>
          <cell r="C1973">
            <v>5779.3</v>
          </cell>
          <cell r="D1973">
            <v>5780.8</v>
          </cell>
          <cell r="E1973">
            <v>5646.75</v>
          </cell>
          <cell r="F1973">
            <v>5698.75</v>
          </cell>
        </row>
        <row r="1974">
          <cell r="B1974">
            <v>39395</v>
          </cell>
          <cell r="C1974">
            <v>5703.45</v>
          </cell>
          <cell r="D1974">
            <v>5794.2</v>
          </cell>
          <cell r="E1974">
            <v>5614.9</v>
          </cell>
          <cell r="F1974">
            <v>5663.25</v>
          </cell>
        </row>
        <row r="1975">
          <cell r="B1975">
            <v>39398</v>
          </cell>
          <cell r="C1975">
            <v>5660.6</v>
          </cell>
          <cell r="D1975">
            <v>5660.6</v>
          </cell>
          <cell r="E1975">
            <v>5477.5</v>
          </cell>
          <cell r="F1975">
            <v>5617.1</v>
          </cell>
        </row>
        <row r="1976">
          <cell r="B1976">
            <v>39399</v>
          </cell>
          <cell r="C1976">
            <v>5612.35</v>
          </cell>
          <cell r="D1976">
            <v>5758.85</v>
          </cell>
          <cell r="E1976">
            <v>5591.6</v>
          </cell>
          <cell r="F1976">
            <v>5695.4</v>
          </cell>
        </row>
        <row r="1977">
          <cell r="B1977">
            <v>39400</v>
          </cell>
          <cell r="C1977">
            <v>5703.95</v>
          </cell>
          <cell r="D1977">
            <v>5950.2</v>
          </cell>
          <cell r="E1977">
            <v>5700.05</v>
          </cell>
          <cell r="F1977">
            <v>5937.9</v>
          </cell>
        </row>
        <row r="1978">
          <cell r="B1978">
            <v>39401</v>
          </cell>
          <cell r="C1978">
            <v>5942.7</v>
          </cell>
          <cell r="D1978">
            <v>5966.95</v>
          </cell>
          <cell r="E1978">
            <v>5895.65</v>
          </cell>
          <cell r="F1978">
            <v>5912.1</v>
          </cell>
        </row>
        <row r="1979">
          <cell r="B1979">
            <v>39402</v>
          </cell>
          <cell r="C1979">
            <v>5913.15</v>
          </cell>
          <cell r="D1979">
            <v>5948.05</v>
          </cell>
          <cell r="E1979">
            <v>5817.4</v>
          </cell>
          <cell r="F1979">
            <v>5906.85</v>
          </cell>
        </row>
        <row r="1980">
          <cell r="B1980">
            <v>39405</v>
          </cell>
          <cell r="C1980">
            <v>5908.05</v>
          </cell>
          <cell r="D1980">
            <v>5981.8</v>
          </cell>
          <cell r="E1980">
            <v>5893.8</v>
          </cell>
          <cell r="F1980">
            <v>5907.65</v>
          </cell>
        </row>
        <row r="1981">
          <cell r="B1981">
            <v>39406</v>
          </cell>
          <cell r="C1981">
            <v>5911.25</v>
          </cell>
          <cell r="D1981">
            <v>5923.7</v>
          </cell>
          <cell r="E1981">
            <v>5755.8</v>
          </cell>
          <cell r="F1981">
            <v>5780.9</v>
          </cell>
        </row>
        <row r="1982">
          <cell r="B1982">
            <v>39407</v>
          </cell>
          <cell r="C1982">
            <v>5778.8</v>
          </cell>
          <cell r="D1982">
            <v>5790.05</v>
          </cell>
          <cell r="E1982">
            <v>5530.85</v>
          </cell>
          <cell r="F1982">
            <v>5561.05</v>
          </cell>
        </row>
        <row r="1983">
          <cell r="B1983">
            <v>39408</v>
          </cell>
          <cell r="C1983">
            <v>5564.65</v>
          </cell>
          <cell r="D1983">
            <v>5608.65</v>
          </cell>
          <cell r="E1983">
            <v>5394.35</v>
          </cell>
          <cell r="F1983">
            <v>5519.35</v>
          </cell>
        </row>
        <row r="1984">
          <cell r="B1984">
            <v>39409</v>
          </cell>
          <cell r="C1984">
            <v>5524.3</v>
          </cell>
          <cell r="D1984">
            <v>5638.6</v>
          </cell>
          <cell r="E1984">
            <v>5514.75</v>
          </cell>
          <cell r="F1984">
            <v>5608.6</v>
          </cell>
        </row>
        <row r="1985">
          <cell r="B1985">
            <v>39412</v>
          </cell>
          <cell r="C1985">
            <v>5611.3</v>
          </cell>
          <cell r="D1985">
            <v>5772.55</v>
          </cell>
          <cell r="E1985">
            <v>5608.95</v>
          </cell>
          <cell r="F1985">
            <v>5731.7</v>
          </cell>
        </row>
        <row r="1986">
          <cell r="B1986">
            <v>39413</v>
          </cell>
          <cell r="C1986">
            <v>5729.25</v>
          </cell>
          <cell r="D1986">
            <v>5743.55</v>
          </cell>
          <cell r="E1986">
            <v>5655.6</v>
          </cell>
          <cell r="F1986">
            <v>5698.15</v>
          </cell>
        </row>
        <row r="1987">
          <cell r="B1987">
            <v>39414</v>
          </cell>
          <cell r="C1987">
            <v>5699.55</v>
          </cell>
          <cell r="D1987">
            <v>5749.95</v>
          </cell>
          <cell r="E1987">
            <v>5595.5</v>
          </cell>
          <cell r="F1987">
            <v>5617.55</v>
          </cell>
        </row>
        <row r="1988">
          <cell r="B1988">
            <v>39415</v>
          </cell>
          <cell r="C1988">
            <v>5617.8</v>
          </cell>
          <cell r="D1988">
            <v>5725</v>
          </cell>
          <cell r="E1988">
            <v>5612.1</v>
          </cell>
          <cell r="F1988">
            <v>5634.6</v>
          </cell>
        </row>
        <row r="1989">
          <cell r="B1989">
            <v>39416</v>
          </cell>
          <cell r="C1989">
            <v>5633.9</v>
          </cell>
          <cell r="D1989">
            <v>5782.55</v>
          </cell>
          <cell r="E1989">
            <v>5632.65</v>
          </cell>
          <cell r="F1989">
            <v>5762.75</v>
          </cell>
        </row>
        <row r="1990">
          <cell r="B1990">
            <v>39419</v>
          </cell>
          <cell r="C1990">
            <v>5765.45</v>
          </cell>
          <cell r="D1990">
            <v>5878.8</v>
          </cell>
          <cell r="E1990">
            <v>5754.6</v>
          </cell>
          <cell r="F1990">
            <v>5865</v>
          </cell>
        </row>
        <row r="1991">
          <cell r="B1991">
            <v>39420</v>
          </cell>
          <cell r="C1991">
            <v>5870.2</v>
          </cell>
          <cell r="D1991">
            <v>5897.25</v>
          </cell>
          <cell r="E1991">
            <v>5840.3</v>
          </cell>
          <cell r="F1991">
            <v>5858.35</v>
          </cell>
        </row>
        <row r="1992">
          <cell r="B1992">
            <v>39421</v>
          </cell>
          <cell r="C1992">
            <v>5861.9</v>
          </cell>
          <cell r="D1992">
            <v>5949.3</v>
          </cell>
          <cell r="E1992">
            <v>5859.95</v>
          </cell>
          <cell r="F1992">
            <v>5940</v>
          </cell>
        </row>
        <row r="1993">
          <cell r="B1993">
            <v>39422</v>
          </cell>
          <cell r="C1993">
            <v>5941.05</v>
          </cell>
          <cell r="D1993">
            <v>6027.05</v>
          </cell>
          <cell r="E1993">
            <v>5919.8</v>
          </cell>
          <cell r="F1993">
            <v>5954.7</v>
          </cell>
        </row>
        <row r="1994">
          <cell r="B1994">
            <v>39423</v>
          </cell>
          <cell r="C1994">
            <v>5963.6</v>
          </cell>
          <cell r="D1994">
            <v>6042.1</v>
          </cell>
          <cell r="E1994">
            <v>5894.8</v>
          </cell>
          <cell r="F1994">
            <v>5974.3</v>
          </cell>
        </row>
        <row r="1995">
          <cell r="B1995">
            <v>39426</v>
          </cell>
          <cell r="C1995">
            <v>5974</v>
          </cell>
          <cell r="D1995">
            <v>6015.3</v>
          </cell>
          <cell r="E1995">
            <v>5923.35</v>
          </cell>
          <cell r="F1995">
            <v>5960.6</v>
          </cell>
        </row>
        <row r="1996">
          <cell r="B1996">
            <v>39427</v>
          </cell>
          <cell r="C1996">
            <v>5960.4</v>
          </cell>
          <cell r="D1996">
            <v>6111.2</v>
          </cell>
          <cell r="E1996">
            <v>5960.4</v>
          </cell>
          <cell r="F1996">
            <v>6097.25</v>
          </cell>
        </row>
        <row r="1997">
          <cell r="B1997">
            <v>39428</v>
          </cell>
          <cell r="C1997">
            <v>6067.05</v>
          </cell>
          <cell r="D1997">
            <v>6175.65</v>
          </cell>
          <cell r="E1997">
            <v>6005.45</v>
          </cell>
          <cell r="F1997">
            <v>6159.3</v>
          </cell>
        </row>
        <row r="1998">
          <cell r="B1998">
            <v>39429</v>
          </cell>
          <cell r="C1998">
            <v>6159.25</v>
          </cell>
          <cell r="D1998">
            <v>6185.4</v>
          </cell>
          <cell r="E1998">
            <v>6040.4</v>
          </cell>
          <cell r="F1998">
            <v>6058.1</v>
          </cell>
        </row>
        <row r="1999">
          <cell r="B1999">
            <v>39430</v>
          </cell>
          <cell r="C1999">
            <v>6056.2</v>
          </cell>
          <cell r="D1999">
            <v>6078.55</v>
          </cell>
          <cell r="E1999">
            <v>6015.05</v>
          </cell>
          <cell r="F1999">
            <v>6047.7</v>
          </cell>
        </row>
        <row r="2000">
          <cell r="B2000">
            <v>39433</v>
          </cell>
          <cell r="C2000">
            <v>6037.95</v>
          </cell>
          <cell r="D2000">
            <v>6039.95</v>
          </cell>
          <cell r="E2000">
            <v>5740.6</v>
          </cell>
          <cell r="F2000">
            <v>5777</v>
          </cell>
        </row>
        <row r="2001">
          <cell r="B2001">
            <v>39434</v>
          </cell>
          <cell r="C2001">
            <v>5777.6</v>
          </cell>
          <cell r="D2001">
            <v>5874.6</v>
          </cell>
          <cell r="E2001">
            <v>5710.6</v>
          </cell>
          <cell r="F2001">
            <v>5742.3</v>
          </cell>
        </row>
        <row r="2002">
          <cell r="B2002">
            <v>39435</v>
          </cell>
          <cell r="C2002">
            <v>5730.25</v>
          </cell>
          <cell r="D2002">
            <v>5840.8</v>
          </cell>
          <cell r="E2002">
            <v>5676.7</v>
          </cell>
          <cell r="F2002">
            <v>5751.15</v>
          </cell>
        </row>
        <row r="2003">
          <cell r="B2003">
            <v>39436</v>
          </cell>
          <cell r="C2003">
            <v>5751.75</v>
          </cell>
          <cell r="D2003">
            <v>5799.5</v>
          </cell>
          <cell r="E2003">
            <v>5742.75</v>
          </cell>
          <cell r="F2003">
            <v>5766.5</v>
          </cell>
        </row>
        <row r="2004">
          <cell r="B2004">
            <v>39440</v>
          </cell>
          <cell r="C2004">
            <v>5771.3</v>
          </cell>
          <cell r="D2004">
            <v>6001.05</v>
          </cell>
          <cell r="E2004">
            <v>5771.3</v>
          </cell>
          <cell r="F2004">
            <v>5985.1</v>
          </cell>
        </row>
        <row r="2005">
          <cell r="B2005">
            <v>39442</v>
          </cell>
          <cell r="C2005">
            <v>5988.45</v>
          </cell>
          <cell r="D2005">
            <v>6085.25</v>
          </cell>
          <cell r="E2005">
            <v>5988.45</v>
          </cell>
          <cell r="F2005">
            <v>6070.75</v>
          </cell>
        </row>
        <row r="2006">
          <cell r="B2006">
            <v>39443</v>
          </cell>
          <cell r="C2006">
            <v>6069</v>
          </cell>
          <cell r="D2006">
            <v>6110.85</v>
          </cell>
          <cell r="E2006">
            <v>6060.2</v>
          </cell>
          <cell r="F2006">
            <v>6081.5</v>
          </cell>
        </row>
        <row r="2007">
          <cell r="B2007">
            <v>39444</v>
          </cell>
          <cell r="C2007">
            <v>6079.55</v>
          </cell>
          <cell r="D2007">
            <v>6098.6</v>
          </cell>
          <cell r="E2007">
            <v>6021.9</v>
          </cell>
          <cell r="F2007">
            <v>6079.7</v>
          </cell>
        </row>
        <row r="2008">
          <cell r="B2008">
            <v>39447</v>
          </cell>
          <cell r="C2008">
            <v>6095</v>
          </cell>
          <cell r="D2008">
            <v>6167.75</v>
          </cell>
          <cell r="E2008">
            <v>6095</v>
          </cell>
          <cell r="F2008">
            <v>6138.6</v>
          </cell>
        </row>
        <row r="2009">
          <cell r="B2009">
            <v>39448</v>
          </cell>
          <cell r="C2009">
            <v>6136.75</v>
          </cell>
          <cell r="D2009">
            <v>6165.35</v>
          </cell>
          <cell r="E2009">
            <v>6109.85</v>
          </cell>
          <cell r="F2009">
            <v>6144.35</v>
          </cell>
        </row>
        <row r="2010">
          <cell r="B2010">
            <v>39449</v>
          </cell>
          <cell r="C2010">
            <v>6144.7</v>
          </cell>
          <cell r="D2010">
            <v>6197</v>
          </cell>
          <cell r="E2010">
            <v>6060.85</v>
          </cell>
          <cell r="F2010">
            <v>6179.4</v>
          </cell>
        </row>
        <row r="2011">
          <cell r="B2011">
            <v>39450</v>
          </cell>
          <cell r="C2011">
            <v>6184.25</v>
          </cell>
          <cell r="D2011">
            <v>6230.15</v>
          </cell>
          <cell r="E2011">
            <v>6126.4</v>
          </cell>
          <cell r="F2011">
            <v>6178.55</v>
          </cell>
        </row>
        <row r="2012">
          <cell r="B2012">
            <v>39451</v>
          </cell>
          <cell r="C2012">
            <v>6179.1</v>
          </cell>
          <cell r="D2012">
            <v>6300.05</v>
          </cell>
          <cell r="E2012">
            <v>6179.1</v>
          </cell>
          <cell r="F2012">
            <v>6274.3</v>
          </cell>
        </row>
        <row r="2013">
          <cell r="B2013">
            <v>39454</v>
          </cell>
          <cell r="C2013">
            <v>6271</v>
          </cell>
          <cell r="D2013">
            <v>6289.8</v>
          </cell>
          <cell r="E2013">
            <v>6193.35</v>
          </cell>
          <cell r="F2013">
            <v>6279.1</v>
          </cell>
        </row>
        <row r="2014">
          <cell r="B2014">
            <v>39455</v>
          </cell>
          <cell r="C2014">
            <v>6282.45</v>
          </cell>
          <cell r="D2014">
            <v>6357.1</v>
          </cell>
          <cell r="E2014">
            <v>6221.6</v>
          </cell>
          <cell r="F2014">
            <v>6287.85</v>
          </cell>
        </row>
        <row r="2015">
          <cell r="B2015">
            <v>39456</v>
          </cell>
          <cell r="C2015">
            <v>6287.55</v>
          </cell>
          <cell r="D2015">
            <v>6338.3</v>
          </cell>
          <cell r="E2015">
            <v>6231.25</v>
          </cell>
          <cell r="F2015">
            <v>6272</v>
          </cell>
        </row>
        <row r="2016">
          <cell r="B2016">
            <v>39457</v>
          </cell>
          <cell r="C2016">
            <v>6278.1</v>
          </cell>
          <cell r="D2016">
            <v>6347</v>
          </cell>
          <cell r="E2016">
            <v>6142.9</v>
          </cell>
          <cell r="F2016">
            <v>6156.95</v>
          </cell>
        </row>
        <row r="2017">
          <cell r="B2017">
            <v>39458</v>
          </cell>
          <cell r="C2017">
            <v>6166.65</v>
          </cell>
          <cell r="D2017">
            <v>6224.2</v>
          </cell>
          <cell r="E2017">
            <v>6112.55</v>
          </cell>
          <cell r="F2017">
            <v>6200.1</v>
          </cell>
        </row>
        <row r="2018">
          <cell r="B2018">
            <v>39461</v>
          </cell>
          <cell r="C2018">
            <v>6208.8</v>
          </cell>
          <cell r="D2018">
            <v>6244.15</v>
          </cell>
          <cell r="E2018">
            <v>6172</v>
          </cell>
          <cell r="F2018">
            <v>6206.8</v>
          </cell>
        </row>
        <row r="2019">
          <cell r="B2019">
            <v>39462</v>
          </cell>
          <cell r="C2019">
            <v>6226.35</v>
          </cell>
          <cell r="D2019">
            <v>6260.45</v>
          </cell>
          <cell r="E2019">
            <v>6053.3</v>
          </cell>
          <cell r="F2019">
            <v>6074.25</v>
          </cell>
        </row>
        <row r="2020">
          <cell r="B2020">
            <v>39463</v>
          </cell>
          <cell r="C2020">
            <v>6065</v>
          </cell>
          <cell r="D2020">
            <v>6065</v>
          </cell>
          <cell r="E2020">
            <v>5825.75</v>
          </cell>
          <cell r="F2020">
            <v>5935.75</v>
          </cell>
        </row>
        <row r="2021">
          <cell r="B2021">
            <v>39464</v>
          </cell>
          <cell r="C2021">
            <v>5937.95</v>
          </cell>
          <cell r="D2021">
            <v>6013.15</v>
          </cell>
          <cell r="E2021">
            <v>5880.3</v>
          </cell>
          <cell r="F2021">
            <v>5913.2</v>
          </cell>
        </row>
        <row r="2022">
          <cell r="B2022">
            <v>39465</v>
          </cell>
          <cell r="C2022">
            <v>5907.75</v>
          </cell>
          <cell r="D2022">
            <v>5908.75</v>
          </cell>
          <cell r="E2022">
            <v>5677</v>
          </cell>
          <cell r="F2022">
            <v>5705.3</v>
          </cell>
        </row>
        <row r="2023">
          <cell r="B2023">
            <v>39468</v>
          </cell>
          <cell r="C2023">
            <v>5705</v>
          </cell>
          <cell r="D2023">
            <v>5705</v>
          </cell>
          <cell r="E2023">
            <v>4977.1000000000004</v>
          </cell>
          <cell r="F2023">
            <v>5208.8</v>
          </cell>
        </row>
        <row r="2024">
          <cell r="B2024">
            <v>39469</v>
          </cell>
          <cell r="C2024">
            <v>5203.3500000000004</v>
          </cell>
          <cell r="D2024">
            <v>5203.3500000000004</v>
          </cell>
          <cell r="E2024">
            <v>4448.5</v>
          </cell>
          <cell r="F2024">
            <v>4899.3</v>
          </cell>
        </row>
        <row r="2025">
          <cell r="B2025">
            <v>39470</v>
          </cell>
          <cell r="C2025">
            <v>4903.05</v>
          </cell>
          <cell r="D2025">
            <v>5328.05</v>
          </cell>
          <cell r="E2025">
            <v>4891.6000000000004</v>
          </cell>
          <cell r="F2025">
            <v>5203.3999999999996</v>
          </cell>
        </row>
        <row r="2026">
          <cell r="B2026">
            <v>39471</v>
          </cell>
          <cell r="C2026">
            <v>5208</v>
          </cell>
          <cell r="D2026">
            <v>5357.2</v>
          </cell>
          <cell r="E2026">
            <v>4995.8</v>
          </cell>
          <cell r="F2026">
            <v>5033.45</v>
          </cell>
        </row>
        <row r="2027">
          <cell r="B2027">
            <v>39472</v>
          </cell>
          <cell r="C2027">
            <v>5035.05</v>
          </cell>
          <cell r="D2027">
            <v>5399.25</v>
          </cell>
          <cell r="E2027">
            <v>5035.05</v>
          </cell>
          <cell r="F2027">
            <v>5383.35</v>
          </cell>
        </row>
        <row r="2028">
          <cell r="B2028">
            <v>39475</v>
          </cell>
          <cell r="C2028">
            <v>5380.95</v>
          </cell>
          <cell r="D2028">
            <v>5380.95</v>
          </cell>
          <cell r="E2028">
            <v>5071</v>
          </cell>
          <cell r="F2028">
            <v>5274.1</v>
          </cell>
        </row>
        <row r="2029">
          <cell r="B2029">
            <v>39476</v>
          </cell>
          <cell r="C2029">
            <v>5279.55</v>
          </cell>
          <cell r="D2029">
            <v>5391.6</v>
          </cell>
          <cell r="E2029">
            <v>5225.25</v>
          </cell>
          <cell r="F2029">
            <v>5280.8</v>
          </cell>
        </row>
        <row r="2030">
          <cell r="B2030">
            <v>39477</v>
          </cell>
          <cell r="C2030">
            <v>5283.75</v>
          </cell>
          <cell r="D2030">
            <v>5314.3</v>
          </cell>
          <cell r="E2030">
            <v>5142.25</v>
          </cell>
          <cell r="F2030">
            <v>5167.6000000000004</v>
          </cell>
        </row>
        <row r="2031">
          <cell r="B2031">
            <v>39478</v>
          </cell>
          <cell r="C2031">
            <v>5172.25</v>
          </cell>
          <cell r="D2031">
            <v>5251.65</v>
          </cell>
          <cell r="E2031">
            <v>5071.1499999999996</v>
          </cell>
          <cell r="F2031">
            <v>5137.45</v>
          </cell>
        </row>
        <row r="2032">
          <cell r="B2032">
            <v>39479</v>
          </cell>
          <cell r="C2032">
            <v>5140.6000000000004</v>
          </cell>
          <cell r="D2032">
            <v>5339.95</v>
          </cell>
          <cell r="E2032">
            <v>5090.75</v>
          </cell>
          <cell r="F2032">
            <v>5317.25</v>
          </cell>
        </row>
        <row r="2033">
          <cell r="B2033">
            <v>39482</v>
          </cell>
          <cell r="C2033">
            <v>5315.55</v>
          </cell>
          <cell r="D2033">
            <v>5545.2</v>
          </cell>
          <cell r="E2033">
            <v>5315.55</v>
          </cell>
          <cell r="F2033">
            <v>5463.5</v>
          </cell>
        </row>
        <row r="2034">
          <cell r="B2034">
            <v>39483</v>
          </cell>
          <cell r="C2034">
            <v>5463.75</v>
          </cell>
          <cell r="D2034">
            <v>5500.6</v>
          </cell>
          <cell r="E2034">
            <v>5412.95</v>
          </cell>
          <cell r="F2034">
            <v>5483.9</v>
          </cell>
        </row>
        <row r="2035">
          <cell r="B2035">
            <v>39484</v>
          </cell>
          <cell r="C2035">
            <v>5470.4</v>
          </cell>
          <cell r="D2035">
            <v>5470.4</v>
          </cell>
          <cell r="E2035">
            <v>5257.05</v>
          </cell>
          <cell r="F2035">
            <v>5322.55</v>
          </cell>
        </row>
        <row r="2036">
          <cell r="B2036">
            <v>39485</v>
          </cell>
          <cell r="C2036">
            <v>5322.55</v>
          </cell>
          <cell r="D2036">
            <v>5344.6</v>
          </cell>
          <cell r="E2036">
            <v>5113.8500000000004</v>
          </cell>
          <cell r="F2036">
            <v>5133.25</v>
          </cell>
        </row>
        <row r="2037">
          <cell r="B2037">
            <v>39486</v>
          </cell>
          <cell r="C2037">
            <v>5132.1000000000004</v>
          </cell>
          <cell r="D2037">
            <v>5173.8500000000004</v>
          </cell>
          <cell r="E2037">
            <v>5034.25</v>
          </cell>
          <cell r="F2037">
            <v>5120.3500000000004</v>
          </cell>
        </row>
        <row r="2038">
          <cell r="B2038">
            <v>39489</v>
          </cell>
          <cell r="C2038">
            <v>5120.55</v>
          </cell>
          <cell r="D2038">
            <v>5126.3999999999996</v>
          </cell>
          <cell r="E2038">
            <v>4803.6000000000004</v>
          </cell>
          <cell r="F2038">
            <v>4857</v>
          </cell>
        </row>
        <row r="2039">
          <cell r="B2039">
            <v>39490</v>
          </cell>
          <cell r="C2039">
            <v>4877.8500000000004</v>
          </cell>
          <cell r="D2039">
            <v>4949.6000000000004</v>
          </cell>
          <cell r="E2039">
            <v>4820.45</v>
          </cell>
          <cell r="F2039">
            <v>4838.25</v>
          </cell>
        </row>
        <row r="2040">
          <cell r="B2040">
            <v>39491</v>
          </cell>
          <cell r="C2040">
            <v>4836.55</v>
          </cell>
          <cell r="D2040">
            <v>4986.55</v>
          </cell>
          <cell r="E2040">
            <v>4836.55</v>
          </cell>
          <cell r="F2040">
            <v>4929.45</v>
          </cell>
        </row>
        <row r="2041">
          <cell r="B2041">
            <v>39492</v>
          </cell>
          <cell r="C2041">
            <v>4944.6499999999996</v>
          </cell>
          <cell r="D2041">
            <v>5220.25</v>
          </cell>
          <cell r="E2041">
            <v>4944.6499999999996</v>
          </cell>
          <cell r="F2041">
            <v>5202</v>
          </cell>
        </row>
        <row r="2042">
          <cell r="B2042">
            <v>39493</v>
          </cell>
          <cell r="C2042">
            <v>5202.8500000000004</v>
          </cell>
          <cell r="D2042">
            <v>5315.4</v>
          </cell>
          <cell r="E2042">
            <v>5104.75</v>
          </cell>
          <cell r="F2042">
            <v>5302.9</v>
          </cell>
        </row>
        <row r="2043">
          <cell r="B2043">
            <v>39496</v>
          </cell>
          <cell r="C2043">
            <v>5304.45</v>
          </cell>
          <cell r="D2043">
            <v>5348.6</v>
          </cell>
          <cell r="E2043">
            <v>5224</v>
          </cell>
          <cell r="F2043">
            <v>5276.9</v>
          </cell>
        </row>
        <row r="2044">
          <cell r="B2044">
            <v>39497</v>
          </cell>
          <cell r="C2044">
            <v>5278.4</v>
          </cell>
          <cell r="D2044">
            <v>5368.45</v>
          </cell>
          <cell r="E2044">
            <v>5262</v>
          </cell>
          <cell r="F2044">
            <v>5280.8</v>
          </cell>
        </row>
        <row r="2045">
          <cell r="B2045">
            <v>39498</v>
          </cell>
          <cell r="C2045">
            <v>5267.15</v>
          </cell>
          <cell r="D2045">
            <v>5267.15</v>
          </cell>
          <cell r="E2045">
            <v>5116.3</v>
          </cell>
          <cell r="F2045">
            <v>5154.45</v>
          </cell>
        </row>
        <row r="2046">
          <cell r="B2046">
            <v>39499</v>
          </cell>
          <cell r="C2046">
            <v>5156.8999999999996</v>
          </cell>
          <cell r="D2046">
            <v>5241.3500000000004</v>
          </cell>
          <cell r="E2046">
            <v>5120.05</v>
          </cell>
          <cell r="F2046">
            <v>5191.8</v>
          </cell>
        </row>
        <row r="2047">
          <cell r="B2047">
            <v>39500</v>
          </cell>
          <cell r="C2047">
            <v>5183.3999999999996</v>
          </cell>
          <cell r="D2047">
            <v>5184</v>
          </cell>
          <cell r="E2047">
            <v>5092.8</v>
          </cell>
          <cell r="F2047">
            <v>5110.75</v>
          </cell>
        </row>
        <row r="2048">
          <cell r="B2048">
            <v>39503</v>
          </cell>
          <cell r="C2048">
            <v>5112.25</v>
          </cell>
          <cell r="D2048">
            <v>5212.3500000000004</v>
          </cell>
          <cell r="E2048">
            <v>5055.1499999999996</v>
          </cell>
          <cell r="F2048">
            <v>5200.7</v>
          </cell>
        </row>
        <row r="2049">
          <cell r="B2049">
            <v>39504</v>
          </cell>
          <cell r="C2049">
            <v>5200.8</v>
          </cell>
          <cell r="D2049">
            <v>5281.2</v>
          </cell>
          <cell r="E2049">
            <v>5200.8</v>
          </cell>
          <cell r="F2049">
            <v>5270.05</v>
          </cell>
        </row>
        <row r="2050">
          <cell r="B2050">
            <v>39505</v>
          </cell>
          <cell r="C2050">
            <v>5271.4</v>
          </cell>
          <cell r="D2050">
            <v>5368.15</v>
          </cell>
          <cell r="E2050">
            <v>5249.75</v>
          </cell>
          <cell r="F2050">
            <v>5268.4</v>
          </cell>
        </row>
        <row r="2051">
          <cell r="B2051">
            <v>39506</v>
          </cell>
          <cell r="C2051">
            <v>5266.35</v>
          </cell>
          <cell r="D2051">
            <v>5302.85</v>
          </cell>
          <cell r="E2051">
            <v>5227.1499999999996</v>
          </cell>
          <cell r="F2051">
            <v>5285.1</v>
          </cell>
        </row>
        <row r="2052">
          <cell r="B2052">
            <v>39507</v>
          </cell>
          <cell r="C2052">
            <v>5285</v>
          </cell>
          <cell r="D2052">
            <v>5290.8</v>
          </cell>
          <cell r="E2052">
            <v>5098.3500000000004</v>
          </cell>
          <cell r="F2052">
            <v>5223.5</v>
          </cell>
        </row>
        <row r="2053">
          <cell r="B2053">
            <v>39510</v>
          </cell>
          <cell r="C2053">
            <v>5222.8</v>
          </cell>
          <cell r="D2053">
            <v>5222.8</v>
          </cell>
          <cell r="E2053">
            <v>4936.05</v>
          </cell>
          <cell r="F2053">
            <v>4953</v>
          </cell>
        </row>
        <row r="2054">
          <cell r="B2054">
            <v>39511</v>
          </cell>
          <cell r="C2054">
            <v>4958.55</v>
          </cell>
          <cell r="D2054">
            <v>4976.7</v>
          </cell>
          <cell r="E2054">
            <v>4812.95</v>
          </cell>
          <cell r="F2054">
            <v>4864.25</v>
          </cell>
        </row>
        <row r="2055">
          <cell r="B2055">
            <v>39512</v>
          </cell>
          <cell r="C2055">
            <v>4866.8500000000004</v>
          </cell>
          <cell r="D2055">
            <v>4936.75</v>
          </cell>
          <cell r="E2055">
            <v>4847.25</v>
          </cell>
          <cell r="F2055">
            <v>4921.3999999999996</v>
          </cell>
        </row>
        <row r="2056">
          <cell r="B2056">
            <v>39514</v>
          </cell>
          <cell r="C2056">
            <v>4918.3</v>
          </cell>
          <cell r="D2056">
            <v>4918.3</v>
          </cell>
          <cell r="E2056">
            <v>4672.25</v>
          </cell>
          <cell r="F2056">
            <v>4771.6000000000004</v>
          </cell>
        </row>
        <row r="2057">
          <cell r="B2057">
            <v>39517</v>
          </cell>
          <cell r="C2057">
            <v>4767.8</v>
          </cell>
          <cell r="D2057">
            <v>4814.95</v>
          </cell>
          <cell r="E2057">
            <v>4620.5</v>
          </cell>
          <cell r="F2057">
            <v>4800.3999999999996</v>
          </cell>
        </row>
        <row r="2058">
          <cell r="B2058">
            <v>39518</v>
          </cell>
          <cell r="C2058">
            <v>4796.3</v>
          </cell>
          <cell r="D2058">
            <v>4888.5</v>
          </cell>
          <cell r="E2058">
            <v>4732.8500000000004</v>
          </cell>
          <cell r="F2058">
            <v>4865.8999999999996</v>
          </cell>
        </row>
        <row r="2059">
          <cell r="B2059">
            <v>39519</v>
          </cell>
          <cell r="C2059">
            <v>4869.75</v>
          </cell>
          <cell r="D2059">
            <v>5019.2</v>
          </cell>
          <cell r="E2059">
            <v>4854.75</v>
          </cell>
          <cell r="F2059">
            <v>4872</v>
          </cell>
        </row>
        <row r="2060">
          <cell r="B2060">
            <v>39520</v>
          </cell>
          <cell r="C2060">
            <v>4868.7</v>
          </cell>
          <cell r="D2060">
            <v>4868.8</v>
          </cell>
          <cell r="E2060">
            <v>4580.1499999999996</v>
          </cell>
          <cell r="F2060">
            <v>4623.6000000000004</v>
          </cell>
        </row>
        <row r="2061">
          <cell r="B2061">
            <v>39521</v>
          </cell>
          <cell r="C2061">
            <v>4623.8</v>
          </cell>
          <cell r="D2061">
            <v>4758.95</v>
          </cell>
          <cell r="E2061">
            <v>4607.55</v>
          </cell>
          <cell r="F2061">
            <v>4745.8</v>
          </cell>
        </row>
        <row r="2062">
          <cell r="B2062">
            <v>39524</v>
          </cell>
          <cell r="C2062">
            <v>4745.45</v>
          </cell>
          <cell r="D2062">
            <v>4745.45</v>
          </cell>
          <cell r="E2062">
            <v>4482.1000000000004</v>
          </cell>
          <cell r="F2062">
            <v>4503.1000000000004</v>
          </cell>
        </row>
        <row r="2063">
          <cell r="B2063">
            <v>39525</v>
          </cell>
          <cell r="C2063">
            <v>4519.8999999999996</v>
          </cell>
          <cell r="D2063">
            <v>4617.95</v>
          </cell>
          <cell r="E2063">
            <v>4468.55</v>
          </cell>
          <cell r="F2063">
            <v>4533</v>
          </cell>
        </row>
        <row r="2064">
          <cell r="B2064">
            <v>39526</v>
          </cell>
          <cell r="C2064">
            <v>4534.75</v>
          </cell>
          <cell r="D2064">
            <v>4718.3999999999996</v>
          </cell>
          <cell r="E2064">
            <v>4533.8999999999996</v>
          </cell>
          <cell r="F2064">
            <v>4573.95</v>
          </cell>
        </row>
        <row r="2065">
          <cell r="B2065">
            <v>39531</v>
          </cell>
          <cell r="C2065">
            <v>4576.8</v>
          </cell>
          <cell r="D2065">
            <v>4649.45</v>
          </cell>
          <cell r="E2065">
            <v>4539.8</v>
          </cell>
          <cell r="F2065">
            <v>4609.8500000000004</v>
          </cell>
        </row>
        <row r="2066">
          <cell r="B2066">
            <v>39532</v>
          </cell>
          <cell r="C2066">
            <v>4616.8</v>
          </cell>
          <cell r="D2066">
            <v>4896.8</v>
          </cell>
          <cell r="E2066">
            <v>4616.8</v>
          </cell>
          <cell r="F2066">
            <v>4877.5</v>
          </cell>
        </row>
        <row r="2067">
          <cell r="B2067">
            <v>39533</v>
          </cell>
          <cell r="C2067">
            <v>4878.7</v>
          </cell>
          <cell r="D2067">
            <v>4912.3</v>
          </cell>
          <cell r="E2067">
            <v>4808.6499999999996</v>
          </cell>
          <cell r="F2067">
            <v>4828.8500000000004</v>
          </cell>
        </row>
        <row r="2068">
          <cell r="B2068">
            <v>39534</v>
          </cell>
          <cell r="C2068">
            <v>4828.8</v>
          </cell>
          <cell r="D2068">
            <v>4863.75</v>
          </cell>
          <cell r="E2068">
            <v>4769.6000000000004</v>
          </cell>
          <cell r="F2068">
            <v>4830.25</v>
          </cell>
        </row>
        <row r="2069">
          <cell r="B2069">
            <v>39535</v>
          </cell>
          <cell r="C2069">
            <v>4830</v>
          </cell>
          <cell r="D2069">
            <v>4970.8</v>
          </cell>
          <cell r="E2069">
            <v>4796.3500000000004</v>
          </cell>
          <cell r="F2069">
            <v>4942</v>
          </cell>
        </row>
        <row r="2070">
          <cell r="B2070">
            <v>39538</v>
          </cell>
          <cell r="C2070">
            <v>4942.1499999999996</v>
          </cell>
          <cell r="D2070">
            <v>4947</v>
          </cell>
          <cell r="E2070">
            <v>4703.8500000000004</v>
          </cell>
          <cell r="F2070">
            <v>4734.5</v>
          </cell>
        </row>
        <row r="2071">
          <cell r="B2071">
            <v>39539</v>
          </cell>
          <cell r="C2071">
            <v>4735.6499999999996</v>
          </cell>
          <cell r="D2071">
            <v>4800.75</v>
          </cell>
          <cell r="E2071">
            <v>4628.75</v>
          </cell>
          <cell r="F2071">
            <v>4739.55</v>
          </cell>
        </row>
        <row r="2072">
          <cell r="B2072">
            <v>39540</v>
          </cell>
          <cell r="C2072">
            <v>4741.3999999999996</v>
          </cell>
          <cell r="D2072">
            <v>4916.75</v>
          </cell>
          <cell r="E2072">
            <v>4741.3999999999996</v>
          </cell>
          <cell r="F2072">
            <v>4754.2</v>
          </cell>
        </row>
        <row r="2073">
          <cell r="B2073">
            <v>39541</v>
          </cell>
          <cell r="C2073">
            <v>4753.8999999999996</v>
          </cell>
          <cell r="D2073">
            <v>4833.25</v>
          </cell>
          <cell r="E2073">
            <v>4738.2</v>
          </cell>
          <cell r="F2073">
            <v>4771.6000000000004</v>
          </cell>
        </row>
        <row r="2074">
          <cell r="B2074">
            <v>39542</v>
          </cell>
          <cell r="C2074">
            <v>4766.7</v>
          </cell>
          <cell r="D2074">
            <v>4791.7</v>
          </cell>
          <cell r="E2074">
            <v>4632.7</v>
          </cell>
          <cell r="F2074">
            <v>4647</v>
          </cell>
        </row>
        <row r="2075">
          <cell r="B2075">
            <v>39545</v>
          </cell>
          <cell r="C2075">
            <v>4631.3500000000004</v>
          </cell>
          <cell r="D2075">
            <v>4798.55</v>
          </cell>
          <cell r="E2075">
            <v>4628.8</v>
          </cell>
          <cell r="F2075">
            <v>4761.2</v>
          </cell>
        </row>
        <row r="2076">
          <cell r="B2076">
            <v>39546</v>
          </cell>
          <cell r="C2076">
            <v>4760.6499999999996</v>
          </cell>
          <cell r="D2076">
            <v>4769.55</v>
          </cell>
          <cell r="E2076">
            <v>4677.8</v>
          </cell>
          <cell r="F2076">
            <v>4709.6499999999996</v>
          </cell>
        </row>
        <row r="2077">
          <cell r="B2077">
            <v>39547</v>
          </cell>
          <cell r="C2077">
            <v>4707.05</v>
          </cell>
          <cell r="D2077">
            <v>4758.25</v>
          </cell>
          <cell r="E2077">
            <v>4667.5</v>
          </cell>
          <cell r="F2077">
            <v>4747.05</v>
          </cell>
        </row>
        <row r="2078">
          <cell r="B2078">
            <v>39548</v>
          </cell>
          <cell r="C2078">
            <v>4747.55</v>
          </cell>
          <cell r="D2078">
            <v>4799.5</v>
          </cell>
          <cell r="E2078">
            <v>4720.8999999999996</v>
          </cell>
          <cell r="F2078">
            <v>4733</v>
          </cell>
        </row>
        <row r="2079">
          <cell r="B2079">
            <v>39549</v>
          </cell>
          <cell r="C2079">
            <v>4734.3500000000004</v>
          </cell>
          <cell r="D2079">
            <v>4817.3999999999996</v>
          </cell>
          <cell r="E2079">
            <v>4727.25</v>
          </cell>
          <cell r="F2079">
            <v>4777.8</v>
          </cell>
        </row>
        <row r="2080">
          <cell r="B2080">
            <v>39553</v>
          </cell>
          <cell r="C2080">
            <v>4779.95</v>
          </cell>
          <cell r="D2080">
            <v>4917.1000000000004</v>
          </cell>
          <cell r="E2080">
            <v>4708.3</v>
          </cell>
          <cell r="F2080">
            <v>4879.6499999999996</v>
          </cell>
        </row>
        <row r="2081">
          <cell r="B2081">
            <v>39554</v>
          </cell>
          <cell r="C2081">
            <v>4881.6499999999996</v>
          </cell>
          <cell r="D2081">
            <v>4951.3999999999996</v>
          </cell>
          <cell r="E2081">
            <v>4874.05</v>
          </cell>
          <cell r="F2081">
            <v>4887.3</v>
          </cell>
        </row>
        <row r="2082">
          <cell r="B2082">
            <v>39555</v>
          </cell>
          <cell r="C2082">
            <v>4890.6000000000004</v>
          </cell>
          <cell r="D2082">
            <v>4984.95</v>
          </cell>
          <cell r="E2082">
            <v>4889.6499999999996</v>
          </cell>
          <cell r="F2082">
            <v>4958.3999999999996</v>
          </cell>
        </row>
        <row r="2083">
          <cell r="B2083">
            <v>39559</v>
          </cell>
          <cell r="C2083">
            <v>4955.8999999999996</v>
          </cell>
          <cell r="D2083">
            <v>5053.3999999999996</v>
          </cell>
          <cell r="E2083">
            <v>4955.8999999999996</v>
          </cell>
          <cell r="F2083">
            <v>5037</v>
          </cell>
        </row>
        <row r="2084">
          <cell r="B2084">
            <v>39560</v>
          </cell>
          <cell r="C2084">
            <v>5037.05</v>
          </cell>
          <cell r="D2084">
            <v>5074.25</v>
          </cell>
          <cell r="E2084">
            <v>4994.05</v>
          </cell>
          <cell r="F2084">
            <v>5049.3</v>
          </cell>
        </row>
        <row r="2085">
          <cell r="B2085">
            <v>39561</v>
          </cell>
          <cell r="C2085">
            <v>5044.3500000000004</v>
          </cell>
          <cell r="D2085">
            <v>5083.5</v>
          </cell>
          <cell r="E2085">
            <v>5003.55</v>
          </cell>
          <cell r="F2085">
            <v>5022.8</v>
          </cell>
        </row>
        <row r="2086">
          <cell r="B2086">
            <v>39562</v>
          </cell>
          <cell r="C2086">
            <v>5022.8999999999996</v>
          </cell>
          <cell r="D2086">
            <v>5072.7</v>
          </cell>
          <cell r="E2086">
            <v>4991.3500000000004</v>
          </cell>
          <cell r="F2086">
            <v>4999.8500000000004</v>
          </cell>
        </row>
        <row r="2087">
          <cell r="B2087">
            <v>39563</v>
          </cell>
          <cell r="C2087">
            <v>4999.1499999999996</v>
          </cell>
          <cell r="D2087">
            <v>5117.7</v>
          </cell>
          <cell r="E2087">
            <v>4999.1499999999996</v>
          </cell>
          <cell r="F2087">
            <v>5111.7</v>
          </cell>
        </row>
        <row r="2088">
          <cell r="B2088">
            <v>39566</v>
          </cell>
          <cell r="C2088">
            <v>5112.5</v>
          </cell>
          <cell r="D2088">
            <v>5147.45</v>
          </cell>
          <cell r="E2088">
            <v>5079.1499999999996</v>
          </cell>
          <cell r="F2088">
            <v>5089.6499999999996</v>
          </cell>
        </row>
        <row r="2089">
          <cell r="B2089">
            <v>39567</v>
          </cell>
          <cell r="C2089">
            <v>5092.3999999999996</v>
          </cell>
          <cell r="D2089">
            <v>5210.8999999999996</v>
          </cell>
          <cell r="E2089">
            <v>5082.1499999999996</v>
          </cell>
          <cell r="F2089">
            <v>5195.5</v>
          </cell>
        </row>
        <row r="2090">
          <cell r="B2090">
            <v>39568</v>
          </cell>
          <cell r="C2090">
            <v>5198.3500000000004</v>
          </cell>
          <cell r="D2090">
            <v>5230.75</v>
          </cell>
          <cell r="E2090">
            <v>5155.8500000000004</v>
          </cell>
          <cell r="F2090">
            <v>5165.8999999999996</v>
          </cell>
        </row>
        <row r="2091">
          <cell r="B2091">
            <v>39570</v>
          </cell>
          <cell r="C2091">
            <v>5265.3</v>
          </cell>
          <cell r="D2091">
            <v>5298.85</v>
          </cell>
          <cell r="E2091">
            <v>5197.6000000000004</v>
          </cell>
          <cell r="F2091">
            <v>5228.2</v>
          </cell>
        </row>
        <row r="2092">
          <cell r="B2092">
            <v>39573</v>
          </cell>
          <cell r="C2092">
            <v>5227.25</v>
          </cell>
          <cell r="D2092">
            <v>5254.5</v>
          </cell>
          <cell r="E2092">
            <v>5182.6000000000004</v>
          </cell>
          <cell r="F2092">
            <v>5192.25</v>
          </cell>
        </row>
        <row r="2093">
          <cell r="B2093">
            <v>39574</v>
          </cell>
          <cell r="C2093">
            <v>5192.3500000000004</v>
          </cell>
          <cell r="D2093">
            <v>5206.5</v>
          </cell>
          <cell r="E2093">
            <v>5110.8999999999996</v>
          </cell>
          <cell r="F2093">
            <v>5144.6499999999996</v>
          </cell>
        </row>
        <row r="2094">
          <cell r="B2094">
            <v>39575</v>
          </cell>
          <cell r="C2094">
            <v>5156.7</v>
          </cell>
          <cell r="D2094">
            <v>5159.05</v>
          </cell>
          <cell r="E2094">
            <v>5101.25</v>
          </cell>
          <cell r="F2094">
            <v>5135.5</v>
          </cell>
        </row>
        <row r="2095">
          <cell r="B2095">
            <v>39576</v>
          </cell>
          <cell r="C2095">
            <v>5135.8</v>
          </cell>
          <cell r="D2095">
            <v>5143.05</v>
          </cell>
          <cell r="E2095">
            <v>5062.45</v>
          </cell>
          <cell r="F2095">
            <v>5081.7</v>
          </cell>
        </row>
        <row r="2096">
          <cell r="B2096">
            <v>39577</v>
          </cell>
          <cell r="C2096">
            <v>5070.8500000000004</v>
          </cell>
          <cell r="D2096">
            <v>5087.6499999999996</v>
          </cell>
          <cell r="E2096">
            <v>4969.3999999999996</v>
          </cell>
          <cell r="F2096">
            <v>4982.6000000000004</v>
          </cell>
        </row>
        <row r="2097">
          <cell r="B2097">
            <v>39580</v>
          </cell>
          <cell r="C2097">
            <v>4981</v>
          </cell>
          <cell r="D2097">
            <v>5021.75</v>
          </cell>
          <cell r="E2097">
            <v>4913.8</v>
          </cell>
          <cell r="F2097">
            <v>5012.6499999999996</v>
          </cell>
        </row>
        <row r="2098">
          <cell r="B2098">
            <v>39581</v>
          </cell>
          <cell r="C2098">
            <v>5008.6000000000004</v>
          </cell>
          <cell r="D2098">
            <v>5066</v>
          </cell>
          <cell r="E2098">
            <v>4943.75</v>
          </cell>
          <cell r="F2098">
            <v>4957.8</v>
          </cell>
        </row>
        <row r="2099">
          <cell r="B2099">
            <v>39582</v>
          </cell>
          <cell r="C2099">
            <v>4958.45</v>
          </cell>
          <cell r="D2099">
            <v>5026.1000000000004</v>
          </cell>
          <cell r="E2099">
            <v>4932.05</v>
          </cell>
          <cell r="F2099">
            <v>5011.75</v>
          </cell>
        </row>
        <row r="2100">
          <cell r="B2100">
            <v>39583</v>
          </cell>
          <cell r="C2100">
            <v>5010.8999999999996</v>
          </cell>
          <cell r="D2100">
            <v>5118.55</v>
          </cell>
          <cell r="E2100">
            <v>4999.6000000000004</v>
          </cell>
          <cell r="F2100">
            <v>5115.25</v>
          </cell>
        </row>
        <row r="2101">
          <cell r="B2101">
            <v>39584</v>
          </cell>
          <cell r="C2101">
            <v>5115.6499999999996</v>
          </cell>
          <cell r="D2101">
            <v>5167.3999999999996</v>
          </cell>
          <cell r="E2101">
            <v>5106.3999999999996</v>
          </cell>
          <cell r="F2101">
            <v>5157.7</v>
          </cell>
        </row>
        <row r="2102">
          <cell r="B2102">
            <v>39588</v>
          </cell>
          <cell r="C2102">
            <v>5157</v>
          </cell>
          <cell r="D2102">
            <v>5160.05</v>
          </cell>
          <cell r="E2102">
            <v>5072.3999999999996</v>
          </cell>
          <cell r="F2102">
            <v>5104.95</v>
          </cell>
        </row>
        <row r="2103">
          <cell r="B2103">
            <v>39589</v>
          </cell>
          <cell r="C2103">
            <v>5105.7</v>
          </cell>
          <cell r="D2103">
            <v>5135.55</v>
          </cell>
          <cell r="E2103">
            <v>5048.7</v>
          </cell>
          <cell r="F2103">
            <v>5117.6499999999996</v>
          </cell>
        </row>
        <row r="2104">
          <cell r="B2104">
            <v>39590</v>
          </cell>
          <cell r="C2104">
            <v>5117</v>
          </cell>
          <cell r="D2104">
            <v>5118.8999999999996</v>
          </cell>
          <cell r="E2104">
            <v>5010.7</v>
          </cell>
          <cell r="F2104">
            <v>5025.45</v>
          </cell>
        </row>
        <row r="2105">
          <cell r="B2105">
            <v>39591</v>
          </cell>
          <cell r="C2105">
            <v>5026.55</v>
          </cell>
          <cell r="D2105">
            <v>5059.05</v>
          </cell>
          <cell r="E2105">
            <v>4940.7</v>
          </cell>
          <cell r="F2105">
            <v>4946.55</v>
          </cell>
        </row>
        <row r="2106">
          <cell r="B2106">
            <v>39594</v>
          </cell>
          <cell r="C2106">
            <v>4953.6000000000004</v>
          </cell>
          <cell r="D2106">
            <v>4953.6000000000004</v>
          </cell>
          <cell r="E2106">
            <v>4858</v>
          </cell>
          <cell r="F2106">
            <v>4875.05</v>
          </cell>
        </row>
        <row r="2107">
          <cell r="B2107">
            <v>39595</v>
          </cell>
          <cell r="C2107">
            <v>4877.1499999999996</v>
          </cell>
          <cell r="D2107">
            <v>4932</v>
          </cell>
          <cell r="E2107">
            <v>4846.2</v>
          </cell>
          <cell r="F2107">
            <v>4859.8</v>
          </cell>
        </row>
        <row r="2108">
          <cell r="B2108">
            <v>39596</v>
          </cell>
          <cell r="C2108">
            <v>4862.7</v>
          </cell>
          <cell r="D2108">
            <v>4926.8999999999996</v>
          </cell>
          <cell r="E2108">
            <v>4835.6499999999996</v>
          </cell>
          <cell r="F2108">
            <v>4918.3500000000004</v>
          </cell>
        </row>
        <row r="2109">
          <cell r="B2109">
            <v>39597</v>
          </cell>
          <cell r="C2109">
            <v>4926.3</v>
          </cell>
          <cell r="D2109">
            <v>4957.3999999999996</v>
          </cell>
          <cell r="E2109">
            <v>4801.8999999999996</v>
          </cell>
          <cell r="F2109">
            <v>4835.3</v>
          </cell>
        </row>
        <row r="2110">
          <cell r="B2110">
            <v>39598</v>
          </cell>
          <cell r="C2110">
            <v>4844.05</v>
          </cell>
          <cell r="D2110">
            <v>4908.8500000000004</v>
          </cell>
          <cell r="E2110">
            <v>4833.45</v>
          </cell>
          <cell r="F2110">
            <v>4870.1000000000004</v>
          </cell>
        </row>
        <row r="2111">
          <cell r="B2111">
            <v>39601</v>
          </cell>
          <cell r="C2111">
            <v>4869.25</v>
          </cell>
          <cell r="D2111">
            <v>4908.8</v>
          </cell>
          <cell r="E2111">
            <v>4713</v>
          </cell>
          <cell r="F2111">
            <v>4739.6000000000004</v>
          </cell>
        </row>
        <row r="2112">
          <cell r="B2112">
            <v>39602</v>
          </cell>
          <cell r="C2112">
            <v>4739.3</v>
          </cell>
          <cell r="D2112">
            <v>4739.3</v>
          </cell>
          <cell r="E2112">
            <v>4634</v>
          </cell>
          <cell r="F2112">
            <v>4715.8999999999996</v>
          </cell>
        </row>
        <row r="2113">
          <cell r="B2113">
            <v>39603</v>
          </cell>
          <cell r="C2113">
            <v>4718.7</v>
          </cell>
          <cell r="D2113">
            <v>4731.5</v>
          </cell>
          <cell r="E2113">
            <v>4564.5</v>
          </cell>
          <cell r="F2113">
            <v>4585.6000000000004</v>
          </cell>
        </row>
        <row r="2114">
          <cell r="B2114">
            <v>39604</v>
          </cell>
          <cell r="C2114">
            <v>4586.95</v>
          </cell>
          <cell r="D2114">
            <v>4690.6000000000004</v>
          </cell>
          <cell r="E2114">
            <v>4536.25</v>
          </cell>
          <cell r="F2114">
            <v>4676.95</v>
          </cell>
        </row>
        <row r="2115">
          <cell r="B2115">
            <v>39605</v>
          </cell>
          <cell r="C2115">
            <v>4680.55</v>
          </cell>
          <cell r="D2115">
            <v>4746.3</v>
          </cell>
          <cell r="E2115">
            <v>4614.25</v>
          </cell>
          <cell r="F2115">
            <v>4627.8</v>
          </cell>
        </row>
        <row r="2116">
          <cell r="B2116">
            <v>39608</v>
          </cell>
          <cell r="C2116">
            <v>4626.45</v>
          </cell>
          <cell r="D2116">
            <v>4626.45</v>
          </cell>
          <cell r="E2116">
            <v>4411.6000000000004</v>
          </cell>
          <cell r="F2116">
            <v>4500.95</v>
          </cell>
        </row>
        <row r="2117">
          <cell r="B2117">
            <v>39609</v>
          </cell>
          <cell r="C2117">
            <v>4522</v>
          </cell>
          <cell r="D2117">
            <v>4522.55</v>
          </cell>
          <cell r="E2117">
            <v>4369.8</v>
          </cell>
          <cell r="F2117">
            <v>4449.8</v>
          </cell>
        </row>
        <row r="2118">
          <cell r="B2118">
            <v>39610</v>
          </cell>
          <cell r="C2118">
            <v>4469.6499999999996</v>
          </cell>
          <cell r="D2118">
            <v>4541.05</v>
          </cell>
          <cell r="E2118">
            <v>4468.05</v>
          </cell>
          <cell r="F2118">
            <v>4523.6000000000004</v>
          </cell>
        </row>
        <row r="2119">
          <cell r="B2119">
            <v>39611</v>
          </cell>
          <cell r="C2119">
            <v>4524.3999999999996</v>
          </cell>
          <cell r="D2119">
            <v>4550</v>
          </cell>
          <cell r="E2119">
            <v>4392</v>
          </cell>
          <cell r="F2119">
            <v>4539.3500000000004</v>
          </cell>
        </row>
        <row r="2120">
          <cell r="B2120">
            <v>39612</v>
          </cell>
          <cell r="C2120">
            <v>4539.5</v>
          </cell>
          <cell r="D2120">
            <v>4563.3500000000004</v>
          </cell>
          <cell r="E2120">
            <v>4491.3500000000004</v>
          </cell>
          <cell r="F2120">
            <v>4517.1000000000004</v>
          </cell>
        </row>
        <row r="2121">
          <cell r="B2121">
            <v>39615</v>
          </cell>
          <cell r="C2121">
            <v>4536.3</v>
          </cell>
          <cell r="D2121">
            <v>4617.7</v>
          </cell>
          <cell r="E2121">
            <v>4536.3</v>
          </cell>
          <cell r="F2121">
            <v>4572.5</v>
          </cell>
        </row>
        <row r="2122">
          <cell r="B2122">
            <v>39616</v>
          </cell>
          <cell r="C2122">
            <v>4572.5</v>
          </cell>
          <cell r="D2122">
            <v>4664.05</v>
          </cell>
          <cell r="E2122">
            <v>4561.75</v>
          </cell>
          <cell r="F2122">
            <v>4653</v>
          </cell>
        </row>
        <row r="2123">
          <cell r="B2123">
            <v>39617</v>
          </cell>
          <cell r="C2123">
            <v>4652.8</v>
          </cell>
          <cell r="D2123">
            <v>4679.75</v>
          </cell>
          <cell r="E2123">
            <v>4569.8999999999996</v>
          </cell>
          <cell r="F2123">
            <v>4582.3999999999996</v>
          </cell>
        </row>
        <row r="2124">
          <cell r="B2124">
            <v>39618</v>
          </cell>
          <cell r="C2124">
            <v>4582.55</v>
          </cell>
          <cell r="D2124">
            <v>4585.7</v>
          </cell>
          <cell r="E2124">
            <v>4488.95</v>
          </cell>
          <cell r="F2124">
            <v>4504.25</v>
          </cell>
        </row>
        <row r="2125">
          <cell r="B2125">
            <v>39619</v>
          </cell>
          <cell r="C2125">
            <v>4504.2</v>
          </cell>
          <cell r="D2125">
            <v>4532</v>
          </cell>
          <cell r="E2125">
            <v>4333.6000000000004</v>
          </cell>
          <cell r="F2125">
            <v>4347.55</v>
          </cell>
        </row>
        <row r="2126">
          <cell r="B2126">
            <v>39622</v>
          </cell>
          <cell r="C2126">
            <v>4351.1499999999996</v>
          </cell>
          <cell r="D2126">
            <v>4351.1499999999996</v>
          </cell>
          <cell r="E2126">
            <v>4225.5</v>
          </cell>
          <cell r="F2126">
            <v>4266.3999999999996</v>
          </cell>
        </row>
        <row r="2127">
          <cell r="B2127">
            <v>39623</v>
          </cell>
          <cell r="C2127">
            <v>4271.05</v>
          </cell>
          <cell r="D2127">
            <v>4305.8999999999996</v>
          </cell>
          <cell r="E2127">
            <v>4156.1000000000004</v>
          </cell>
          <cell r="F2127">
            <v>4191.1000000000004</v>
          </cell>
        </row>
        <row r="2128">
          <cell r="B2128">
            <v>39624</v>
          </cell>
          <cell r="C2128">
            <v>4189.6000000000004</v>
          </cell>
          <cell r="D2128">
            <v>4264.55</v>
          </cell>
          <cell r="E2128">
            <v>4093.2</v>
          </cell>
          <cell r="F2128">
            <v>4252.6499999999996</v>
          </cell>
        </row>
        <row r="2129">
          <cell r="B2129">
            <v>39625</v>
          </cell>
          <cell r="C2129">
            <v>4252.6000000000004</v>
          </cell>
          <cell r="D2129">
            <v>4324.75</v>
          </cell>
          <cell r="E2129">
            <v>4230</v>
          </cell>
          <cell r="F2129">
            <v>4315.8500000000004</v>
          </cell>
        </row>
        <row r="2130">
          <cell r="B2130">
            <v>39626</v>
          </cell>
          <cell r="C2130">
            <v>4315.3</v>
          </cell>
          <cell r="D2130">
            <v>4315.3</v>
          </cell>
          <cell r="E2130">
            <v>4119.2</v>
          </cell>
          <cell r="F2130">
            <v>4136.6499999999996</v>
          </cell>
        </row>
        <row r="2131">
          <cell r="B2131">
            <v>39629</v>
          </cell>
          <cell r="C2131">
            <v>4136.25</v>
          </cell>
          <cell r="D2131">
            <v>4163</v>
          </cell>
          <cell r="E2131">
            <v>4021.7</v>
          </cell>
          <cell r="F2131">
            <v>4040.55</v>
          </cell>
        </row>
        <row r="2132">
          <cell r="B2132">
            <v>39630</v>
          </cell>
          <cell r="C2132">
            <v>4039.75</v>
          </cell>
          <cell r="D2132">
            <v>4075.4</v>
          </cell>
          <cell r="E2132">
            <v>3878.2</v>
          </cell>
          <cell r="F2132">
            <v>3896.75</v>
          </cell>
        </row>
        <row r="2133">
          <cell r="B2133">
            <v>39631</v>
          </cell>
          <cell r="C2133">
            <v>3895.3</v>
          </cell>
          <cell r="D2133">
            <v>4107.1499999999996</v>
          </cell>
          <cell r="E2133">
            <v>3848.25</v>
          </cell>
          <cell r="F2133">
            <v>4093.35</v>
          </cell>
        </row>
        <row r="2134">
          <cell r="B2134">
            <v>39632</v>
          </cell>
          <cell r="C2134">
            <v>4094.6</v>
          </cell>
          <cell r="D2134">
            <v>4097.3500000000004</v>
          </cell>
          <cell r="E2134">
            <v>3874.85</v>
          </cell>
          <cell r="F2134">
            <v>3925.75</v>
          </cell>
        </row>
        <row r="2135">
          <cell r="B2135">
            <v>39633</v>
          </cell>
          <cell r="C2135">
            <v>3926.65</v>
          </cell>
          <cell r="D2135">
            <v>4033.5</v>
          </cell>
          <cell r="E2135">
            <v>3896.4</v>
          </cell>
          <cell r="F2135">
            <v>4016</v>
          </cell>
        </row>
        <row r="2136">
          <cell r="B2136">
            <v>39636</v>
          </cell>
          <cell r="C2136">
            <v>4002</v>
          </cell>
          <cell r="D2136">
            <v>4114.5</v>
          </cell>
          <cell r="E2136">
            <v>4002</v>
          </cell>
          <cell r="F2136">
            <v>4030</v>
          </cell>
        </row>
        <row r="2137">
          <cell r="B2137">
            <v>39637</v>
          </cell>
          <cell r="C2137">
            <v>4028.7</v>
          </cell>
          <cell r="D2137">
            <v>4028.7</v>
          </cell>
          <cell r="E2137">
            <v>3896.05</v>
          </cell>
          <cell r="F2137">
            <v>3988.55</v>
          </cell>
        </row>
        <row r="2138">
          <cell r="B2138">
            <v>39638</v>
          </cell>
          <cell r="C2138">
            <v>3990.9</v>
          </cell>
          <cell r="D2138">
            <v>4169.3999999999996</v>
          </cell>
          <cell r="E2138">
            <v>3990.9</v>
          </cell>
          <cell r="F2138">
            <v>4157.1000000000004</v>
          </cell>
        </row>
        <row r="2139">
          <cell r="B2139">
            <v>39639</v>
          </cell>
          <cell r="C2139">
            <v>4155.6499999999996</v>
          </cell>
          <cell r="D2139">
            <v>4187.95</v>
          </cell>
          <cell r="E2139">
            <v>4110.3999999999996</v>
          </cell>
          <cell r="F2139">
            <v>4162.2</v>
          </cell>
        </row>
        <row r="2140">
          <cell r="B2140">
            <v>39640</v>
          </cell>
          <cell r="C2140">
            <v>4166</v>
          </cell>
          <cell r="D2140">
            <v>4215.5</v>
          </cell>
          <cell r="E2140">
            <v>4014.45</v>
          </cell>
          <cell r="F2140">
            <v>4049</v>
          </cell>
        </row>
        <row r="2141">
          <cell r="B2141">
            <v>39643</v>
          </cell>
          <cell r="C2141">
            <v>4047.45</v>
          </cell>
          <cell r="D2141">
            <v>4118.1000000000004</v>
          </cell>
          <cell r="E2141">
            <v>4004.25</v>
          </cell>
          <cell r="F2141">
            <v>4039.7</v>
          </cell>
        </row>
        <row r="2142">
          <cell r="B2142">
            <v>39644</v>
          </cell>
          <cell r="C2142">
            <v>4039.3</v>
          </cell>
          <cell r="D2142">
            <v>4040.7</v>
          </cell>
          <cell r="E2142">
            <v>3835.5</v>
          </cell>
          <cell r="F2142">
            <v>3861.1</v>
          </cell>
        </row>
        <row r="2143">
          <cell r="B2143">
            <v>39645</v>
          </cell>
          <cell r="C2143">
            <v>3861.55</v>
          </cell>
          <cell r="D2143">
            <v>3920.05</v>
          </cell>
          <cell r="E2143">
            <v>3790.2</v>
          </cell>
          <cell r="F2143">
            <v>3816.7</v>
          </cell>
        </row>
        <row r="2144">
          <cell r="B2144">
            <v>39646</v>
          </cell>
          <cell r="C2144">
            <v>3823.15</v>
          </cell>
          <cell r="D2144">
            <v>3968.75</v>
          </cell>
          <cell r="E2144">
            <v>3823.15</v>
          </cell>
          <cell r="F2144">
            <v>3947.2</v>
          </cell>
        </row>
        <row r="2145">
          <cell r="B2145">
            <v>39647</v>
          </cell>
          <cell r="C2145">
            <v>3962.95</v>
          </cell>
          <cell r="D2145">
            <v>4110.55</v>
          </cell>
          <cell r="E2145">
            <v>3926.3</v>
          </cell>
          <cell r="F2145">
            <v>4092.25</v>
          </cell>
        </row>
        <row r="2146">
          <cell r="B2146">
            <v>39650</v>
          </cell>
          <cell r="C2146">
            <v>4092.2</v>
          </cell>
          <cell r="D2146">
            <v>4168.1499999999996</v>
          </cell>
          <cell r="E2146">
            <v>4072.75</v>
          </cell>
          <cell r="F2146">
            <v>4159.5</v>
          </cell>
        </row>
        <row r="2147">
          <cell r="B2147">
            <v>39651</v>
          </cell>
          <cell r="C2147">
            <v>4158.45</v>
          </cell>
          <cell r="D2147">
            <v>4262.45</v>
          </cell>
          <cell r="E2147">
            <v>4137.95</v>
          </cell>
          <cell r="F2147">
            <v>4240.1000000000004</v>
          </cell>
        </row>
        <row r="2148">
          <cell r="B2148">
            <v>39652</v>
          </cell>
          <cell r="C2148">
            <v>4246.7</v>
          </cell>
          <cell r="D2148">
            <v>4491.55</v>
          </cell>
          <cell r="E2148">
            <v>4246.7</v>
          </cell>
          <cell r="F2148">
            <v>4476.8</v>
          </cell>
        </row>
        <row r="2149">
          <cell r="B2149">
            <v>39653</v>
          </cell>
          <cell r="C2149">
            <v>4476.2</v>
          </cell>
          <cell r="D2149">
            <v>4539.45</v>
          </cell>
          <cell r="E2149">
            <v>4385.8500000000004</v>
          </cell>
          <cell r="F2149">
            <v>4433.55</v>
          </cell>
        </row>
        <row r="2150">
          <cell r="B2150">
            <v>39654</v>
          </cell>
          <cell r="C2150">
            <v>4440.8500000000004</v>
          </cell>
          <cell r="D2150">
            <v>4440.8500000000004</v>
          </cell>
          <cell r="E2150">
            <v>4297.1499999999996</v>
          </cell>
          <cell r="F2150">
            <v>4311.8500000000004</v>
          </cell>
        </row>
        <row r="2151">
          <cell r="B2151">
            <v>39657</v>
          </cell>
          <cell r="C2151">
            <v>4282.25</v>
          </cell>
          <cell r="D2151">
            <v>4352.6499999999996</v>
          </cell>
          <cell r="E2151">
            <v>4282.25</v>
          </cell>
          <cell r="F2151">
            <v>4332.1000000000004</v>
          </cell>
        </row>
        <row r="2152">
          <cell r="B2152">
            <v>39658</v>
          </cell>
          <cell r="C2152">
            <v>4332.2</v>
          </cell>
          <cell r="D2152">
            <v>4332.2</v>
          </cell>
          <cell r="E2152">
            <v>4159.1499999999996</v>
          </cell>
          <cell r="F2152">
            <v>4189.8500000000004</v>
          </cell>
        </row>
        <row r="2153">
          <cell r="B2153">
            <v>39659</v>
          </cell>
          <cell r="C2153">
            <v>4191.2</v>
          </cell>
          <cell r="D2153">
            <v>4327</v>
          </cell>
          <cell r="E2153">
            <v>4191.2</v>
          </cell>
          <cell r="F2153">
            <v>4313.55</v>
          </cell>
        </row>
        <row r="2154">
          <cell r="B2154">
            <v>39660</v>
          </cell>
          <cell r="C2154">
            <v>4314.3500000000004</v>
          </cell>
          <cell r="D2154">
            <v>4342</v>
          </cell>
          <cell r="E2154">
            <v>4285.55</v>
          </cell>
          <cell r="F2154">
            <v>4332.95</v>
          </cell>
        </row>
        <row r="2155">
          <cell r="B2155">
            <v>39661</v>
          </cell>
          <cell r="C2155">
            <v>4331.6000000000004</v>
          </cell>
          <cell r="D2155">
            <v>4422.95</v>
          </cell>
          <cell r="E2155">
            <v>4235.7</v>
          </cell>
          <cell r="F2155">
            <v>4413.55</v>
          </cell>
        </row>
        <row r="2156">
          <cell r="B2156">
            <v>39664</v>
          </cell>
          <cell r="C2156">
            <v>4426.1000000000004</v>
          </cell>
          <cell r="D2156">
            <v>4436.1499999999996</v>
          </cell>
          <cell r="E2156">
            <v>4362.8999999999996</v>
          </cell>
          <cell r="F2156">
            <v>4395.3500000000004</v>
          </cell>
        </row>
        <row r="2157">
          <cell r="B2157">
            <v>39665</v>
          </cell>
          <cell r="C2157">
            <v>4395.8</v>
          </cell>
          <cell r="D2157">
            <v>4515.1499999999996</v>
          </cell>
          <cell r="E2157">
            <v>4376</v>
          </cell>
          <cell r="F2157">
            <v>4502.8500000000004</v>
          </cell>
        </row>
        <row r="2158">
          <cell r="B2158">
            <v>39666</v>
          </cell>
          <cell r="C2158">
            <v>4506.25</v>
          </cell>
          <cell r="D2158">
            <v>4615.8999999999996</v>
          </cell>
          <cell r="E2158">
            <v>4503.8999999999996</v>
          </cell>
          <cell r="F2158">
            <v>4517.55</v>
          </cell>
        </row>
        <row r="2159">
          <cell r="B2159">
            <v>39667</v>
          </cell>
          <cell r="C2159">
            <v>4515.25</v>
          </cell>
          <cell r="D2159">
            <v>4580.1499999999996</v>
          </cell>
          <cell r="E2159">
            <v>4493.7</v>
          </cell>
          <cell r="F2159">
            <v>4523.8500000000004</v>
          </cell>
        </row>
        <row r="2160">
          <cell r="B2160">
            <v>39668</v>
          </cell>
          <cell r="C2160">
            <v>4518.3500000000004</v>
          </cell>
          <cell r="D2160">
            <v>4546.3500000000004</v>
          </cell>
          <cell r="E2160">
            <v>4464</v>
          </cell>
          <cell r="F2160">
            <v>4529.5</v>
          </cell>
        </row>
        <row r="2161">
          <cell r="B2161">
            <v>39671</v>
          </cell>
          <cell r="C2161">
            <v>4529.3500000000004</v>
          </cell>
          <cell r="D2161">
            <v>4625.2</v>
          </cell>
          <cell r="E2161">
            <v>4529.3500000000004</v>
          </cell>
          <cell r="F2161">
            <v>4620.3999999999996</v>
          </cell>
        </row>
        <row r="2162">
          <cell r="B2162">
            <v>39672</v>
          </cell>
          <cell r="C2162">
            <v>4620.95</v>
          </cell>
          <cell r="D2162">
            <v>4649.8500000000004</v>
          </cell>
          <cell r="E2162">
            <v>4525.75</v>
          </cell>
          <cell r="F2162">
            <v>4552.25</v>
          </cell>
        </row>
        <row r="2163">
          <cell r="B2163">
            <v>39673</v>
          </cell>
          <cell r="C2163">
            <v>4548.05</v>
          </cell>
          <cell r="D2163">
            <v>4572.6499999999996</v>
          </cell>
          <cell r="E2163">
            <v>4497.25</v>
          </cell>
          <cell r="F2163">
            <v>4529.05</v>
          </cell>
        </row>
        <row r="2164">
          <cell r="B2164">
            <v>39674</v>
          </cell>
          <cell r="C2164">
            <v>4524.2</v>
          </cell>
          <cell r="D2164">
            <v>4529.8</v>
          </cell>
          <cell r="E2164">
            <v>4421.25</v>
          </cell>
          <cell r="F2164">
            <v>4430.7</v>
          </cell>
        </row>
        <row r="2165">
          <cell r="B2165">
            <v>39678</v>
          </cell>
          <cell r="C2165">
            <v>4430.7</v>
          </cell>
          <cell r="D2165">
            <v>4447.3999999999996</v>
          </cell>
          <cell r="E2165">
            <v>4379.8500000000004</v>
          </cell>
          <cell r="F2165">
            <v>4393.05</v>
          </cell>
        </row>
        <row r="2166">
          <cell r="B2166">
            <v>39679</v>
          </cell>
          <cell r="C2166">
            <v>4393.1000000000004</v>
          </cell>
          <cell r="D2166">
            <v>4393.7</v>
          </cell>
          <cell r="E2166">
            <v>4316.55</v>
          </cell>
          <cell r="F2166">
            <v>4368.25</v>
          </cell>
        </row>
        <row r="2167">
          <cell r="B2167">
            <v>39680</v>
          </cell>
          <cell r="C2167">
            <v>4365.45</v>
          </cell>
          <cell r="D2167">
            <v>4434.8999999999996</v>
          </cell>
          <cell r="E2167">
            <v>4365.45</v>
          </cell>
          <cell r="F2167">
            <v>4415.75</v>
          </cell>
        </row>
        <row r="2168">
          <cell r="B2168">
            <v>39681</v>
          </cell>
          <cell r="C2168">
            <v>4416.2</v>
          </cell>
          <cell r="D2168">
            <v>4418.55</v>
          </cell>
          <cell r="E2168">
            <v>4271.3</v>
          </cell>
          <cell r="F2168">
            <v>4283.8500000000004</v>
          </cell>
        </row>
        <row r="2169">
          <cell r="B2169">
            <v>39682</v>
          </cell>
          <cell r="C2169">
            <v>4283.8500000000004</v>
          </cell>
          <cell r="D2169">
            <v>4337</v>
          </cell>
          <cell r="E2169">
            <v>4248</v>
          </cell>
          <cell r="F2169">
            <v>4327.45</v>
          </cell>
        </row>
        <row r="2170">
          <cell r="B2170">
            <v>39685</v>
          </cell>
          <cell r="C2170">
            <v>4317.95</v>
          </cell>
          <cell r="D2170">
            <v>4398.8</v>
          </cell>
          <cell r="E2170">
            <v>4317.95</v>
          </cell>
          <cell r="F2170">
            <v>4335.3500000000004</v>
          </cell>
        </row>
        <row r="2171">
          <cell r="B2171">
            <v>39686</v>
          </cell>
          <cell r="C2171">
            <v>4335.2</v>
          </cell>
          <cell r="D2171">
            <v>4345.05</v>
          </cell>
          <cell r="E2171">
            <v>4283.3</v>
          </cell>
          <cell r="F2171">
            <v>4337.5</v>
          </cell>
        </row>
        <row r="2172">
          <cell r="B2172">
            <v>39687</v>
          </cell>
          <cell r="C2172">
            <v>4336.8500000000004</v>
          </cell>
          <cell r="D2172">
            <v>4364.25</v>
          </cell>
          <cell r="E2172">
            <v>4282.6499999999996</v>
          </cell>
          <cell r="F2172">
            <v>4292.1000000000004</v>
          </cell>
        </row>
        <row r="2173">
          <cell r="B2173">
            <v>39688</v>
          </cell>
          <cell r="C2173">
            <v>4290.75</v>
          </cell>
          <cell r="D2173">
            <v>4304.5</v>
          </cell>
          <cell r="E2173">
            <v>4201.8500000000004</v>
          </cell>
          <cell r="F2173">
            <v>4214</v>
          </cell>
        </row>
        <row r="2174">
          <cell r="B2174">
            <v>39689</v>
          </cell>
          <cell r="C2174">
            <v>4230.6000000000004</v>
          </cell>
          <cell r="D2174">
            <v>4368.8</v>
          </cell>
          <cell r="E2174">
            <v>4230.6000000000004</v>
          </cell>
          <cell r="F2174">
            <v>4360</v>
          </cell>
        </row>
        <row r="2175">
          <cell r="B2175">
            <v>39692</v>
          </cell>
          <cell r="C2175">
            <v>4356.1000000000004</v>
          </cell>
          <cell r="D2175">
            <v>4365</v>
          </cell>
          <cell r="E2175">
            <v>4281.3500000000004</v>
          </cell>
          <cell r="F2175">
            <v>4348.6499999999996</v>
          </cell>
        </row>
        <row r="2176">
          <cell r="B2176">
            <v>39693</v>
          </cell>
          <cell r="C2176">
            <v>4358.8500000000004</v>
          </cell>
          <cell r="D2176">
            <v>4522.3999999999996</v>
          </cell>
          <cell r="E2176">
            <v>4343.1000000000004</v>
          </cell>
          <cell r="F2176">
            <v>4504</v>
          </cell>
        </row>
        <row r="2177">
          <cell r="B2177">
            <v>39695</v>
          </cell>
          <cell r="C2177">
            <v>4512.95</v>
          </cell>
          <cell r="D2177">
            <v>4514.6000000000004</v>
          </cell>
          <cell r="E2177">
            <v>4419.45</v>
          </cell>
          <cell r="F2177">
            <v>4447.75</v>
          </cell>
        </row>
        <row r="2178">
          <cell r="B2178">
            <v>39696</v>
          </cell>
          <cell r="C2178">
            <v>4444.7</v>
          </cell>
          <cell r="D2178">
            <v>4444.7</v>
          </cell>
          <cell r="E2178">
            <v>4328.8999999999996</v>
          </cell>
          <cell r="F2178">
            <v>4352.3</v>
          </cell>
        </row>
        <row r="2179">
          <cell r="B2179">
            <v>39699</v>
          </cell>
          <cell r="C2179">
            <v>4358.3</v>
          </cell>
          <cell r="D2179">
            <v>4558</v>
          </cell>
          <cell r="E2179">
            <v>4358.3</v>
          </cell>
          <cell r="F2179">
            <v>4482.3</v>
          </cell>
        </row>
        <row r="2180">
          <cell r="B2180">
            <v>39700</v>
          </cell>
          <cell r="C2180">
            <v>4485.1499999999996</v>
          </cell>
          <cell r="D2180">
            <v>4497.5</v>
          </cell>
          <cell r="E2180">
            <v>4418.95</v>
          </cell>
          <cell r="F2180">
            <v>4468.7</v>
          </cell>
        </row>
        <row r="2181">
          <cell r="B2181">
            <v>39701</v>
          </cell>
          <cell r="C2181">
            <v>4467.5</v>
          </cell>
          <cell r="D2181">
            <v>4467.5</v>
          </cell>
          <cell r="E2181">
            <v>4382.3500000000004</v>
          </cell>
          <cell r="F2181">
            <v>4400.25</v>
          </cell>
        </row>
        <row r="2182">
          <cell r="B2182">
            <v>39702</v>
          </cell>
          <cell r="C2182">
            <v>4397.25</v>
          </cell>
          <cell r="D2182">
            <v>4399.3</v>
          </cell>
          <cell r="E2182">
            <v>4272.75</v>
          </cell>
          <cell r="F2182">
            <v>4290.3</v>
          </cell>
        </row>
        <row r="2183">
          <cell r="B2183">
            <v>39703</v>
          </cell>
          <cell r="C2183">
            <v>4291.6000000000004</v>
          </cell>
          <cell r="D2183">
            <v>4323.8999999999996</v>
          </cell>
          <cell r="E2183">
            <v>4200.1499999999996</v>
          </cell>
          <cell r="F2183">
            <v>4228.45</v>
          </cell>
        </row>
        <row r="2184">
          <cell r="B2184">
            <v>39706</v>
          </cell>
          <cell r="C2184">
            <v>4231.95</v>
          </cell>
          <cell r="D2184">
            <v>4237.25</v>
          </cell>
          <cell r="E2184">
            <v>3955.4</v>
          </cell>
          <cell r="F2184">
            <v>4072.9</v>
          </cell>
        </row>
        <row r="2185">
          <cell r="B2185">
            <v>39707</v>
          </cell>
          <cell r="C2185">
            <v>4072.55</v>
          </cell>
          <cell r="D2185">
            <v>4090.1</v>
          </cell>
          <cell r="E2185">
            <v>3919.35</v>
          </cell>
          <cell r="F2185">
            <v>4074.9</v>
          </cell>
        </row>
        <row r="2186">
          <cell r="B2186">
            <v>39708</v>
          </cell>
          <cell r="C2186">
            <v>4074.8</v>
          </cell>
          <cell r="D2186">
            <v>4116.7</v>
          </cell>
          <cell r="E2186">
            <v>3974.6</v>
          </cell>
          <cell r="F2186">
            <v>4008.25</v>
          </cell>
        </row>
        <row r="2187">
          <cell r="B2187">
            <v>39709</v>
          </cell>
          <cell r="C2187">
            <v>4005.25</v>
          </cell>
          <cell r="D2187">
            <v>4050.1</v>
          </cell>
          <cell r="E2187">
            <v>3799.55</v>
          </cell>
          <cell r="F2187">
            <v>4038.15</v>
          </cell>
        </row>
        <row r="2188">
          <cell r="B2188">
            <v>39710</v>
          </cell>
          <cell r="C2188">
            <v>4040.8</v>
          </cell>
          <cell r="D2188">
            <v>4262.6499999999996</v>
          </cell>
          <cell r="E2188">
            <v>4040.8</v>
          </cell>
          <cell r="F2188">
            <v>4245.25</v>
          </cell>
        </row>
        <row r="2189">
          <cell r="B2189">
            <v>39713</v>
          </cell>
          <cell r="C2189">
            <v>4248.95</v>
          </cell>
          <cell r="D2189">
            <v>4303.25</v>
          </cell>
          <cell r="E2189">
            <v>4202.3999999999996</v>
          </cell>
          <cell r="F2189">
            <v>4223.05</v>
          </cell>
        </row>
        <row r="2190">
          <cell r="B2190">
            <v>39714</v>
          </cell>
          <cell r="C2190">
            <v>4223.8999999999996</v>
          </cell>
          <cell r="D2190">
            <v>4224.7</v>
          </cell>
          <cell r="E2190">
            <v>4117.8999999999996</v>
          </cell>
          <cell r="F2190">
            <v>4126.8999999999996</v>
          </cell>
        </row>
        <row r="2191">
          <cell r="B2191">
            <v>39715</v>
          </cell>
          <cell r="C2191">
            <v>4125.75</v>
          </cell>
          <cell r="D2191">
            <v>4207.95</v>
          </cell>
          <cell r="E2191">
            <v>4115.8500000000004</v>
          </cell>
          <cell r="F2191">
            <v>4161.25</v>
          </cell>
        </row>
        <row r="2192">
          <cell r="B2192">
            <v>39716</v>
          </cell>
          <cell r="C2192">
            <v>4162.1499999999996</v>
          </cell>
          <cell r="D2192">
            <v>4172.6000000000004</v>
          </cell>
          <cell r="E2192">
            <v>4077.5</v>
          </cell>
          <cell r="F2192">
            <v>4110.55</v>
          </cell>
        </row>
        <row r="2193">
          <cell r="B2193">
            <v>39717</v>
          </cell>
          <cell r="C2193">
            <v>4108.75</v>
          </cell>
          <cell r="D2193">
            <v>4110.7</v>
          </cell>
          <cell r="E2193">
            <v>3970.35</v>
          </cell>
          <cell r="F2193">
            <v>3985.25</v>
          </cell>
        </row>
        <row r="2194">
          <cell r="B2194">
            <v>39720</v>
          </cell>
          <cell r="C2194">
            <v>3990.2</v>
          </cell>
          <cell r="D2194">
            <v>3997.55</v>
          </cell>
          <cell r="E2194">
            <v>3777.3</v>
          </cell>
          <cell r="F2194">
            <v>3850.05</v>
          </cell>
        </row>
        <row r="2195">
          <cell r="B2195">
            <v>39721</v>
          </cell>
          <cell r="C2195">
            <v>3848.7</v>
          </cell>
          <cell r="D2195">
            <v>3966.85</v>
          </cell>
          <cell r="E2195">
            <v>3715.05</v>
          </cell>
          <cell r="F2195">
            <v>3921.2</v>
          </cell>
        </row>
        <row r="2196">
          <cell r="B2196">
            <v>39722</v>
          </cell>
          <cell r="C2196">
            <v>3921.85</v>
          </cell>
          <cell r="D2196">
            <v>4000.5</v>
          </cell>
          <cell r="E2196">
            <v>3861.25</v>
          </cell>
          <cell r="F2196">
            <v>3950.75</v>
          </cell>
        </row>
        <row r="2197">
          <cell r="B2197">
            <v>39724</v>
          </cell>
          <cell r="C2197">
            <v>3953.55</v>
          </cell>
          <cell r="D2197">
            <v>3969.55</v>
          </cell>
          <cell r="E2197">
            <v>3804.85</v>
          </cell>
          <cell r="F2197">
            <v>3818.3</v>
          </cell>
        </row>
        <row r="2198">
          <cell r="B2198">
            <v>39727</v>
          </cell>
          <cell r="C2198">
            <v>3817.3</v>
          </cell>
          <cell r="D2198">
            <v>3820.85</v>
          </cell>
          <cell r="E2198">
            <v>3581.6</v>
          </cell>
          <cell r="F2198">
            <v>3602.35</v>
          </cell>
        </row>
        <row r="2199">
          <cell r="B2199">
            <v>39728</v>
          </cell>
          <cell r="C2199">
            <v>3606.95</v>
          </cell>
          <cell r="D2199">
            <v>3732.65</v>
          </cell>
          <cell r="E2199">
            <v>3537</v>
          </cell>
          <cell r="F2199">
            <v>3606.6</v>
          </cell>
        </row>
        <row r="2200">
          <cell r="B2200">
            <v>39729</v>
          </cell>
          <cell r="C2200">
            <v>3604.4</v>
          </cell>
          <cell r="D2200">
            <v>3604.4</v>
          </cell>
          <cell r="E2200">
            <v>3329.45</v>
          </cell>
          <cell r="F2200">
            <v>3513.65</v>
          </cell>
        </row>
        <row r="2201">
          <cell r="B2201">
            <v>39731</v>
          </cell>
          <cell r="C2201">
            <v>3502.05</v>
          </cell>
          <cell r="D2201">
            <v>3502.05</v>
          </cell>
          <cell r="E2201">
            <v>3198.95</v>
          </cell>
          <cell r="F2201">
            <v>3279.95</v>
          </cell>
        </row>
        <row r="2202">
          <cell r="B2202">
            <v>39734</v>
          </cell>
          <cell r="C2202">
            <v>3272.9</v>
          </cell>
          <cell r="D2202">
            <v>3510.2</v>
          </cell>
          <cell r="E2202">
            <v>3272.9</v>
          </cell>
          <cell r="F2202">
            <v>3490.7</v>
          </cell>
        </row>
        <row r="2203">
          <cell r="B2203">
            <v>39735</v>
          </cell>
          <cell r="C2203">
            <v>3494.1</v>
          </cell>
          <cell r="D2203">
            <v>3648.25</v>
          </cell>
          <cell r="E2203">
            <v>3491.5</v>
          </cell>
          <cell r="F2203">
            <v>3518.65</v>
          </cell>
        </row>
        <row r="2204">
          <cell r="B2204">
            <v>39736</v>
          </cell>
          <cell r="C2204">
            <v>3517.9</v>
          </cell>
          <cell r="D2204">
            <v>3518.5</v>
          </cell>
          <cell r="E2204">
            <v>3324.55</v>
          </cell>
          <cell r="F2204">
            <v>3338.4</v>
          </cell>
        </row>
        <row r="2205">
          <cell r="B2205">
            <v>39737</v>
          </cell>
          <cell r="C2205">
            <v>3333.85</v>
          </cell>
          <cell r="D2205">
            <v>3333.85</v>
          </cell>
          <cell r="E2205">
            <v>3099.9</v>
          </cell>
          <cell r="F2205">
            <v>3269.3</v>
          </cell>
        </row>
        <row r="2206">
          <cell r="B2206">
            <v>39738</v>
          </cell>
          <cell r="C2206">
            <v>3269.05</v>
          </cell>
          <cell r="D2206">
            <v>3335.95</v>
          </cell>
          <cell r="E2206">
            <v>3046.6</v>
          </cell>
          <cell r="F2206">
            <v>3074.35</v>
          </cell>
        </row>
        <row r="2207">
          <cell r="B2207">
            <v>39741</v>
          </cell>
          <cell r="C2207">
            <v>3108.2</v>
          </cell>
          <cell r="D2207">
            <v>3238.4</v>
          </cell>
          <cell r="E2207">
            <v>3058.95</v>
          </cell>
          <cell r="F2207">
            <v>3122.8</v>
          </cell>
        </row>
        <row r="2208">
          <cell r="B2208">
            <v>39742</v>
          </cell>
          <cell r="C2208">
            <v>3125.4</v>
          </cell>
          <cell r="D2208">
            <v>3254.85</v>
          </cell>
          <cell r="E2208">
            <v>3117.35</v>
          </cell>
          <cell r="F2208">
            <v>3234.9</v>
          </cell>
        </row>
        <row r="2209">
          <cell r="B2209">
            <v>39743</v>
          </cell>
          <cell r="C2209">
            <v>3234.7</v>
          </cell>
          <cell r="D2209">
            <v>3235.75</v>
          </cell>
          <cell r="E2209">
            <v>3051.8</v>
          </cell>
          <cell r="F2209">
            <v>3065.15</v>
          </cell>
        </row>
        <row r="2210">
          <cell r="B2210">
            <v>39744</v>
          </cell>
          <cell r="C2210">
            <v>3064.8</v>
          </cell>
          <cell r="D2210">
            <v>3085.1</v>
          </cell>
          <cell r="E2210">
            <v>2917.15</v>
          </cell>
          <cell r="F2210">
            <v>2943.15</v>
          </cell>
        </row>
        <row r="2211">
          <cell r="B2211">
            <v>39745</v>
          </cell>
          <cell r="C2211">
            <v>2936.25</v>
          </cell>
          <cell r="D2211">
            <v>2936.25</v>
          </cell>
          <cell r="E2211">
            <v>2525.0500000000002</v>
          </cell>
          <cell r="F2211">
            <v>2584</v>
          </cell>
        </row>
        <row r="2212">
          <cell r="B2212">
            <v>39748</v>
          </cell>
          <cell r="C2212">
            <v>2583.75</v>
          </cell>
          <cell r="D2212">
            <v>2585.3000000000002</v>
          </cell>
          <cell r="E2212">
            <v>2252.75</v>
          </cell>
          <cell r="F2212">
            <v>2524.1999999999998</v>
          </cell>
        </row>
        <row r="2213">
          <cell r="B2213">
            <v>39749</v>
          </cell>
          <cell r="C2213">
            <v>2526.1999999999998</v>
          </cell>
          <cell r="D2213">
            <v>2695.95</v>
          </cell>
          <cell r="E2213">
            <v>2526.1999999999998</v>
          </cell>
          <cell r="F2213">
            <v>2684.6</v>
          </cell>
        </row>
        <row r="2214">
          <cell r="B2214">
            <v>39750</v>
          </cell>
          <cell r="C2214">
            <v>2685.3</v>
          </cell>
          <cell r="D2214">
            <v>2781.25</v>
          </cell>
          <cell r="E2214">
            <v>2631.9</v>
          </cell>
          <cell r="F2214">
            <v>2697.05</v>
          </cell>
        </row>
        <row r="2215">
          <cell r="B2215">
            <v>39752</v>
          </cell>
          <cell r="C2215">
            <v>2696.3</v>
          </cell>
          <cell r="D2215">
            <v>2921.35</v>
          </cell>
          <cell r="E2215">
            <v>2696.3</v>
          </cell>
          <cell r="F2215">
            <v>2885.6</v>
          </cell>
        </row>
        <row r="2216">
          <cell r="B2216">
            <v>39755</v>
          </cell>
          <cell r="C2216">
            <v>2885.4</v>
          </cell>
          <cell r="D2216">
            <v>3062.05</v>
          </cell>
          <cell r="E2216">
            <v>2885.4</v>
          </cell>
          <cell r="F2216">
            <v>3043.85</v>
          </cell>
        </row>
        <row r="2217">
          <cell r="B2217">
            <v>39756</v>
          </cell>
          <cell r="C2217">
            <v>3050.25</v>
          </cell>
          <cell r="D2217">
            <v>3152.3</v>
          </cell>
          <cell r="E2217">
            <v>2985</v>
          </cell>
          <cell r="F2217">
            <v>3142.1</v>
          </cell>
        </row>
        <row r="2218">
          <cell r="B2218">
            <v>39757</v>
          </cell>
          <cell r="C2218">
            <v>3155.75</v>
          </cell>
          <cell r="D2218">
            <v>3240.55</v>
          </cell>
          <cell r="E2218">
            <v>2971</v>
          </cell>
          <cell r="F2218">
            <v>2994.95</v>
          </cell>
        </row>
        <row r="2219">
          <cell r="B2219">
            <v>39758</v>
          </cell>
          <cell r="C2219">
            <v>2998.45</v>
          </cell>
          <cell r="D2219">
            <v>3007.8</v>
          </cell>
          <cell r="E2219">
            <v>2860.25</v>
          </cell>
          <cell r="F2219">
            <v>2892.65</v>
          </cell>
        </row>
        <row r="2220">
          <cell r="B2220">
            <v>39759</v>
          </cell>
          <cell r="C2220">
            <v>2893.25</v>
          </cell>
          <cell r="D2220">
            <v>3010</v>
          </cell>
          <cell r="E2220">
            <v>2860.1</v>
          </cell>
          <cell r="F2220">
            <v>2973</v>
          </cell>
        </row>
        <row r="2221">
          <cell r="B2221">
            <v>39762</v>
          </cell>
          <cell r="C2221">
            <v>2973.3</v>
          </cell>
          <cell r="D2221">
            <v>3161.25</v>
          </cell>
          <cell r="E2221">
            <v>2973.3</v>
          </cell>
          <cell r="F2221">
            <v>3148.25</v>
          </cell>
        </row>
        <row r="2222">
          <cell r="B2222">
            <v>39763</v>
          </cell>
          <cell r="C2222">
            <v>3147.2</v>
          </cell>
          <cell r="D2222">
            <v>3147.2</v>
          </cell>
          <cell r="E2222">
            <v>2919.45</v>
          </cell>
          <cell r="F2222">
            <v>2938.65</v>
          </cell>
        </row>
        <row r="2223">
          <cell r="B2223">
            <v>39764</v>
          </cell>
          <cell r="C2223">
            <v>2937.9</v>
          </cell>
          <cell r="D2223">
            <v>2975.2</v>
          </cell>
          <cell r="E2223">
            <v>2794.95</v>
          </cell>
          <cell r="F2223">
            <v>2848.45</v>
          </cell>
        </row>
        <row r="2224">
          <cell r="B2224">
            <v>39766</v>
          </cell>
          <cell r="C2224">
            <v>2848</v>
          </cell>
          <cell r="D2224">
            <v>2938.8</v>
          </cell>
          <cell r="E2224">
            <v>2778.8</v>
          </cell>
          <cell r="F2224">
            <v>2810.35</v>
          </cell>
        </row>
        <row r="2225">
          <cell r="B2225">
            <v>39769</v>
          </cell>
          <cell r="C2225">
            <v>2813.4</v>
          </cell>
          <cell r="D2225">
            <v>2835.7</v>
          </cell>
          <cell r="E2225">
            <v>2694.5</v>
          </cell>
          <cell r="F2225">
            <v>2799.55</v>
          </cell>
        </row>
        <row r="2226">
          <cell r="B2226">
            <v>39770</v>
          </cell>
          <cell r="C2226">
            <v>2802.45</v>
          </cell>
          <cell r="D2226">
            <v>2802.45</v>
          </cell>
          <cell r="E2226">
            <v>2664.3</v>
          </cell>
          <cell r="F2226">
            <v>2683.15</v>
          </cell>
        </row>
        <row r="2227">
          <cell r="B2227">
            <v>39771</v>
          </cell>
          <cell r="C2227">
            <v>2682.75</v>
          </cell>
          <cell r="D2227">
            <v>2772.4</v>
          </cell>
          <cell r="E2227">
            <v>2617.9</v>
          </cell>
          <cell r="F2227">
            <v>2635</v>
          </cell>
        </row>
        <row r="2228">
          <cell r="B2228">
            <v>39772</v>
          </cell>
          <cell r="C2228">
            <v>2634.2</v>
          </cell>
          <cell r="D2228">
            <v>2634.2</v>
          </cell>
          <cell r="E2228">
            <v>2502.9</v>
          </cell>
          <cell r="F2228">
            <v>2553.15</v>
          </cell>
        </row>
        <row r="2229">
          <cell r="B2229">
            <v>39773</v>
          </cell>
          <cell r="C2229">
            <v>2553.6</v>
          </cell>
          <cell r="D2229">
            <v>2718.6</v>
          </cell>
          <cell r="E2229">
            <v>2539.8000000000002</v>
          </cell>
          <cell r="F2229">
            <v>2693.45</v>
          </cell>
        </row>
        <row r="2230">
          <cell r="B2230">
            <v>39776</v>
          </cell>
          <cell r="C2230">
            <v>2690.85</v>
          </cell>
          <cell r="D2230">
            <v>2740.35</v>
          </cell>
          <cell r="E2230">
            <v>2633.8</v>
          </cell>
          <cell r="F2230">
            <v>2708.25</v>
          </cell>
        </row>
        <row r="2231">
          <cell r="B2231">
            <v>39777</v>
          </cell>
          <cell r="C2231">
            <v>2708.3</v>
          </cell>
          <cell r="D2231">
            <v>2790.7</v>
          </cell>
          <cell r="E2231">
            <v>2638.2</v>
          </cell>
          <cell r="F2231">
            <v>2654</v>
          </cell>
        </row>
        <row r="2232">
          <cell r="B2232">
            <v>39778</v>
          </cell>
          <cell r="C2232">
            <v>2652.45</v>
          </cell>
          <cell r="D2232">
            <v>2762.6</v>
          </cell>
          <cell r="E2232">
            <v>2643.35</v>
          </cell>
          <cell r="F2232">
            <v>2752.25</v>
          </cell>
        </row>
        <row r="2233">
          <cell r="B2233">
            <v>39780</v>
          </cell>
          <cell r="C2233">
            <v>2745.7</v>
          </cell>
          <cell r="D2233">
            <v>2779</v>
          </cell>
          <cell r="E2233">
            <v>2690.3</v>
          </cell>
          <cell r="F2233">
            <v>2755.1</v>
          </cell>
        </row>
        <row r="2234">
          <cell r="B2234">
            <v>39783</v>
          </cell>
          <cell r="C2234">
            <v>2755.15</v>
          </cell>
          <cell r="D2234">
            <v>2832.85</v>
          </cell>
          <cell r="E2234">
            <v>2669.5</v>
          </cell>
          <cell r="F2234">
            <v>2682.9</v>
          </cell>
        </row>
        <row r="2235">
          <cell r="B2235">
            <v>39784</v>
          </cell>
          <cell r="C2235">
            <v>2672.9</v>
          </cell>
          <cell r="D2235">
            <v>2672.9</v>
          </cell>
          <cell r="E2235">
            <v>2570.6999999999998</v>
          </cell>
          <cell r="F2235">
            <v>2657.8</v>
          </cell>
        </row>
        <row r="2236">
          <cell r="B2236">
            <v>39785</v>
          </cell>
          <cell r="C2236">
            <v>2657.5</v>
          </cell>
          <cell r="D2236">
            <v>2693.65</v>
          </cell>
          <cell r="E2236">
            <v>2611.9499999999998</v>
          </cell>
          <cell r="F2236">
            <v>2656.45</v>
          </cell>
        </row>
        <row r="2237">
          <cell r="B2237">
            <v>39786</v>
          </cell>
          <cell r="C2237">
            <v>2656.5</v>
          </cell>
          <cell r="D2237">
            <v>2793.8</v>
          </cell>
          <cell r="E2237">
            <v>2646.35</v>
          </cell>
          <cell r="F2237">
            <v>2788</v>
          </cell>
        </row>
        <row r="2238">
          <cell r="B2238">
            <v>39787</v>
          </cell>
          <cell r="C2238">
            <v>2786.65</v>
          </cell>
          <cell r="D2238">
            <v>2821.15</v>
          </cell>
          <cell r="E2238">
            <v>2701.35</v>
          </cell>
          <cell r="F2238">
            <v>2714.4</v>
          </cell>
        </row>
        <row r="2239">
          <cell r="B2239">
            <v>39790</v>
          </cell>
          <cell r="C2239">
            <v>2714.7</v>
          </cell>
          <cell r="D2239">
            <v>2861.55</v>
          </cell>
          <cell r="E2239">
            <v>2714.7</v>
          </cell>
          <cell r="F2239">
            <v>2784</v>
          </cell>
        </row>
        <row r="2240">
          <cell r="B2240">
            <v>39792</v>
          </cell>
          <cell r="C2240">
            <v>2785.7</v>
          </cell>
          <cell r="D2240">
            <v>2940.15</v>
          </cell>
          <cell r="E2240">
            <v>2785.7</v>
          </cell>
          <cell r="F2240">
            <v>2928.25</v>
          </cell>
        </row>
        <row r="2241">
          <cell r="B2241">
            <v>39793</v>
          </cell>
          <cell r="C2241">
            <v>2934.05</v>
          </cell>
          <cell r="D2241">
            <v>2945.3</v>
          </cell>
          <cell r="E2241">
            <v>2861.55</v>
          </cell>
          <cell r="F2241">
            <v>2920.15</v>
          </cell>
        </row>
        <row r="2242">
          <cell r="B2242">
            <v>39794</v>
          </cell>
          <cell r="C2242">
            <v>2915.35</v>
          </cell>
          <cell r="D2242">
            <v>2936.8</v>
          </cell>
          <cell r="E2242">
            <v>2812.55</v>
          </cell>
          <cell r="F2242">
            <v>2921.35</v>
          </cell>
        </row>
        <row r="2243">
          <cell r="B2243">
            <v>39797</v>
          </cell>
          <cell r="C2243">
            <v>2917.9</v>
          </cell>
          <cell r="D2243">
            <v>3012.1</v>
          </cell>
          <cell r="E2243">
            <v>2917.9</v>
          </cell>
          <cell r="F2243">
            <v>2981.2</v>
          </cell>
        </row>
        <row r="2244">
          <cell r="B2244">
            <v>39798</v>
          </cell>
          <cell r="C2244">
            <v>2983.6</v>
          </cell>
          <cell r="D2244">
            <v>3052.55</v>
          </cell>
          <cell r="E2244">
            <v>2963.3</v>
          </cell>
          <cell r="F2244">
            <v>3041.75</v>
          </cell>
        </row>
        <row r="2245">
          <cell r="B2245">
            <v>39799</v>
          </cell>
          <cell r="C2245">
            <v>3040.45</v>
          </cell>
          <cell r="D2245">
            <v>3076.2</v>
          </cell>
          <cell r="E2245">
            <v>2943.5</v>
          </cell>
          <cell r="F2245">
            <v>2954.35</v>
          </cell>
        </row>
        <row r="2246">
          <cell r="B2246">
            <v>39800</v>
          </cell>
          <cell r="C2246">
            <v>2955.35</v>
          </cell>
          <cell r="D2246">
            <v>3072.55</v>
          </cell>
          <cell r="E2246">
            <v>2922.65</v>
          </cell>
          <cell r="F2246">
            <v>3060.75</v>
          </cell>
        </row>
        <row r="2247">
          <cell r="B2247">
            <v>39801</v>
          </cell>
          <cell r="C2247">
            <v>3063</v>
          </cell>
          <cell r="D2247">
            <v>3106.8</v>
          </cell>
          <cell r="E2247">
            <v>3036.3</v>
          </cell>
          <cell r="F2247">
            <v>3077.5</v>
          </cell>
        </row>
        <row r="2248">
          <cell r="B2248">
            <v>39804</v>
          </cell>
          <cell r="C2248">
            <v>3077.25</v>
          </cell>
          <cell r="D2248">
            <v>3110.45</v>
          </cell>
          <cell r="E2248">
            <v>3027.8</v>
          </cell>
          <cell r="F2248">
            <v>3039.3</v>
          </cell>
        </row>
        <row r="2249">
          <cell r="B2249">
            <v>39805</v>
          </cell>
          <cell r="C2249">
            <v>3039.25</v>
          </cell>
          <cell r="D2249">
            <v>3040</v>
          </cell>
          <cell r="E2249">
            <v>2957.05</v>
          </cell>
          <cell r="F2249">
            <v>2968.65</v>
          </cell>
        </row>
        <row r="2250">
          <cell r="B2250">
            <v>39806</v>
          </cell>
          <cell r="C2250">
            <v>2967.4</v>
          </cell>
          <cell r="D2250">
            <v>2968</v>
          </cell>
          <cell r="E2250">
            <v>2900.45</v>
          </cell>
          <cell r="F2250">
            <v>2916.85</v>
          </cell>
        </row>
        <row r="2251">
          <cell r="B2251">
            <v>39808</v>
          </cell>
          <cell r="C2251">
            <v>2919.85</v>
          </cell>
          <cell r="D2251">
            <v>2960.95</v>
          </cell>
          <cell r="E2251">
            <v>2844.8</v>
          </cell>
          <cell r="F2251">
            <v>2857.25</v>
          </cell>
        </row>
        <row r="2252">
          <cell r="B2252">
            <v>39811</v>
          </cell>
          <cell r="C2252">
            <v>2857.15</v>
          </cell>
          <cell r="D2252">
            <v>2931.8</v>
          </cell>
          <cell r="E2252">
            <v>2812.9</v>
          </cell>
          <cell r="F2252">
            <v>2922.2</v>
          </cell>
        </row>
        <row r="2253">
          <cell r="B2253">
            <v>39812</v>
          </cell>
          <cell r="C2253">
            <v>2922.55</v>
          </cell>
          <cell r="D2253">
            <v>2999.15</v>
          </cell>
          <cell r="E2253">
            <v>2899.75</v>
          </cell>
          <cell r="F2253">
            <v>2979.5</v>
          </cell>
        </row>
        <row r="2254">
          <cell r="B2254">
            <v>39813</v>
          </cell>
          <cell r="C2254">
            <v>2979.8</v>
          </cell>
          <cell r="D2254">
            <v>3002.65</v>
          </cell>
          <cell r="E2254">
            <v>2937.35</v>
          </cell>
          <cell r="F2254">
            <v>2959.15</v>
          </cell>
        </row>
        <row r="2255">
          <cell r="B2255">
            <v>39814</v>
          </cell>
          <cell r="C2255">
            <v>2963.3</v>
          </cell>
          <cell r="D2255">
            <v>3039.25</v>
          </cell>
          <cell r="E2255">
            <v>2963.3</v>
          </cell>
          <cell r="F2255">
            <v>3033.45</v>
          </cell>
        </row>
        <row r="2256">
          <cell r="B2256">
            <v>39815</v>
          </cell>
          <cell r="C2256">
            <v>3034.6</v>
          </cell>
          <cell r="D2256">
            <v>3079.85</v>
          </cell>
          <cell r="E2256">
            <v>3021.8</v>
          </cell>
          <cell r="F2256">
            <v>3046.75</v>
          </cell>
        </row>
        <row r="2257">
          <cell r="B2257">
            <v>39818</v>
          </cell>
          <cell r="C2257">
            <v>3058.75</v>
          </cell>
          <cell r="D2257">
            <v>3131.95</v>
          </cell>
          <cell r="E2257">
            <v>3056.45</v>
          </cell>
          <cell r="F2257">
            <v>3121.45</v>
          </cell>
        </row>
        <row r="2258">
          <cell r="B2258">
            <v>39819</v>
          </cell>
          <cell r="C2258">
            <v>3121.5</v>
          </cell>
          <cell r="D2258">
            <v>3141.8</v>
          </cell>
          <cell r="E2258">
            <v>3056.1</v>
          </cell>
          <cell r="F2258">
            <v>3112.8</v>
          </cell>
        </row>
        <row r="2259">
          <cell r="B2259">
            <v>39820</v>
          </cell>
          <cell r="C2259">
            <v>3112.8</v>
          </cell>
          <cell r="D2259">
            <v>3147.2</v>
          </cell>
          <cell r="E2259">
            <v>2888.2</v>
          </cell>
          <cell r="F2259">
            <v>2920.4</v>
          </cell>
        </row>
        <row r="2260">
          <cell r="B2260">
            <v>39822</v>
          </cell>
          <cell r="C2260">
            <v>2919.95</v>
          </cell>
          <cell r="D2260">
            <v>2929.85</v>
          </cell>
          <cell r="E2260">
            <v>2810.25</v>
          </cell>
          <cell r="F2260">
            <v>2873</v>
          </cell>
        </row>
        <row r="2261">
          <cell r="B2261">
            <v>39825</v>
          </cell>
          <cell r="C2261">
            <v>2868.85</v>
          </cell>
          <cell r="D2261">
            <v>2869.2</v>
          </cell>
          <cell r="E2261">
            <v>2748.55</v>
          </cell>
          <cell r="F2261">
            <v>2773.1</v>
          </cell>
        </row>
        <row r="2262">
          <cell r="B2262">
            <v>39826</v>
          </cell>
          <cell r="C2262">
            <v>2775</v>
          </cell>
          <cell r="D2262">
            <v>2802.6</v>
          </cell>
          <cell r="E2262">
            <v>2720.8</v>
          </cell>
          <cell r="F2262">
            <v>2744.95</v>
          </cell>
        </row>
        <row r="2263">
          <cell r="B2263">
            <v>39827</v>
          </cell>
          <cell r="C2263">
            <v>2748.4</v>
          </cell>
          <cell r="D2263">
            <v>2853.25</v>
          </cell>
          <cell r="E2263">
            <v>2748.4</v>
          </cell>
          <cell r="F2263">
            <v>2835.3</v>
          </cell>
        </row>
        <row r="2264">
          <cell r="B2264">
            <v>39828</v>
          </cell>
          <cell r="C2264">
            <v>2832.3</v>
          </cell>
          <cell r="D2264">
            <v>2832.3</v>
          </cell>
          <cell r="E2264">
            <v>2701.75</v>
          </cell>
          <cell r="F2264">
            <v>2736.7</v>
          </cell>
        </row>
        <row r="2265">
          <cell r="B2265">
            <v>39829</v>
          </cell>
          <cell r="C2265">
            <v>2737</v>
          </cell>
          <cell r="D2265">
            <v>2835.65</v>
          </cell>
          <cell r="E2265">
            <v>2724.2</v>
          </cell>
          <cell r="F2265">
            <v>2828.45</v>
          </cell>
        </row>
        <row r="2266">
          <cell r="B2266">
            <v>39832</v>
          </cell>
          <cell r="C2266">
            <v>2828.7</v>
          </cell>
          <cell r="D2266">
            <v>2868.2</v>
          </cell>
          <cell r="E2266">
            <v>2819.9</v>
          </cell>
          <cell r="F2266">
            <v>2846.2</v>
          </cell>
        </row>
        <row r="2267">
          <cell r="B2267">
            <v>39833</v>
          </cell>
          <cell r="C2267">
            <v>2842.9</v>
          </cell>
          <cell r="D2267">
            <v>2842.9</v>
          </cell>
          <cell r="E2267">
            <v>2758</v>
          </cell>
          <cell r="F2267">
            <v>2796.6</v>
          </cell>
        </row>
        <row r="2268">
          <cell r="B2268">
            <v>39834</v>
          </cell>
          <cell r="C2268">
            <v>2777.4</v>
          </cell>
          <cell r="D2268">
            <v>2787.3</v>
          </cell>
          <cell r="E2268">
            <v>2690.2</v>
          </cell>
          <cell r="F2268">
            <v>2706.15</v>
          </cell>
        </row>
        <row r="2269">
          <cell r="B2269">
            <v>39835</v>
          </cell>
          <cell r="C2269">
            <v>2714.7</v>
          </cell>
          <cell r="D2269">
            <v>2744.85</v>
          </cell>
          <cell r="E2269">
            <v>2681.4</v>
          </cell>
          <cell r="F2269">
            <v>2713.8</v>
          </cell>
        </row>
        <row r="2270">
          <cell r="B2270">
            <v>39836</v>
          </cell>
          <cell r="C2270">
            <v>2705.45</v>
          </cell>
          <cell r="D2270">
            <v>2765.55</v>
          </cell>
          <cell r="E2270">
            <v>2661.65</v>
          </cell>
          <cell r="F2270">
            <v>2678.55</v>
          </cell>
        </row>
        <row r="2271">
          <cell r="B2271">
            <v>39840</v>
          </cell>
          <cell r="C2271">
            <v>2686.05</v>
          </cell>
          <cell r="D2271">
            <v>2777.3</v>
          </cell>
          <cell r="E2271">
            <v>2685.25</v>
          </cell>
          <cell r="F2271">
            <v>2771.35</v>
          </cell>
        </row>
        <row r="2272">
          <cell r="B2272">
            <v>39841</v>
          </cell>
          <cell r="C2272">
            <v>2771.1</v>
          </cell>
          <cell r="D2272">
            <v>2855.4</v>
          </cell>
          <cell r="E2272">
            <v>2765.6</v>
          </cell>
          <cell r="F2272">
            <v>2849.5</v>
          </cell>
        </row>
        <row r="2273">
          <cell r="B2273">
            <v>39842</v>
          </cell>
          <cell r="C2273">
            <v>2849.35</v>
          </cell>
          <cell r="D2273">
            <v>2873.85</v>
          </cell>
          <cell r="E2273">
            <v>2795.35</v>
          </cell>
          <cell r="F2273">
            <v>2823.95</v>
          </cell>
        </row>
        <row r="2274">
          <cell r="B2274">
            <v>39843</v>
          </cell>
          <cell r="C2274">
            <v>2824.05</v>
          </cell>
          <cell r="D2274">
            <v>2881</v>
          </cell>
          <cell r="E2274">
            <v>2774.1</v>
          </cell>
          <cell r="F2274">
            <v>2874.8</v>
          </cell>
        </row>
        <row r="2275">
          <cell r="B2275">
            <v>39846</v>
          </cell>
          <cell r="C2275">
            <v>2872.35</v>
          </cell>
          <cell r="D2275">
            <v>2873.45</v>
          </cell>
          <cell r="E2275">
            <v>2760.7</v>
          </cell>
          <cell r="F2275">
            <v>2766.65</v>
          </cell>
        </row>
        <row r="2276">
          <cell r="B2276">
            <v>39847</v>
          </cell>
          <cell r="C2276">
            <v>2773.5</v>
          </cell>
          <cell r="D2276">
            <v>2831.7</v>
          </cell>
          <cell r="E2276">
            <v>2752.9</v>
          </cell>
          <cell r="F2276">
            <v>2783.9</v>
          </cell>
        </row>
        <row r="2277">
          <cell r="B2277">
            <v>39848</v>
          </cell>
          <cell r="C2277">
            <v>2780.7</v>
          </cell>
          <cell r="D2277">
            <v>2842.2</v>
          </cell>
          <cell r="E2277">
            <v>2780.7</v>
          </cell>
          <cell r="F2277">
            <v>2803.05</v>
          </cell>
        </row>
        <row r="2278">
          <cell r="B2278">
            <v>39849</v>
          </cell>
          <cell r="C2278">
            <v>2802.75</v>
          </cell>
          <cell r="D2278">
            <v>2816.8</v>
          </cell>
          <cell r="E2278">
            <v>2754.85</v>
          </cell>
          <cell r="F2278">
            <v>2780.05</v>
          </cell>
        </row>
        <row r="2279">
          <cell r="B2279">
            <v>39850</v>
          </cell>
          <cell r="C2279">
            <v>2779.35</v>
          </cell>
          <cell r="D2279">
            <v>2852.5</v>
          </cell>
          <cell r="E2279">
            <v>2778.65</v>
          </cell>
          <cell r="F2279">
            <v>2843.1</v>
          </cell>
        </row>
        <row r="2280">
          <cell r="B2280">
            <v>39853</v>
          </cell>
          <cell r="C2280">
            <v>2843.05</v>
          </cell>
          <cell r="D2280">
            <v>2926.75</v>
          </cell>
          <cell r="E2280">
            <v>2840.15</v>
          </cell>
          <cell r="F2280">
            <v>2919.9</v>
          </cell>
        </row>
        <row r="2281">
          <cell r="B2281">
            <v>39854</v>
          </cell>
          <cell r="C2281">
            <v>2919.7</v>
          </cell>
          <cell r="D2281">
            <v>2957.4</v>
          </cell>
          <cell r="E2281">
            <v>2891.75</v>
          </cell>
          <cell r="F2281">
            <v>2934.5</v>
          </cell>
        </row>
        <row r="2282">
          <cell r="B2282">
            <v>39855</v>
          </cell>
          <cell r="C2282">
            <v>2933</v>
          </cell>
          <cell r="D2282">
            <v>2937.5</v>
          </cell>
          <cell r="E2282">
            <v>2877.6</v>
          </cell>
          <cell r="F2282">
            <v>2925.7</v>
          </cell>
        </row>
        <row r="2283">
          <cell r="B2283">
            <v>39856</v>
          </cell>
          <cell r="C2283">
            <v>2927.4</v>
          </cell>
          <cell r="D2283">
            <v>2939</v>
          </cell>
          <cell r="E2283">
            <v>2886.55</v>
          </cell>
          <cell r="F2283">
            <v>2893.05</v>
          </cell>
        </row>
        <row r="2284">
          <cell r="B2284">
            <v>39857</v>
          </cell>
          <cell r="C2284">
            <v>2896.95</v>
          </cell>
          <cell r="D2284">
            <v>2969.75</v>
          </cell>
          <cell r="E2284">
            <v>2896.85</v>
          </cell>
          <cell r="F2284">
            <v>2948.35</v>
          </cell>
        </row>
        <row r="2285">
          <cell r="B2285">
            <v>39860</v>
          </cell>
          <cell r="C2285">
            <v>2948.25</v>
          </cell>
          <cell r="D2285">
            <v>2953.2</v>
          </cell>
          <cell r="E2285">
            <v>2839.1</v>
          </cell>
          <cell r="F2285">
            <v>2848.5</v>
          </cell>
        </row>
        <row r="2286">
          <cell r="B2286">
            <v>39861</v>
          </cell>
          <cell r="C2286">
            <v>2853.85</v>
          </cell>
          <cell r="D2286">
            <v>2854.65</v>
          </cell>
          <cell r="E2286">
            <v>2757.3</v>
          </cell>
          <cell r="F2286">
            <v>2770.5</v>
          </cell>
        </row>
        <row r="2287">
          <cell r="B2287">
            <v>39862</v>
          </cell>
          <cell r="C2287">
            <v>2755.15</v>
          </cell>
          <cell r="D2287">
            <v>2806.5</v>
          </cell>
          <cell r="E2287">
            <v>2736.65</v>
          </cell>
          <cell r="F2287">
            <v>2776.15</v>
          </cell>
        </row>
        <row r="2288">
          <cell r="B2288">
            <v>39863</v>
          </cell>
          <cell r="C2288">
            <v>2776.7</v>
          </cell>
          <cell r="D2288">
            <v>2802.15</v>
          </cell>
          <cell r="E2288">
            <v>2767.6</v>
          </cell>
          <cell r="F2288">
            <v>2789.35</v>
          </cell>
        </row>
        <row r="2289">
          <cell r="B2289">
            <v>39864</v>
          </cell>
          <cell r="C2289">
            <v>2789.3</v>
          </cell>
          <cell r="D2289">
            <v>2789.3</v>
          </cell>
          <cell r="E2289">
            <v>2709.3</v>
          </cell>
          <cell r="F2289">
            <v>2736.45</v>
          </cell>
        </row>
        <row r="2290">
          <cell r="B2290">
            <v>39868</v>
          </cell>
          <cell r="C2290">
            <v>2737.25</v>
          </cell>
          <cell r="D2290">
            <v>2746.2</v>
          </cell>
          <cell r="E2290">
            <v>2677.55</v>
          </cell>
          <cell r="F2290">
            <v>2733.9</v>
          </cell>
        </row>
        <row r="2291">
          <cell r="B2291">
            <v>39869</v>
          </cell>
          <cell r="C2291">
            <v>2733.45</v>
          </cell>
          <cell r="D2291">
            <v>2789.35</v>
          </cell>
          <cell r="E2291">
            <v>2733.45</v>
          </cell>
          <cell r="F2291">
            <v>2762.5</v>
          </cell>
        </row>
        <row r="2292">
          <cell r="B2292">
            <v>39870</v>
          </cell>
          <cell r="C2292">
            <v>2762.2</v>
          </cell>
          <cell r="D2292">
            <v>2797.8</v>
          </cell>
          <cell r="E2292">
            <v>2731.9</v>
          </cell>
          <cell r="F2292">
            <v>2785.65</v>
          </cell>
        </row>
        <row r="2293">
          <cell r="B2293">
            <v>39871</v>
          </cell>
          <cell r="C2293">
            <v>2785.7</v>
          </cell>
          <cell r="D2293">
            <v>2787.2</v>
          </cell>
          <cell r="E2293">
            <v>2708.45</v>
          </cell>
          <cell r="F2293">
            <v>2763.65</v>
          </cell>
        </row>
        <row r="2294">
          <cell r="B2294">
            <v>39874</v>
          </cell>
          <cell r="C2294">
            <v>2764.6</v>
          </cell>
          <cell r="D2294">
            <v>2764.6</v>
          </cell>
          <cell r="E2294">
            <v>2659.55</v>
          </cell>
          <cell r="F2294">
            <v>2674.6</v>
          </cell>
        </row>
        <row r="2295">
          <cell r="B2295">
            <v>39875</v>
          </cell>
          <cell r="C2295">
            <v>2672.15</v>
          </cell>
          <cell r="D2295">
            <v>2688.5</v>
          </cell>
          <cell r="E2295">
            <v>2611.5500000000002</v>
          </cell>
          <cell r="F2295">
            <v>2622.4</v>
          </cell>
        </row>
        <row r="2296">
          <cell r="B2296">
            <v>39876</v>
          </cell>
          <cell r="C2296">
            <v>2611.9499999999998</v>
          </cell>
          <cell r="D2296">
            <v>2655.7</v>
          </cell>
          <cell r="E2296">
            <v>2611.9499999999998</v>
          </cell>
          <cell r="F2296">
            <v>2645.2</v>
          </cell>
        </row>
        <row r="2297">
          <cell r="B2297">
            <v>39877</v>
          </cell>
          <cell r="C2297">
            <v>2645.9</v>
          </cell>
          <cell r="D2297">
            <v>2663.9</v>
          </cell>
          <cell r="E2297">
            <v>2564.1</v>
          </cell>
          <cell r="F2297">
            <v>2576.6999999999998</v>
          </cell>
        </row>
        <row r="2298">
          <cell r="B2298">
            <v>39878</v>
          </cell>
          <cell r="C2298">
            <v>2576.75</v>
          </cell>
          <cell r="D2298">
            <v>2628.1</v>
          </cell>
          <cell r="E2298">
            <v>2539.4499999999998</v>
          </cell>
          <cell r="F2298">
            <v>2620.15</v>
          </cell>
        </row>
        <row r="2299">
          <cell r="B2299">
            <v>39881</v>
          </cell>
          <cell r="C2299">
            <v>2620.1</v>
          </cell>
          <cell r="D2299">
            <v>2621.25</v>
          </cell>
          <cell r="E2299">
            <v>2555.6</v>
          </cell>
          <cell r="F2299">
            <v>2573.15</v>
          </cell>
        </row>
        <row r="2300">
          <cell r="B2300">
            <v>39884</v>
          </cell>
          <cell r="C2300">
            <v>2574.5</v>
          </cell>
          <cell r="D2300">
            <v>2646.1</v>
          </cell>
          <cell r="E2300">
            <v>2574.5</v>
          </cell>
          <cell r="F2300">
            <v>2617.4499999999998</v>
          </cell>
        </row>
        <row r="2301">
          <cell r="B2301">
            <v>39885</v>
          </cell>
          <cell r="C2301">
            <v>2616.6</v>
          </cell>
          <cell r="D2301">
            <v>2726.15</v>
          </cell>
          <cell r="E2301">
            <v>2616.6</v>
          </cell>
          <cell r="F2301">
            <v>2719.25</v>
          </cell>
        </row>
        <row r="2302">
          <cell r="B2302">
            <v>39888</v>
          </cell>
          <cell r="C2302">
            <v>2716.05</v>
          </cell>
          <cell r="D2302">
            <v>2781.95</v>
          </cell>
          <cell r="E2302">
            <v>2701.95</v>
          </cell>
          <cell r="F2302">
            <v>2777.25</v>
          </cell>
        </row>
        <row r="2303">
          <cell r="B2303">
            <v>39889</v>
          </cell>
          <cell r="C2303">
            <v>2776.35</v>
          </cell>
          <cell r="D2303">
            <v>2805.6</v>
          </cell>
          <cell r="E2303">
            <v>2738.7</v>
          </cell>
          <cell r="F2303">
            <v>2757.45</v>
          </cell>
        </row>
        <row r="2304">
          <cell r="B2304">
            <v>39890</v>
          </cell>
          <cell r="C2304">
            <v>2757.65</v>
          </cell>
          <cell r="D2304">
            <v>2836.05</v>
          </cell>
          <cell r="E2304">
            <v>2752.25</v>
          </cell>
          <cell r="F2304">
            <v>2794.7</v>
          </cell>
        </row>
        <row r="2305">
          <cell r="B2305">
            <v>39891</v>
          </cell>
          <cell r="C2305">
            <v>2797.05</v>
          </cell>
          <cell r="D2305">
            <v>2822.25</v>
          </cell>
          <cell r="E2305">
            <v>2771.35</v>
          </cell>
          <cell r="F2305">
            <v>2807.15</v>
          </cell>
        </row>
        <row r="2306">
          <cell r="B2306">
            <v>39892</v>
          </cell>
          <cell r="C2306">
            <v>2807.35</v>
          </cell>
          <cell r="D2306">
            <v>2816.1</v>
          </cell>
          <cell r="E2306">
            <v>2773.65</v>
          </cell>
          <cell r="F2306">
            <v>2807.05</v>
          </cell>
        </row>
        <row r="2307">
          <cell r="B2307">
            <v>39895</v>
          </cell>
          <cell r="C2307">
            <v>2807.25</v>
          </cell>
          <cell r="D2307">
            <v>2949.75</v>
          </cell>
          <cell r="E2307">
            <v>2807.25</v>
          </cell>
          <cell r="F2307">
            <v>2939.9</v>
          </cell>
        </row>
        <row r="2308">
          <cell r="B2308">
            <v>39896</v>
          </cell>
          <cell r="C2308">
            <v>2923.8</v>
          </cell>
          <cell r="D2308">
            <v>3017.4</v>
          </cell>
          <cell r="E2308">
            <v>2914.5</v>
          </cell>
          <cell r="F2308">
            <v>2938.7</v>
          </cell>
        </row>
        <row r="2309">
          <cell r="B2309">
            <v>39897</v>
          </cell>
          <cell r="C2309">
            <v>2938.8</v>
          </cell>
          <cell r="D2309">
            <v>2996.5</v>
          </cell>
          <cell r="E2309">
            <v>2923.3</v>
          </cell>
          <cell r="F2309">
            <v>2984.35</v>
          </cell>
        </row>
        <row r="2310">
          <cell r="B2310">
            <v>39898</v>
          </cell>
          <cell r="C2310">
            <v>2982.25</v>
          </cell>
          <cell r="D2310">
            <v>3103.35</v>
          </cell>
          <cell r="E2310">
            <v>2982.25</v>
          </cell>
          <cell r="F2310">
            <v>3082.25</v>
          </cell>
        </row>
        <row r="2311">
          <cell r="B2311">
            <v>39899</v>
          </cell>
          <cell r="C2311">
            <v>3079.4</v>
          </cell>
          <cell r="D2311">
            <v>3123.35</v>
          </cell>
          <cell r="E2311">
            <v>3055.9</v>
          </cell>
          <cell r="F2311">
            <v>3108.65</v>
          </cell>
        </row>
        <row r="2312">
          <cell r="B2312">
            <v>39902</v>
          </cell>
          <cell r="C2312">
            <v>3108.75</v>
          </cell>
          <cell r="D2312">
            <v>3110.2</v>
          </cell>
          <cell r="E2312">
            <v>2962.4</v>
          </cell>
          <cell r="F2312">
            <v>2978.15</v>
          </cell>
        </row>
        <row r="2313">
          <cell r="B2313">
            <v>39903</v>
          </cell>
          <cell r="C2313">
            <v>2981.7</v>
          </cell>
          <cell r="D2313">
            <v>3054.3</v>
          </cell>
          <cell r="E2313">
            <v>2966.4</v>
          </cell>
          <cell r="F2313">
            <v>3020.95</v>
          </cell>
        </row>
        <row r="2314">
          <cell r="B2314">
            <v>39904</v>
          </cell>
          <cell r="C2314">
            <v>3023.85</v>
          </cell>
          <cell r="D2314">
            <v>3069.3</v>
          </cell>
          <cell r="E2314">
            <v>2965.7</v>
          </cell>
          <cell r="F2314">
            <v>3060.35</v>
          </cell>
        </row>
        <row r="2315">
          <cell r="B2315">
            <v>39905</v>
          </cell>
          <cell r="C2315">
            <v>3061.05</v>
          </cell>
          <cell r="D2315">
            <v>3228.75</v>
          </cell>
          <cell r="E2315">
            <v>3061.05</v>
          </cell>
          <cell r="F2315">
            <v>3211.05</v>
          </cell>
        </row>
        <row r="2316">
          <cell r="B2316">
            <v>39909</v>
          </cell>
          <cell r="C2316">
            <v>3211.35</v>
          </cell>
          <cell r="D2316">
            <v>3303.9</v>
          </cell>
          <cell r="E2316">
            <v>3211.35</v>
          </cell>
          <cell r="F2316">
            <v>3256.6</v>
          </cell>
        </row>
        <row r="2317">
          <cell r="B2317">
            <v>39911</v>
          </cell>
          <cell r="C2317">
            <v>3255.35</v>
          </cell>
          <cell r="D2317">
            <v>3357.05</v>
          </cell>
          <cell r="E2317">
            <v>3149.25</v>
          </cell>
          <cell r="F2317">
            <v>3342.95</v>
          </cell>
        </row>
        <row r="2318">
          <cell r="B2318">
            <v>39912</v>
          </cell>
          <cell r="C2318">
            <v>3346</v>
          </cell>
          <cell r="D2318">
            <v>3401.15</v>
          </cell>
          <cell r="E2318">
            <v>3307.05</v>
          </cell>
          <cell r="F2318">
            <v>3342.05</v>
          </cell>
        </row>
        <row r="2319">
          <cell r="B2319">
            <v>39916</v>
          </cell>
          <cell r="C2319">
            <v>3342.2</v>
          </cell>
          <cell r="D2319">
            <v>3417.8</v>
          </cell>
          <cell r="E2319">
            <v>3334.15</v>
          </cell>
          <cell r="F2319">
            <v>3382.6</v>
          </cell>
        </row>
        <row r="2320">
          <cell r="B2320">
            <v>39918</v>
          </cell>
          <cell r="C2320">
            <v>3381.45</v>
          </cell>
          <cell r="D2320">
            <v>3497.55</v>
          </cell>
          <cell r="E2320">
            <v>3311.8</v>
          </cell>
          <cell r="F2320">
            <v>3484.15</v>
          </cell>
        </row>
        <row r="2321">
          <cell r="B2321">
            <v>39919</v>
          </cell>
          <cell r="C2321">
            <v>3484.35</v>
          </cell>
          <cell r="D2321">
            <v>3511.25</v>
          </cell>
          <cell r="E2321">
            <v>3354.2</v>
          </cell>
          <cell r="F2321">
            <v>3369.5</v>
          </cell>
        </row>
        <row r="2322">
          <cell r="B2322">
            <v>39920</v>
          </cell>
          <cell r="C2322">
            <v>3369.5</v>
          </cell>
          <cell r="D2322">
            <v>3489.85</v>
          </cell>
          <cell r="E2322">
            <v>3359.25</v>
          </cell>
          <cell r="F2322">
            <v>3384.4</v>
          </cell>
        </row>
        <row r="2323">
          <cell r="B2323">
            <v>39923</v>
          </cell>
          <cell r="C2323">
            <v>3384.75</v>
          </cell>
          <cell r="D2323">
            <v>3441.1</v>
          </cell>
          <cell r="E2323">
            <v>3339.45</v>
          </cell>
          <cell r="F2323">
            <v>3377.1</v>
          </cell>
        </row>
        <row r="2324">
          <cell r="B2324">
            <v>39924</v>
          </cell>
          <cell r="C2324">
            <v>3376.85</v>
          </cell>
          <cell r="D2324">
            <v>3414.7</v>
          </cell>
          <cell r="E2324">
            <v>3309.35</v>
          </cell>
          <cell r="F2324">
            <v>3365.3</v>
          </cell>
        </row>
        <row r="2325">
          <cell r="B2325">
            <v>39925</v>
          </cell>
          <cell r="C2325">
            <v>3364.6</v>
          </cell>
          <cell r="D2325">
            <v>3401.1</v>
          </cell>
          <cell r="E2325">
            <v>3296.9</v>
          </cell>
          <cell r="F2325">
            <v>3330.3</v>
          </cell>
        </row>
        <row r="2326">
          <cell r="B2326">
            <v>39926</v>
          </cell>
          <cell r="C2326">
            <v>3330.5</v>
          </cell>
          <cell r="D2326">
            <v>3439.9</v>
          </cell>
          <cell r="E2326">
            <v>3310.5</v>
          </cell>
          <cell r="F2326">
            <v>3423.7</v>
          </cell>
        </row>
        <row r="2327">
          <cell r="B2327">
            <v>39927</v>
          </cell>
          <cell r="C2327">
            <v>3423.6</v>
          </cell>
          <cell r="D2327">
            <v>3491.35</v>
          </cell>
          <cell r="E2327">
            <v>3402.9</v>
          </cell>
          <cell r="F2327">
            <v>3480.75</v>
          </cell>
        </row>
        <row r="2328">
          <cell r="B2328">
            <v>39930</v>
          </cell>
          <cell r="C2328">
            <v>3481.3</v>
          </cell>
          <cell r="D2328">
            <v>3517.25</v>
          </cell>
          <cell r="E2328">
            <v>3435.3</v>
          </cell>
          <cell r="F2328">
            <v>3470</v>
          </cell>
        </row>
        <row r="2329">
          <cell r="B2329">
            <v>39931</v>
          </cell>
          <cell r="C2329">
            <v>3469.5</v>
          </cell>
          <cell r="D2329">
            <v>3471.95</v>
          </cell>
          <cell r="E2329">
            <v>3351.5</v>
          </cell>
          <cell r="F2329">
            <v>3362.35</v>
          </cell>
        </row>
        <row r="2330">
          <cell r="B2330">
            <v>39932</v>
          </cell>
          <cell r="C2330">
            <v>3371.65</v>
          </cell>
          <cell r="D2330">
            <v>3486.4</v>
          </cell>
          <cell r="E2330">
            <v>3366.7</v>
          </cell>
          <cell r="F2330">
            <v>3473.95</v>
          </cell>
        </row>
        <row r="2331">
          <cell r="B2331">
            <v>39937</v>
          </cell>
          <cell r="C2331">
            <v>3478.7</v>
          </cell>
          <cell r="D2331">
            <v>3664.5</v>
          </cell>
          <cell r="E2331">
            <v>3478.7</v>
          </cell>
          <cell r="F2331">
            <v>3654</v>
          </cell>
        </row>
        <row r="2332">
          <cell r="B2332">
            <v>39938</v>
          </cell>
          <cell r="C2332">
            <v>3664.5</v>
          </cell>
          <cell r="D2332">
            <v>3682.2</v>
          </cell>
          <cell r="E2332">
            <v>3618.75</v>
          </cell>
          <cell r="F2332">
            <v>3661.9</v>
          </cell>
        </row>
        <row r="2333">
          <cell r="B2333">
            <v>39939</v>
          </cell>
          <cell r="C2333">
            <v>3662</v>
          </cell>
          <cell r="D2333">
            <v>3717.05</v>
          </cell>
          <cell r="E2333">
            <v>3608.65</v>
          </cell>
          <cell r="F2333">
            <v>3625.05</v>
          </cell>
        </row>
        <row r="2334">
          <cell r="B2334">
            <v>39940</v>
          </cell>
          <cell r="C2334">
            <v>3617.15</v>
          </cell>
          <cell r="D2334">
            <v>3692.05</v>
          </cell>
          <cell r="E2334">
            <v>3617.15</v>
          </cell>
          <cell r="F2334">
            <v>3683.9</v>
          </cell>
        </row>
        <row r="2335">
          <cell r="B2335">
            <v>39941</v>
          </cell>
          <cell r="C2335">
            <v>3681.8</v>
          </cell>
          <cell r="D2335">
            <v>3711.25</v>
          </cell>
          <cell r="E2335">
            <v>3582.85</v>
          </cell>
          <cell r="F2335">
            <v>3620.7</v>
          </cell>
        </row>
        <row r="2336">
          <cell r="B2336">
            <v>39944</v>
          </cell>
          <cell r="C2336">
            <v>3615.75</v>
          </cell>
          <cell r="D2336">
            <v>3660.2</v>
          </cell>
          <cell r="E2336">
            <v>3534.55</v>
          </cell>
          <cell r="F2336">
            <v>3554.6</v>
          </cell>
        </row>
        <row r="2337">
          <cell r="B2337">
            <v>39945</v>
          </cell>
          <cell r="C2337">
            <v>3554.65</v>
          </cell>
          <cell r="D2337">
            <v>3691.65</v>
          </cell>
          <cell r="E2337">
            <v>3534.2</v>
          </cell>
          <cell r="F2337">
            <v>3681.1</v>
          </cell>
        </row>
        <row r="2338">
          <cell r="B2338">
            <v>39946</v>
          </cell>
          <cell r="C2338">
            <v>3668.75</v>
          </cell>
          <cell r="D2338">
            <v>3709.6</v>
          </cell>
          <cell r="E2338">
            <v>3610.2</v>
          </cell>
          <cell r="F2338">
            <v>3635.25</v>
          </cell>
        </row>
        <row r="2339">
          <cell r="B2339">
            <v>39947</v>
          </cell>
          <cell r="C2339">
            <v>3631.9</v>
          </cell>
          <cell r="D2339">
            <v>3631.9</v>
          </cell>
          <cell r="E2339">
            <v>3537.6</v>
          </cell>
          <cell r="F2339">
            <v>3593.45</v>
          </cell>
        </row>
        <row r="2340">
          <cell r="B2340">
            <v>39948</v>
          </cell>
          <cell r="C2340">
            <v>3597.85</v>
          </cell>
          <cell r="D2340">
            <v>3686.25</v>
          </cell>
          <cell r="E2340">
            <v>3597.85</v>
          </cell>
          <cell r="F2340">
            <v>3671.65</v>
          </cell>
        </row>
        <row r="2341">
          <cell r="B2341">
            <v>39951</v>
          </cell>
          <cell r="C2341">
            <v>3673.15</v>
          </cell>
          <cell r="D2341">
            <v>4384.3</v>
          </cell>
          <cell r="E2341">
            <v>3673.15</v>
          </cell>
          <cell r="F2341">
            <v>4323.1499999999996</v>
          </cell>
        </row>
        <row r="2342">
          <cell r="B2342">
            <v>39952</v>
          </cell>
          <cell r="C2342">
            <v>4324.95</v>
          </cell>
          <cell r="D2342">
            <v>4509.3999999999996</v>
          </cell>
          <cell r="E2342">
            <v>4167.6499999999996</v>
          </cell>
          <cell r="F2342">
            <v>4318.45</v>
          </cell>
        </row>
        <row r="2343">
          <cell r="B2343">
            <v>39953</v>
          </cell>
          <cell r="C2343">
            <v>4318.75</v>
          </cell>
          <cell r="D2343">
            <v>4362.8500000000004</v>
          </cell>
          <cell r="E2343">
            <v>4244.7</v>
          </cell>
          <cell r="F2343">
            <v>4270.3</v>
          </cell>
        </row>
        <row r="2344">
          <cell r="B2344">
            <v>39954</v>
          </cell>
          <cell r="C2344">
            <v>4270.3500000000004</v>
          </cell>
          <cell r="D2344">
            <v>4319</v>
          </cell>
          <cell r="E2344">
            <v>4199.2</v>
          </cell>
          <cell r="F2344">
            <v>4210.8999999999996</v>
          </cell>
        </row>
        <row r="2345">
          <cell r="B2345">
            <v>39955</v>
          </cell>
          <cell r="C2345">
            <v>4211.8500000000004</v>
          </cell>
          <cell r="D2345">
            <v>4249.5</v>
          </cell>
          <cell r="E2345">
            <v>4155.8500000000004</v>
          </cell>
          <cell r="F2345">
            <v>4238.5</v>
          </cell>
        </row>
        <row r="2346">
          <cell r="B2346">
            <v>39958</v>
          </cell>
          <cell r="C2346">
            <v>4238.1000000000004</v>
          </cell>
          <cell r="D2346">
            <v>4270.05</v>
          </cell>
          <cell r="E2346">
            <v>4205.1000000000004</v>
          </cell>
          <cell r="F2346">
            <v>4237.55</v>
          </cell>
        </row>
        <row r="2347">
          <cell r="B2347">
            <v>39959</v>
          </cell>
          <cell r="C2347">
            <v>4239.55</v>
          </cell>
          <cell r="D2347">
            <v>4256.05</v>
          </cell>
          <cell r="E2347">
            <v>4092.25</v>
          </cell>
          <cell r="F2347">
            <v>4116.7</v>
          </cell>
        </row>
        <row r="2348">
          <cell r="B2348">
            <v>39960</v>
          </cell>
          <cell r="C2348">
            <v>4117.3</v>
          </cell>
          <cell r="D2348">
            <v>4286.45</v>
          </cell>
          <cell r="E2348">
            <v>4115.25</v>
          </cell>
          <cell r="F2348">
            <v>4276.05</v>
          </cell>
        </row>
        <row r="2349">
          <cell r="B2349">
            <v>39961</v>
          </cell>
          <cell r="C2349">
            <v>4276.1499999999996</v>
          </cell>
          <cell r="D2349">
            <v>4354.8500000000004</v>
          </cell>
          <cell r="E2349">
            <v>4254.8500000000004</v>
          </cell>
          <cell r="F2349">
            <v>4337.1000000000004</v>
          </cell>
        </row>
        <row r="2350">
          <cell r="B2350">
            <v>39962</v>
          </cell>
          <cell r="C2350">
            <v>4340.75</v>
          </cell>
          <cell r="D2350">
            <v>4488.05</v>
          </cell>
          <cell r="E2350">
            <v>4340.75</v>
          </cell>
          <cell r="F2350">
            <v>4448.95</v>
          </cell>
        </row>
        <row r="2351">
          <cell r="B2351">
            <v>39965</v>
          </cell>
          <cell r="C2351">
            <v>4450.3999999999996</v>
          </cell>
          <cell r="D2351">
            <v>4545.3999999999996</v>
          </cell>
          <cell r="E2351">
            <v>4450.3999999999996</v>
          </cell>
          <cell r="F2351">
            <v>4529.8999999999996</v>
          </cell>
        </row>
        <row r="2352">
          <cell r="B2352">
            <v>39966</v>
          </cell>
          <cell r="C2352">
            <v>4530.45</v>
          </cell>
          <cell r="D2352">
            <v>4586.3999999999996</v>
          </cell>
          <cell r="E2352">
            <v>4451.3</v>
          </cell>
          <cell r="F2352">
            <v>4525.25</v>
          </cell>
        </row>
        <row r="2353">
          <cell r="B2353">
            <v>39967</v>
          </cell>
          <cell r="C2353">
            <v>4525.5</v>
          </cell>
          <cell r="D2353">
            <v>4574.8999999999996</v>
          </cell>
          <cell r="E2353">
            <v>4478.6000000000004</v>
          </cell>
          <cell r="F2353">
            <v>4530.7</v>
          </cell>
        </row>
        <row r="2354">
          <cell r="B2354">
            <v>39968</v>
          </cell>
          <cell r="C2354">
            <v>4530.3</v>
          </cell>
          <cell r="D2354">
            <v>4582.2</v>
          </cell>
          <cell r="E2354">
            <v>4453.45</v>
          </cell>
          <cell r="F2354">
            <v>4572.6499999999996</v>
          </cell>
        </row>
        <row r="2355">
          <cell r="B2355">
            <v>39969</v>
          </cell>
          <cell r="C2355">
            <v>4573.3</v>
          </cell>
          <cell r="D2355">
            <v>4636.8500000000004</v>
          </cell>
          <cell r="E2355">
            <v>4561.95</v>
          </cell>
          <cell r="F2355">
            <v>4586.8999999999996</v>
          </cell>
        </row>
        <row r="2356">
          <cell r="B2356">
            <v>39972</v>
          </cell>
          <cell r="C2356">
            <v>4582.3500000000004</v>
          </cell>
          <cell r="D2356">
            <v>4611.3999999999996</v>
          </cell>
          <cell r="E2356">
            <v>4404.6499999999996</v>
          </cell>
          <cell r="F2356">
            <v>4429.8999999999996</v>
          </cell>
        </row>
        <row r="2357">
          <cell r="B2357">
            <v>39973</v>
          </cell>
          <cell r="C2357">
            <v>4427.75</v>
          </cell>
          <cell r="D2357">
            <v>4562.45</v>
          </cell>
          <cell r="E2357">
            <v>4365.1000000000004</v>
          </cell>
          <cell r="F2357">
            <v>4550.95</v>
          </cell>
        </row>
        <row r="2358">
          <cell r="B2358">
            <v>39974</v>
          </cell>
          <cell r="C2358">
            <v>4551.7</v>
          </cell>
          <cell r="D2358">
            <v>4688.95</v>
          </cell>
          <cell r="E2358">
            <v>4551.7</v>
          </cell>
          <cell r="F2358">
            <v>4655.25</v>
          </cell>
        </row>
        <row r="2359">
          <cell r="B2359">
            <v>39975</v>
          </cell>
          <cell r="C2359">
            <v>4657.3999999999996</v>
          </cell>
          <cell r="D2359">
            <v>4679.55</v>
          </cell>
          <cell r="E2359">
            <v>4586.1499999999996</v>
          </cell>
          <cell r="F2359">
            <v>4637.7</v>
          </cell>
        </row>
        <row r="2360">
          <cell r="B2360">
            <v>39976</v>
          </cell>
          <cell r="C2360">
            <v>4637.55</v>
          </cell>
          <cell r="D2360">
            <v>4693.2</v>
          </cell>
          <cell r="E2360">
            <v>4566.1499999999996</v>
          </cell>
          <cell r="F2360">
            <v>4583.3999999999996</v>
          </cell>
        </row>
        <row r="2361">
          <cell r="B2361">
            <v>39979</v>
          </cell>
          <cell r="C2361">
            <v>4584.6499999999996</v>
          </cell>
          <cell r="D2361">
            <v>4601.05</v>
          </cell>
          <cell r="E2361">
            <v>4469.6000000000004</v>
          </cell>
          <cell r="F2361">
            <v>4484</v>
          </cell>
        </row>
        <row r="2362">
          <cell r="B2362">
            <v>39980</v>
          </cell>
          <cell r="C2362">
            <v>4478.1000000000004</v>
          </cell>
          <cell r="D2362">
            <v>4537.95</v>
          </cell>
          <cell r="E2362">
            <v>4405.95</v>
          </cell>
          <cell r="F2362">
            <v>4517.8</v>
          </cell>
        </row>
        <row r="2363">
          <cell r="B2363">
            <v>39981</v>
          </cell>
          <cell r="C2363">
            <v>4515.3500000000004</v>
          </cell>
          <cell r="D2363">
            <v>4517.8</v>
          </cell>
          <cell r="E2363">
            <v>4332.8</v>
          </cell>
          <cell r="F2363">
            <v>4356.1499999999996</v>
          </cell>
        </row>
        <row r="2364">
          <cell r="B2364">
            <v>39982</v>
          </cell>
          <cell r="C2364">
            <v>4352.95</v>
          </cell>
          <cell r="D2364">
            <v>4375.3</v>
          </cell>
          <cell r="E2364">
            <v>4222.1499999999996</v>
          </cell>
          <cell r="F2364">
            <v>4251.3999999999996</v>
          </cell>
        </row>
        <row r="2365">
          <cell r="B2365">
            <v>39983</v>
          </cell>
          <cell r="C2365">
            <v>4251.1000000000004</v>
          </cell>
          <cell r="D2365">
            <v>4326.2</v>
          </cell>
          <cell r="E2365">
            <v>4206.7</v>
          </cell>
          <cell r="F2365">
            <v>4313.6000000000004</v>
          </cell>
        </row>
        <row r="2366">
          <cell r="B2366">
            <v>39986</v>
          </cell>
          <cell r="C2366">
            <v>4314.2</v>
          </cell>
          <cell r="D2366">
            <v>4352.25</v>
          </cell>
          <cell r="E2366">
            <v>4221.8999999999996</v>
          </cell>
          <cell r="F2366">
            <v>4235.25</v>
          </cell>
        </row>
        <row r="2367">
          <cell r="B2367">
            <v>39987</v>
          </cell>
          <cell r="C2367">
            <v>4223.3</v>
          </cell>
          <cell r="D2367">
            <v>4267.45</v>
          </cell>
          <cell r="E2367">
            <v>4143.25</v>
          </cell>
          <cell r="F2367">
            <v>4247</v>
          </cell>
        </row>
        <row r="2368">
          <cell r="B2368">
            <v>39988</v>
          </cell>
          <cell r="C2368">
            <v>4247.3</v>
          </cell>
          <cell r="D2368">
            <v>4307</v>
          </cell>
          <cell r="E2368">
            <v>4218.25</v>
          </cell>
          <cell r="F2368">
            <v>4292.95</v>
          </cell>
        </row>
        <row r="2369">
          <cell r="B2369">
            <v>39989</v>
          </cell>
          <cell r="C2369">
            <v>4293.8500000000004</v>
          </cell>
          <cell r="D2369">
            <v>4337.95</v>
          </cell>
          <cell r="E2369">
            <v>4221.1499999999996</v>
          </cell>
          <cell r="F2369">
            <v>4241.8500000000004</v>
          </cell>
        </row>
        <row r="2370">
          <cell r="B2370">
            <v>39990</v>
          </cell>
          <cell r="C2370">
            <v>4243.95</v>
          </cell>
          <cell r="D2370">
            <v>4383.75</v>
          </cell>
          <cell r="E2370">
            <v>4243.95</v>
          </cell>
          <cell r="F2370">
            <v>4375.5</v>
          </cell>
        </row>
        <row r="2371">
          <cell r="B2371">
            <v>39993</v>
          </cell>
          <cell r="C2371">
            <v>4375.3999999999996</v>
          </cell>
          <cell r="D2371">
            <v>4439.95</v>
          </cell>
          <cell r="E2371">
            <v>4350.8999999999996</v>
          </cell>
          <cell r="F2371">
            <v>4390.95</v>
          </cell>
        </row>
        <row r="2372">
          <cell r="B2372">
            <v>39994</v>
          </cell>
          <cell r="C2372">
            <v>4391.5</v>
          </cell>
          <cell r="D2372">
            <v>4426.75</v>
          </cell>
          <cell r="E2372">
            <v>4267.3500000000004</v>
          </cell>
          <cell r="F2372">
            <v>4291.1000000000004</v>
          </cell>
        </row>
        <row r="2373">
          <cell r="B2373">
            <v>39995</v>
          </cell>
          <cell r="C2373">
            <v>4292.3</v>
          </cell>
          <cell r="D2373">
            <v>4362.3</v>
          </cell>
          <cell r="E2373">
            <v>4249.7</v>
          </cell>
          <cell r="F2373">
            <v>4340.8999999999996</v>
          </cell>
        </row>
        <row r="2374">
          <cell r="B2374">
            <v>39996</v>
          </cell>
          <cell r="C2374">
            <v>4373.5</v>
          </cell>
          <cell r="D2374">
            <v>4383.6499999999996</v>
          </cell>
          <cell r="E2374">
            <v>4288.75</v>
          </cell>
          <cell r="F2374">
            <v>4348.8500000000004</v>
          </cell>
        </row>
        <row r="2375">
          <cell r="B2375">
            <v>39997</v>
          </cell>
          <cell r="C2375">
            <v>4347.3</v>
          </cell>
          <cell r="D2375">
            <v>4434.45</v>
          </cell>
          <cell r="E2375">
            <v>4298.95</v>
          </cell>
          <cell r="F2375">
            <v>4424.25</v>
          </cell>
        </row>
        <row r="2376">
          <cell r="B2376">
            <v>40000</v>
          </cell>
          <cell r="C2376">
            <v>4429.6000000000004</v>
          </cell>
          <cell r="D2376">
            <v>4479.8</v>
          </cell>
          <cell r="E2376">
            <v>4133.7</v>
          </cell>
          <cell r="F2376">
            <v>4165.7</v>
          </cell>
        </row>
        <row r="2377">
          <cell r="B2377">
            <v>40001</v>
          </cell>
          <cell r="C2377">
            <v>4166</v>
          </cell>
          <cell r="D2377">
            <v>4231.8</v>
          </cell>
          <cell r="E2377">
            <v>4155.5</v>
          </cell>
          <cell r="F2377">
            <v>4202.1499999999996</v>
          </cell>
        </row>
        <row r="2378">
          <cell r="B2378">
            <v>40002</v>
          </cell>
          <cell r="C2378">
            <v>4201.8500000000004</v>
          </cell>
          <cell r="D2378">
            <v>4201.8500000000004</v>
          </cell>
          <cell r="E2378">
            <v>4061.1</v>
          </cell>
          <cell r="F2378">
            <v>4078.9</v>
          </cell>
        </row>
        <row r="2379">
          <cell r="B2379">
            <v>40003</v>
          </cell>
          <cell r="C2379">
            <v>4078.75</v>
          </cell>
          <cell r="D2379">
            <v>4114.8999999999996</v>
          </cell>
          <cell r="E2379">
            <v>4039.85</v>
          </cell>
          <cell r="F2379">
            <v>4080.95</v>
          </cell>
        </row>
        <row r="2380">
          <cell r="B2380">
            <v>40004</v>
          </cell>
          <cell r="C2380">
            <v>4081.4</v>
          </cell>
          <cell r="D2380">
            <v>4129.95</v>
          </cell>
          <cell r="E2380">
            <v>3976.8</v>
          </cell>
          <cell r="F2380">
            <v>4003.9</v>
          </cell>
        </row>
        <row r="2381">
          <cell r="B2381">
            <v>40007</v>
          </cell>
          <cell r="C2381">
            <v>4003.4</v>
          </cell>
          <cell r="D2381">
            <v>4003.4</v>
          </cell>
          <cell r="E2381">
            <v>3918.75</v>
          </cell>
          <cell r="F2381">
            <v>3974.05</v>
          </cell>
        </row>
        <row r="2382">
          <cell r="B2382">
            <v>40008</v>
          </cell>
          <cell r="C2382">
            <v>3974.1</v>
          </cell>
          <cell r="D2382">
            <v>4128.8999999999996</v>
          </cell>
          <cell r="E2382">
            <v>3974.1</v>
          </cell>
          <cell r="F2382">
            <v>4111.3999999999996</v>
          </cell>
        </row>
        <row r="2383">
          <cell r="B2383">
            <v>40009</v>
          </cell>
          <cell r="C2383">
            <v>4120.8</v>
          </cell>
          <cell r="D2383">
            <v>4249.55</v>
          </cell>
          <cell r="E2383">
            <v>4118.75</v>
          </cell>
          <cell r="F2383">
            <v>4233.5</v>
          </cell>
        </row>
        <row r="2384">
          <cell r="B2384">
            <v>40010</v>
          </cell>
          <cell r="C2384">
            <v>4223.5</v>
          </cell>
          <cell r="D2384">
            <v>4305</v>
          </cell>
          <cell r="E2384">
            <v>4205.5</v>
          </cell>
          <cell r="F2384">
            <v>4231.3999999999996</v>
          </cell>
        </row>
        <row r="2385">
          <cell r="B2385">
            <v>40011</v>
          </cell>
          <cell r="C2385">
            <v>4231.45</v>
          </cell>
          <cell r="D2385">
            <v>4390.3999999999996</v>
          </cell>
          <cell r="E2385">
            <v>4230.1499999999996</v>
          </cell>
          <cell r="F2385">
            <v>4374.95</v>
          </cell>
        </row>
        <row r="2386">
          <cell r="B2386">
            <v>40014</v>
          </cell>
          <cell r="C2386">
            <v>4377.8999999999996</v>
          </cell>
          <cell r="D2386">
            <v>4510.3</v>
          </cell>
          <cell r="E2386">
            <v>4377.8999999999996</v>
          </cell>
          <cell r="F2386">
            <v>4502.25</v>
          </cell>
        </row>
        <row r="2387">
          <cell r="B2387">
            <v>40015</v>
          </cell>
          <cell r="C2387">
            <v>4501.5</v>
          </cell>
          <cell r="D2387">
            <v>4524</v>
          </cell>
          <cell r="E2387">
            <v>4436.6000000000004</v>
          </cell>
          <cell r="F2387">
            <v>4469.1000000000004</v>
          </cell>
        </row>
        <row r="2388">
          <cell r="B2388">
            <v>40016</v>
          </cell>
          <cell r="C2388">
            <v>4469.3</v>
          </cell>
          <cell r="D2388">
            <v>4557.95</v>
          </cell>
          <cell r="E2388">
            <v>4380.45</v>
          </cell>
          <cell r="F2388">
            <v>4398.8999999999996</v>
          </cell>
        </row>
        <row r="2389">
          <cell r="B2389">
            <v>40017</v>
          </cell>
          <cell r="C2389">
            <v>4409.7</v>
          </cell>
          <cell r="D2389">
            <v>4532.3999999999996</v>
          </cell>
          <cell r="E2389">
            <v>4405.95</v>
          </cell>
          <cell r="F2389">
            <v>4523.75</v>
          </cell>
        </row>
        <row r="2390">
          <cell r="B2390">
            <v>40018</v>
          </cell>
          <cell r="C2390">
            <v>4524.8</v>
          </cell>
          <cell r="D2390">
            <v>4578.75</v>
          </cell>
          <cell r="E2390">
            <v>4504.8500000000004</v>
          </cell>
          <cell r="F2390">
            <v>4568.55</v>
          </cell>
        </row>
        <row r="2391">
          <cell r="B2391">
            <v>40021</v>
          </cell>
          <cell r="C2391">
            <v>4568.6499999999996</v>
          </cell>
          <cell r="D2391">
            <v>4596.75</v>
          </cell>
          <cell r="E2391">
            <v>4528.5</v>
          </cell>
          <cell r="F2391">
            <v>4572.3</v>
          </cell>
        </row>
        <row r="2392">
          <cell r="B2392">
            <v>40022</v>
          </cell>
          <cell r="C2392">
            <v>4572.8</v>
          </cell>
          <cell r="D2392">
            <v>4599.8999999999996</v>
          </cell>
          <cell r="E2392">
            <v>4529.1499999999996</v>
          </cell>
          <cell r="F2392">
            <v>4564.1000000000004</v>
          </cell>
        </row>
        <row r="2393">
          <cell r="B2393">
            <v>40023</v>
          </cell>
          <cell r="C2393">
            <v>4565.8</v>
          </cell>
          <cell r="D2393">
            <v>4573.8500000000004</v>
          </cell>
          <cell r="E2393">
            <v>4420.8</v>
          </cell>
          <cell r="F2393">
            <v>4513.5</v>
          </cell>
        </row>
        <row r="2394">
          <cell r="B2394">
            <v>40024</v>
          </cell>
          <cell r="C2394">
            <v>4513.1000000000004</v>
          </cell>
          <cell r="D2394">
            <v>4582.3500000000004</v>
          </cell>
          <cell r="E2394">
            <v>4474.5</v>
          </cell>
          <cell r="F2394">
            <v>4571.45</v>
          </cell>
        </row>
        <row r="2395">
          <cell r="B2395">
            <v>40025</v>
          </cell>
          <cell r="C2395">
            <v>4571.6000000000004</v>
          </cell>
          <cell r="D2395">
            <v>4669.75</v>
          </cell>
          <cell r="E2395">
            <v>4571.6000000000004</v>
          </cell>
          <cell r="F2395">
            <v>4636.45</v>
          </cell>
        </row>
        <row r="2396">
          <cell r="B2396">
            <v>40028</v>
          </cell>
          <cell r="C2396">
            <v>4633.8</v>
          </cell>
          <cell r="D2396">
            <v>4723.75</v>
          </cell>
          <cell r="E2396">
            <v>4617.75</v>
          </cell>
          <cell r="F2396">
            <v>4711.3999999999996</v>
          </cell>
        </row>
        <row r="2397">
          <cell r="B2397">
            <v>40029</v>
          </cell>
          <cell r="C2397">
            <v>4706.25</v>
          </cell>
          <cell r="D2397">
            <v>4731.45</v>
          </cell>
          <cell r="E2397">
            <v>4642.6000000000004</v>
          </cell>
          <cell r="F2397">
            <v>4680.5</v>
          </cell>
        </row>
        <row r="2398">
          <cell r="B2398">
            <v>40030</v>
          </cell>
          <cell r="C2398">
            <v>4680.95</v>
          </cell>
          <cell r="D2398">
            <v>4717.2</v>
          </cell>
          <cell r="E2398">
            <v>4629.8500000000004</v>
          </cell>
          <cell r="F2398">
            <v>4694.1499999999996</v>
          </cell>
        </row>
        <row r="2399">
          <cell r="B2399">
            <v>40031</v>
          </cell>
          <cell r="C2399">
            <v>4694.3500000000004</v>
          </cell>
          <cell r="D2399">
            <v>4718.1499999999996</v>
          </cell>
          <cell r="E2399">
            <v>4559.2</v>
          </cell>
          <cell r="F2399">
            <v>4585.5</v>
          </cell>
        </row>
        <row r="2400">
          <cell r="B2400">
            <v>40032</v>
          </cell>
          <cell r="C2400">
            <v>4591.8999999999996</v>
          </cell>
          <cell r="D2400">
            <v>4591.8999999999996</v>
          </cell>
          <cell r="E2400">
            <v>4463.95</v>
          </cell>
          <cell r="F2400">
            <v>4481.3999999999996</v>
          </cell>
        </row>
        <row r="2401">
          <cell r="B2401">
            <v>40035</v>
          </cell>
          <cell r="C2401">
            <v>4486.5</v>
          </cell>
          <cell r="D2401">
            <v>4562.5</v>
          </cell>
          <cell r="E2401">
            <v>4399.8500000000004</v>
          </cell>
          <cell r="F2401">
            <v>4437.6499999999996</v>
          </cell>
        </row>
        <row r="2402">
          <cell r="B2402">
            <v>40036</v>
          </cell>
          <cell r="C2402">
            <v>4435</v>
          </cell>
          <cell r="D2402">
            <v>4510.8</v>
          </cell>
          <cell r="E2402">
            <v>4398.8999999999996</v>
          </cell>
          <cell r="F2402">
            <v>4471.3500000000004</v>
          </cell>
        </row>
        <row r="2403">
          <cell r="B2403">
            <v>40037</v>
          </cell>
          <cell r="C2403">
            <v>4473.8</v>
          </cell>
          <cell r="D2403">
            <v>4473.8</v>
          </cell>
          <cell r="E2403">
            <v>4359.3999999999996</v>
          </cell>
          <cell r="F2403">
            <v>4457.5</v>
          </cell>
        </row>
        <row r="2404">
          <cell r="B2404">
            <v>40038</v>
          </cell>
          <cell r="C2404">
            <v>4458.55</v>
          </cell>
          <cell r="D2404">
            <v>4614.1499999999996</v>
          </cell>
          <cell r="E2404">
            <v>4458.55</v>
          </cell>
          <cell r="F2404">
            <v>4605</v>
          </cell>
        </row>
        <row r="2405">
          <cell r="B2405">
            <v>40039</v>
          </cell>
          <cell r="C2405">
            <v>4605.1499999999996</v>
          </cell>
          <cell r="D2405">
            <v>4619</v>
          </cell>
          <cell r="E2405">
            <v>4559.3500000000004</v>
          </cell>
          <cell r="F2405">
            <v>4580.05</v>
          </cell>
        </row>
        <row r="2406">
          <cell r="B2406">
            <v>40042</v>
          </cell>
          <cell r="C2406">
            <v>4578.8</v>
          </cell>
          <cell r="D2406">
            <v>4578.8</v>
          </cell>
          <cell r="E2406">
            <v>4374.6000000000004</v>
          </cell>
          <cell r="F2406">
            <v>4387.8999999999996</v>
          </cell>
        </row>
        <row r="2407">
          <cell r="B2407">
            <v>40043</v>
          </cell>
          <cell r="C2407">
            <v>4389.5</v>
          </cell>
          <cell r="D2407">
            <v>4491.45</v>
          </cell>
          <cell r="E2407">
            <v>4372.6499999999996</v>
          </cell>
          <cell r="F2407">
            <v>4458.8999999999996</v>
          </cell>
        </row>
        <row r="2408">
          <cell r="B2408">
            <v>40044</v>
          </cell>
          <cell r="C2408">
            <v>4457.75</v>
          </cell>
          <cell r="D2408">
            <v>4477.55</v>
          </cell>
          <cell r="E2408">
            <v>4353.45</v>
          </cell>
          <cell r="F2408">
            <v>4394.1000000000004</v>
          </cell>
        </row>
        <row r="2409">
          <cell r="B2409">
            <v>40045</v>
          </cell>
          <cell r="C2409">
            <v>4394.3500000000004</v>
          </cell>
          <cell r="D2409">
            <v>4492.8</v>
          </cell>
          <cell r="E2409">
            <v>4394.3500000000004</v>
          </cell>
          <cell r="F2409">
            <v>4453.45</v>
          </cell>
        </row>
        <row r="2410">
          <cell r="B2410">
            <v>40046</v>
          </cell>
          <cell r="C2410">
            <v>4453.45</v>
          </cell>
          <cell r="D2410">
            <v>4538.7</v>
          </cell>
          <cell r="E2410">
            <v>4400.8999999999996</v>
          </cell>
          <cell r="F2410">
            <v>4528.8</v>
          </cell>
        </row>
        <row r="2411">
          <cell r="B2411">
            <v>40049</v>
          </cell>
          <cell r="C2411">
            <v>4536.95</v>
          </cell>
          <cell r="D2411">
            <v>4656.3</v>
          </cell>
          <cell r="E2411">
            <v>4536.95</v>
          </cell>
          <cell r="F2411">
            <v>4642.8</v>
          </cell>
        </row>
        <row r="2412">
          <cell r="B2412">
            <v>40050</v>
          </cell>
          <cell r="C2412">
            <v>4641.6499999999996</v>
          </cell>
          <cell r="D2412">
            <v>4672.8999999999996</v>
          </cell>
          <cell r="E2412">
            <v>4582.5</v>
          </cell>
          <cell r="F2412">
            <v>4659.3500000000004</v>
          </cell>
        </row>
        <row r="2413">
          <cell r="B2413">
            <v>40051</v>
          </cell>
          <cell r="C2413">
            <v>4659.45</v>
          </cell>
          <cell r="D2413">
            <v>4697.8</v>
          </cell>
          <cell r="E2413">
            <v>4659.1000000000004</v>
          </cell>
          <cell r="F2413">
            <v>4680.8500000000004</v>
          </cell>
        </row>
        <row r="2414">
          <cell r="B2414">
            <v>40052</v>
          </cell>
          <cell r="C2414">
            <v>4679</v>
          </cell>
          <cell r="D2414">
            <v>4707.8999999999996</v>
          </cell>
          <cell r="E2414">
            <v>4645.1499999999996</v>
          </cell>
          <cell r="F2414">
            <v>4688.2</v>
          </cell>
        </row>
        <row r="2415">
          <cell r="B2415">
            <v>40053</v>
          </cell>
          <cell r="C2415">
            <v>4688.3999999999996</v>
          </cell>
          <cell r="D2415">
            <v>4743.75</v>
          </cell>
          <cell r="E2415">
            <v>4651.3999999999996</v>
          </cell>
          <cell r="F2415">
            <v>4732.3500000000004</v>
          </cell>
        </row>
        <row r="2416">
          <cell r="B2416">
            <v>40056</v>
          </cell>
          <cell r="C2416">
            <v>4730.8500000000004</v>
          </cell>
          <cell r="D2416">
            <v>4730.8500000000004</v>
          </cell>
          <cell r="E2416">
            <v>4635</v>
          </cell>
          <cell r="F2416">
            <v>4662.1000000000004</v>
          </cell>
        </row>
        <row r="2417">
          <cell r="B2417">
            <v>40057</v>
          </cell>
          <cell r="C2417">
            <v>4662.2</v>
          </cell>
          <cell r="D2417">
            <v>4735.8999999999996</v>
          </cell>
          <cell r="E2417">
            <v>4600.6499999999996</v>
          </cell>
          <cell r="F2417">
            <v>4625.3500000000004</v>
          </cell>
        </row>
        <row r="2418">
          <cell r="B2418">
            <v>40058</v>
          </cell>
          <cell r="C2418">
            <v>4624</v>
          </cell>
          <cell r="D2418">
            <v>4650.45</v>
          </cell>
          <cell r="E2418">
            <v>4576.6000000000004</v>
          </cell>
          <cell r="F2418">
            <v>4608.3500000000004</v>
          </cell>
        </row>
        <row r="2419">
          <cell r="B2419">
            <v>40059</v>
          </cell>
          <cell r="C2419">
            <v>4608.75</v>
          </cell>
          <cell r="D2419">
            <v>4647.3500000000004</v>
          </cell>
          <cell r="E2419">
            <v>4581.05</v>
          </cell>
          <cell r="F2419">
            <v>4593.55</v>
          </cell>
        </row>
        <row r="2420">
          <cell r="B2420">
            <v>40060</v>
          </cell>
          <cell r="C2420">
            <v>4608.7</v>
          </cell>
          <cell r="D2420">
            <v>4697.2</v>
          </cell>
          <cell r="E2420">
            <v>4580.3500000000004</v>
          </cell>
          <cell r="F2420">
            <v>4680.3999999999996</v>
          </cell>
        </row>
        <row r="2421">
          <cell r="B2421">
            <v>40063</v>
          </cell>
          <cell r="C2421">
            <v>4682.3999999999996</v>
          </cell>
          <cell r="D2421">
            <v>4790</v>
          </cell>
          <cell r="E2421">
            <v>4679.3</v>
          </cell>
          <cell r="F2421">
            <v>4782.8999999999996</v>
          </cell>
        </row>
        <row r="2422">
          <cell r="B2422">
            <v>40064</v>
          </cell>
          <cell r="C2422">
            <v>4782.8500000000004</v>
          </cell>
          <cell r="D2422">
            <v>4842.2</v>
          </cell>
          <cell r="E2422">
            <v>4782.6499999999996</v>
          </cell>
          <cell r="F2422">
            <v>4805.25</v>
          </cell>
        </row>
        <row r="2423">
          <cell r="B2423">
            <v>40065</v>
          </cell>
          <cell r="C2423">
            <v>4804.8999999999996</v>
          </cell>
          <cell r="D2423">
            <v>4825.05</v>
          </cell>
          <cell r="E2423">
            <v>4783.5</v>
          </cell>
          <cell r="F2423">
            <v>4814.25</v>
          </cell>
        </row>
        <row r="2424">
          <cell r="B2424">
            <v>40066</v>
          </cell>
          <cell r="C2424">
            <v>4814.3500000000004</v>
          </cell>
          <cell r="D2424">
            <v>4889.05</v>
          </cell>
          <cell r="E2424">
            <v>4807.8999999999996</v>
          </cell>
          <cell r="F2424">
            <v>4819.3999999999996</v>
          </cell>
        </row>
        <row r="2425">
          <cell r="B2425">
            <v>40067</v>
          </cell>
          <cell r="C2425">
            <v>4819.3999999999996</v>
          </cell>
          <cell r="D2425">
            <v>4856.1499999999996</v>
          </cell>
          <cell r="E2425">
            <v>4791.55</v>
          </cell>
          <cell r="F2425">
            <v>4829.55</v>
          </cell>
        </row>
        <row r="2426">
          <cell r="B2426">
            <v>40070</v>
          </cell>
          <cell r="C2426">
            <v>4830.3500000000004</v>
          </cell>
          <cell r="D2426">
            <v>4832.25</v>
          </cell>
          <cell r="E2426">
            <v>4786.25</v>
          </cell>
          <cell r="F2426">
            <v>4808.6000000000004</v>
          </cell>
        </row>
        <row r="2427">
          <cell r="B2427">
            <v>40071</v>
          </cell>
          <cell r="C2427">
            <v>4808.3500000000004</v>
          </cell>
          <cell r="D2427">
            <v>4899.45</v>
          </cell>
          <cell r="E2427">
            <v>4808.3500000000004</v>
          </cell>
          <cell r="F2427">
            <v>4892.1000000000004</v>
          </cell>
        </row>
        <row r="2428">
          <cell r="B2428">
            <v>40072</v>
          </cell>
          <cell r="C2428">
            <v>4894.6499999999996</v>
          </cell>
          <cell r="D2428">
            <v>4966.3</v>
          </cell>
          <cell r="E2428">
            <v>4894.6499999999996</v>
          </cell>
          <cell r="F2428">
            <v>4958.3999999999996</v>
          </cell>
        </row>
        <row r="2429">
          <cell r="B2429">
            <v>40073</v>
          </cell>
          <cell r="C2429">
            <v>4958.55</v>
          </cell>
          <cell r="D2429">
            <v>5003.05</v>
          </cell>
          <cell r="E2429">
            <v>4944.1499999999996</v>
          </cell>
          <cell r="F2429">
            <v>4965.55</v>
          </cell>
        </row>
        <row r="2430">
          <cell r="B2430">
            <v>40074</v>
          </cell>
          <cell r="C2430">
            <v>4963.95</v>
          </cell>
          <cell r="D2430">
            <v>4980.8500000000004</v>
          </cell>
          <cell r="E2430">
            <v>4931.8999999999996</v>
          </cell>
          <cell r="F2430">
            <v>4976.05</v>
          </cell>
        </row>
        <row r="2431">
          <cell r="B2431">
            <v>40078</v>
          </cell>
          <cell r="C2431">
            <v>4977.1000000000004</v>
          </cell>
          <cell r="D2431">
            <v>5036.3</v>
          </cell>
          <cell r="E2431">
            <v>4977.1000000000004</v>
          </cell>
          <cell r="F2431">
            <v>5020.2</v>
          </cell>
        </row>
        <row r="2432">
          <cell r="B2432">
            <v>40079</v>
          </cell>
          <cell r="C2432">
            <v>5019.95</v>
          </cell>
          <cell r="D2432">
            <v>5030.75</v>
          </cell>
          <cell r="E2432">
            <v>4957.05</v>
          </cell>
          <cell r="F2432">
            <v>4969.95</v>
          </cell>
        </row>
        <row r="2433">
          <cell r="B2433">
            <v>40080</v>
          </cell>
          <cell r="C2433">
            <v>4977.1499999999996</v>
          </cell>
          <cell r="D2433">
            <v>5016.7</v>
          </cell>
          <cell r="E2433">
            <v>4904.05</v>
          </cell>
          <cell r="F2433">
            <v>4986.55</v>
          </cell>
        </row>
        <row r="2434">
          <cell r="B2434">
            <v>40081</v>
          </cell>
          <cell r="C2434">
            <v>4985.1000000000004</v>
          </cell>
          <cell r="D2434">
            <v>4994.3500000000004</v>
          </cell>
          <cell r="E2434">
            <v>4931.25</v>
          </cell>
          <cell r="F2434">
            <v>4958.95</v>
          </cell>
        </row>
        <row r="2435">
          <cell r="B2435">
            <v>40085</v>
          </cell>
          <cell r="C2435">
            <v>4959.1499999999996</v>
          </cell>
          <cell r="D2435">
            <v>5020.25</v>
          </cell>
          <cell r="E2435">
            <v>4959.1000000000004</v>
          </cell>
          <cell r="F2435">
            <v>5006.8500000000004</v>
          </cell>
        </row>
        <row r="2436">
          <cell r="B2436">
            <v>40086</v>
          </cell>
          <cell r="C2436">
            <v>5007.6499999999996</v>
          </cell>
          <cell r="D2436">
            <v>5087.6000000000004</v>
          </cell>
          <cell r="E2436">
            <v>5004.3500000000004</v>
          </cell>
          <cell r="F2436">
            <v>5083.95</v>
          </cell>
        </row>
        <row r="2437">
          <cell r="B2437">
            <v>40087</v>
          </cell>
          <cell r="C2437">
            <v>5087.2</v>
          </cell>
          <cell r="D2437">
            <v>5110.5</v>
          </cell>
          <cell r="E2437">
            <v>5057.05</v>
          </cell>
          <cell r="F2437">
            <v>5083.3999999999996</v>
          </cell>
        </row>
        <row r="2438">
          <cell r="B2438">
            <v>40091</v>
          </cell>
          <cell r="C2438">
            <v>5076.05</v>
          </cell>
          <cell r="D2438">
            <v>5076.05</v>
          </cell>
          <cell r="E2438">
            <v>4991.95</v>
          </cell>
          <cell r="F2438">
            <v>5003.2</v>
          </cell>
        </row>
        <row r="2439">
          <cell r="B2439">
            <v>40092</v>
          </cell>
          <cell r="C2439">
            <v>5003.6499999999996</v>
          </cell>
          <cell r="D2439">
            <v>5034.7</v>
          </cell>
          <cell r="E2439">
            <v>4921.05</v>
          </cell>
          <cell r="F2439">
            <v>5027.3999999999996</v>
          </cell>
        </row>
        <row r="2440">
          <cell r="B2440">
            <v>40093</v>
          </cell>
          <cell r="C2440">
            <v>5031.7</v>
          </cell>
          <cell r="D2440">
            <v>5077</v>
          </cell>
          <cell r="E2440">
            <v>4972.95</v>
          </cell>
          <cell r="F2440">
            <v>4985.75</v>
          </cell>
        </row>
        <row r="2441">
          <cell r="B2441">
            <v>40094</v>
          </cell>
          <cell r="C2441">
            <v>5011.25</v>
          </cell>
          <cell r="D2441">
            <v>5043.05</v>
          </cell>
          <cell r="E2441">
            <v>4971.75</v>
          </cell>
          <cell r="F2441">
            <v>5002.25</v>
          </cell>
        </row>
        <row r="2442">
          <cell r="B2442">
            <v>40095</v>
          </cell>
          <cell r="C2442">
            <v>4993</v>
          </cell>
          <cell r="D2442">
            <v>5032.6000000000004</v>
          </cell>
          <cell r="E2442">
            <v>4934.55</v>
          </cell>
          <cell r="F2442">
            <v>4945.2</v>
          </cell>
        </row>
        <row r="2443">
          <cell r="B2443">
            <v>40098</v>
          </cell>
          <cell r="C2443">
            <v>4945.45</v>
          </cell>
          <cell r="D2443">
            <v>5068.05</v>
          </cell>
          <cell r="E2443">
            <v>4945.45</v>
          </cell>
          <cell r="F2443">
            <v>5054.25</v>
          </cell>
        </row>
        <row r="2444">
          <cell r="B2444">
            <v>40100</v>
          </cell>
          <cell r="C2444">
            <v>5054.3500000000004</v>
          </cell>
          <cell r="D2444">
            <v>5127.3999999999996</v>
          </cell>
          <cell r="E2444">
            <v>5054.3500000000004</v>
          </cell>
          <cell r="F2444">
            <v>5118.2</v>
          </cell>
        </row>
        <row r="2445">
          <cell r="B2445">
            <v>40101</v>
          </cell>
          <cell r="C2445">
            <v>5118.55</v>
          </cell>
          <cell r="D2445">
            <v>5152.25</v>
          </cell>
          <cell r="E2445">
            <v>5077.1000000000004</v>
          </cell>
          <cell r="F2445">
            <v>5108.8500000000004</v>
          </cell>
        </row>
        <row r="2446">
          <cell r="B2446">
            <v>40102</v>
          </cell>
          <cell r="C2446">
            <v>5108.6499999999996</v>
          </cell>
          <cell r="D2446">
            <v>5149.6499999999996</v>
          </cell>
          <cell r="E2446">
            <v>5093.2</v>
          </cell>
          <cell r="F2446">
            <v>5142.1499999999996</v>
          </cell>
        </row>
        <row r="2447">
          <cell r="B2447">
            <v>40103</v>
          </cell>
          <cell r="C2447">
            <v>5159.3500000000004</v>
          </cell>
          <cell r="D2447">
            <v>5176.8</v>
          </cell>
          <cell r="E2447">
            <v>5124.25</v>
          </cell>
          <cell r="F2447">
            <v>5141.8</v>
          </cell>
        </row>
        <row r="2448">
          <cell r="B2448">
            <v>40106</v>
          </cell>
          <cell r="C2448">
            <v>5145.6000000000004</v>
          </cell>
          <cell r="D2448">
            <v>5181.95</v>
          </cell>
          <cell r="E2448">
            <v>5102.6499999999996</v>
          </cell>
          <cell r="F2448">
            <v>5114.45</v>
          </cell>
        </row>
        <row r="2449">
          <cell r="B2449">
            <v>40107</v>
          </cell>
          <cell r="C2449">
            <v>5114.8500000000004</v>
          </cell>
          <cell r="D2449">
            <v>5117.45</v>
          </cell>
          <cell r="E2449">
            <v>5051.6499999999996</v>
          </cell>
          <cell r="F2449">
            <v>5063.6000000000004</v>
          </cell>
        </row>
        <row r="2450">
          <cell r="B2450">
            <v>40108</v>
          </cell>
          <cell r="C2450">
            <v>5063.3500000000004</v>
          </cell>
          <cell r="D2450">
            <v>5064.25</v>
          </cell>
          <cell r="E2450">
            <v>4968.45</v>
          </cell>
          <cell r="F2450">
            <v>4988.6000000000004</v>
          </cell>
        </row>
        <row r="2451">
          <cell r="B2451">
            <v>40109</v>
          </cell>
          <cell r="C2451">
            <v>4986.55</v>
          </cell>
          <cell r="D2451">
            <v>5054.95</v>
          </cell>
          <cell r="E2451">
            <v>4983.25</v>
          </cell>
          <cell r="F2451">
            <v>4997.05</v>
          </cell>
        </row>
        <row r="2452">
          <cell r="B2452">
            <v>40112</v>
          </cell>
          <cell r="C2452">
            <v>4997.1499999999996</v>
          </cell>
          <cell r="D2452">
            <v>5033.75</v>
          </cell>
          <cell r="E2452">
            <v>4961.3500000000004</v>
          </cell>
          <cell r="F2452">
            <v>4970.8999999999996</v>
          </cell>
        </row>
        <row r="2453">
          <cell r="B2453">
            <v>40113</v>
          </cell>
          <cell r="C2453">
            <v>4970.55</v>
          </cell>
          <cell r="D2453">
            <v>4970.55</v>
          </cell>
          <cell r="E2453">
            <v>4829.5</v>
          </cell>
          <cell r="F2453">
            <v>4846.7</v>
          </cell>
        </row>
        <row r="2454">
          <cell r="B2454">
            <v>40114</v>
          </cell>
          <cell r="C2454">
            <v>4846.55</v>
          </cell>
          <cell r="D2454">
            <v>4867</v>
          </cell>
          <cell r="E2454">
            <v>4784.1000000000004</v>
          </cell>
          <cell r="F2454">
            <v>4826.1499999999996</v>
          </cell>
        </row>
        <row r="2455">
          <cell r="B2455">
            <v>40115</v>
          </cell>
          <cell r="C2455">
            <v>4826.1000000000004</v>
          </cell>
          <cell r="D2455">
            <v>4826.1000000000004</v>
          </cell>
          <cell r="E2455">
            <v>4738.3999999999996</v>
          </cell>
          <cell r="F2455">
            <v>4750.55</v>
          </cell>
        </row>
        <row r="2456">
          <cell r="B2456">
            <v>40116</v>
          </cell>
          <cell r="C2456">
            <v>4751.1000000000004</v>
          </cell>
          <cell r="D2456">
            <v>4853.6499999999996</v>
          </cell>
          <cell r="E2456">
            <v>4687.5</v>
          </cell>
          <cell r="F2456">
            <v>4711.7</v>
          </cell>
        </row>
        <row r="2457">
          <cell r="B2457">
            <v>40120</v>
          </cell>
          <cell r="C2457">
            <v>4712.25</v>
          </cell>
          <cell r="D2457">
            <v>4729.8500000000004</v>
          </cell>
          <cell r="E2457">
            <v>4538.5</v>
          </cell>
          <cell r="F2457">
            <v>4563.8999999999996</v>
          </cell>
        </row>
        <row r="2458">
          <cell r="B2458">
            <v>40121</v>
          </cell>
          <cell r="C2458">
            <v>4567.3</v>
          </cell>
          <cell r="D2458">
            <v>4717.8</v>
          </cell>
          <cell r="E2458">
            <v>4565</v>
          </cell>
          <cell r="F2458">
            <v>4710.8</v>
          </cell>
        </row>
        <row r="2459">
          <cell r="B2459">
            <v>40122</v>
          </cell>
          <cell r="C2459">
            <v>4711.6499999999996</v>
          </cell>
          <cell r="D2459">
            <v>4776.3500000000004</v>
          </cell>
          <cell r="E2459">
            <v>4610.6000000000004</v>
          </cell>
          <cell r="F2459">
            <v>4765.55</v>
          </cell>
        </row>
        <row r="2460">
          <cell r="B2460">
            <v>40123</v>
          </cell>
          <cell r="C2460">
            <v>4767.5</v>
          </cell>
          <cell r="D2460">
            <v>4836.2</v>
          </cell>
          <cell r="E2460">
            <v>4764.8500000000004</v>
          </cell>
          <cell r="F2460">
            <v>4796.1499999999996</v>
          </cell>
        </row>
        <row r="2461">
          <cell r="B2461">
            <v>40126</v>
          </cell>
          <cell r="C2461">
            <v>4796.1499999999996</v>
          </cell>
          <cell r="D2461">
            <v>4905.25</v>
          </cell>
          <cell r="E2461">
            <v>4789.8999999999996</v>
          </cell>
          <cell r="F2461">
            <v>4898.3999999999996</v>
          </cell>
        </row>
        <row r="2462">
          <cell r="B2462">
            <v>40127</v>
          </cell>
          <cell r="C2462">
            <v>4898.8999999999996</v>
          </cell>
          <cell r="D2462">
            <v>4947.7</v>
          </cell>
          <cell r="E2462">
            <v>4860.1000000000004</v>
          </cell>
          <cell r="F2462">
            <v>4881.7</v>
          </cell>
        </row>
        <row r="2463">
          <cell r="B2463">
            <v>40128</v>
          </cell>
          <cell r="C2463">
            <v>4882.3</v>
          </cell>
          <cell r="D2463">
            <v>5016.7</v>
          </cell>
          <cell r="E2463">
            <v>4870.05</v>
          </cell>
          <cell r="F2463">
            <v>5003.95</v>
          </cell>
        </row>
        <row r="2464">
          <cell r="B2464">
            <v>40129</v>
          </cell>
          <cell r="C2464">
            <v>5004.3999999999996</v>
          </cell>
          <cell r="D2464">
            <v>5014.3999999999996</v>
          </cell>
          <cell r="E2464">
            <v>4924.75</v>
          </cell>
          <cell r="F2464">
            <v>4952.6499999999996</v>
          </cell>
        </row>
        <row r="2465">
          <cell r="B2465">
            <v>40130</v>
          </cell>
          <cell r="C2465">
            <v>4952.3500000000004</v>
          </cell>
          <cell r="D2465">
            <v>5017.8999999999996</v>
          </cell>
          <cell r="E2465">
            <v>4942.6499999999996</v>
          </cell>
          <cell r="F2465">
            <v>4998.95</v>
          </cell>
        </row>
        <row r="2466">
          <cell r="B2466">
            <v>40133</v>
          </cell>
          <cell r="C2466">
            <v>4996.5</v>
          </cell>
          <cell r="D2466">
            <v>5073.2</v>
          </cell>
          <cell r="E2466">
            <v>4994</v>
          </cell>
          <cell r="F2466">
            <v>5058.05</v>
          </cell>
        </row>
        <row r="2467">
          <cell r="B2467">
            <v>40134</v>
          </cell>
          <cell r="C2467">
            <v>5058.95</v>
          </cell>
          <cell r="D2467">
            <v>5074</v>
          </cell>
          <cell r="E2467">
            <v>5010.1499999999996</v>
          </cell>
          <cell r="F2467">
            <v>5062.25</v>
          </cell>
        </row>
        <row r="2468">
          <cell r="B2468">
            <v>40135</v>
          </cell>
          <cell r="C2468">
            <v>5061.5</v>
          </cell>
          <cell r="D2468">
            <v>5079.3</v>
          </cell>
          <cell r="E2468">
            <v>5041.6499999999996</v>
          </cell>
          <cell r="F2468">
            <v>5054.7</v>
          </cell>
        </row>
        <row r="2469">
          <cell r="B2469">
            <v>40136</v>
          </cell>
          <cell r="C2469">
            <v>5043.95</v>
          </cell>
          <cell r="D2469">
            <v>5053.45</v>
          </cell>
          <cell r="E2469">
            <v>4963.7</v>
          </cell>
          <cell r="F2469">
            <v>4989</v>
          </cell>
        </row>
        <row r="2470">
          <cell r="B2470">
            <v>40137</v>
          </cell>
          <cell r="C2470">
            <v>4988.75</v>
          </cell>
          <cell r="D2470">
            <v>5063.3</v>
          </cell>
          <cell r="E2470">
            <v>4932.8</v>
          </cell>
          <cell r="F2470">
            <v>5052.45</v>
          </cell>
        </row>
        <row r="2471">
          <cell r="B2471">
            <v>40140</v>
          </cell>
          <cell r="C2471">
            <v>5052.95</v>
          </cell>
          <cell r="D2471">
            <v>5113.1000000000004</v>
          </cell>
          <cell r="E2471">
            <v>5052.1000000000004</v>
          </cell>
          <cell r="F2471">
            <v>5103.55</v>
          </cell>
        </row>
        <row r="2472">
          <cell r="B2472">
            <v>40141</v>
          </cell>
          <cell r="C2472">
            <v>5105</v>
          </cell>
          <cell r="D2472">
            <v>5112.8500000000004</v>
          </cell>
          <cell r="E2472">
            <v>5053.5</v>
          </cell>
          <cell r="F2472">
            <v>5090.55</v>
          </cell>
        </row>
        <row r="2473">
          <cell r="B2473">
            <v>40142</v>
          </cell>
          <cell r="C2473">
            <v>5091.55</v>
          </cell>
          <cell r="D2473">
            <v>5138</v>
          </cell>
          <cell r="E2473">
            <v>5078.3500000000004</v>
          </cell>
          <cell r="F2473">
            <v>5108.1499999999996</v>
          </cell>
        </row>
        <row r="2474">
          <cell r="B2474">
            <v>40143</v>
          </cell>
          <cell r="C2474">
            <v>5116.45</v>
          </cell>
          <cell r="D2474">
            <v>5116.45</v>
          </cell>
          <cell r="E2474">
            <v>4986.05</v>
          </cell>
          <cell r="F2474">
            <v>5005.55</v>
          </cell>
        </row>
        <row r="2475">
          <cell r="B2475">
            <v>40144</v>
          </cell>
          <cell r="C2475">
            <v>5005.05</v>
          </cell>
          <cell r="D2475">
            <v>5005.05</v>
          </cell>
          <cell r="E2475">
            <v>4806.7</v>
          </cell>
          <cell r="F2475">
            <v>4941.75</v>
          </cell>
        </row>
        <row r="2476">
          <cell r="B2476">
            <v>40147</v>
          </cell>
          <cell r="C2476">
            <v>4942.25</v>
          </cell>
          <cell r="D2476">
            <v>5066.3500000000004</v>
          </cell>
          <cell r="E2476">
            <v>4942.25</v>
          </cell>
          <cell r="F2476">
            <v>5032.7</v>
          </cell>
        </row>
        <row r="2477">
          <cell r="B2477">
            <v>40148</v>
          </cell>
          <cell r="C2477">
            <v>5039.7</v>
          </cell>
          <cell r="D2477">
            <v>5130.3500000000004</v>
          </cell>
          <cell r="E2477">
            <v>5038.8500000000004</v>
          </cell>
          <cell r="F2477">
            <v>5122</v>
          </cell>
        </row>
        <row r="2478">
          <cell r="B2478">
            <v>40149</v>
          </cell>
          <cell r="C2478">
            <v>5122.75</v>
          </cell>
          <cell r="D2478">
            <v>5161.75</v>
          </cell>
          <cell r="E2478">
            <v>5111.75</v>
          </cell>
          <cell r="F2478">
            <v>5123.25</v>
          </cell>
        </row>
        <row r="2479">
          <cell r="B2479">
            <v>40150</v>
          </cell>
          <cell r="C2479">
            <v>5124.55</v>
          </cell>
          <cell r="D2479">
            <v>5181</v>
          </cell>
          <cell r="E2479">
            <v>5106.6000000000004</v>
          </cell>
          <cell r="F2479">
            <v>5131.7</v>
          </cell>
        </row>
        <row r="2480">
          <cell r="B2480">
            <v>40151</v>
          </cell>
          <cell r="C2480">
            <v>5131.7</v>
          </cell>
          <cell r="D2480">
            <v>5161.8</v>
          </cell>
          <cell r="E2480">
            <v>5081.8500000000004</v>
          </cell>
          <cell r="F2480">
            <v>5108.8999999999996</v>
          </cell>
        </row>
        <row r="2481">
          <cell r="B2481">
            <v>40154</v>
          </cell>
          <cell r="C2481">
            <v>5108.8500000000004</v>
          </cell>
          <cell r="D2481">
            <v>5131.3</v>
          </cell>
          <cell r="E2481">
            <v>5051.55</v>
          </cell>
          <cell r="F2481">
            <v>5066.7</v>
          </cell>
        </row>
        <row r="2482">
          <cell r="B2482">
            <v>40155</v>
          </cell>
          <cell r="C2482">
            <v>5068.55</v>
          </cell>
          <cell r="D2482">
            <v>5152.55</v>
          </cell>
          <cell r="E2482">
            <v>5058.8999999999996</v>
          </cell>
          <cell r="F2482">
            <v>5147.95</v>
          </cell>
        </row>
        <row r="2483">
          <cell r="B2483">
            <v>40156</v>
          </cell>
          <cell r="C2483">
            <v>5147.6499999999996</v>
          </cell>
          <cell r="D2483">
            <v>5147.6499999999996</v>
          </cell>
          <cell r="E2483">
            <v>5090.6000000000004</v>
          </cell>
          <cell r="F2483">
            <v>5112</v>
          </cell>
        </row>
        <row r="2484">
          <cell r="B2484">
            <v>40157</v>
          </cell>
          <cell r="C2484">
            <v>5112.3999999999996</v>
          </cell>
          <cell r="D2484">
            <v>5146.45</v>
          </cell>
          <cell r="E2484">
            <v>5084.6499999999996</v>
          </cell>
          <cell r="F2484">
            <v>5134.6499999999996</v>
          </cell>
        </row>
        <row r="2485">
          <cell r="B2485">
            <v>40158</v>
          </cell>
          <cell r="C2485">
            <v>5136.05</v>
          </cell>
          <cell r="D2485">
            <v>5182.55</v>
          </cell>
          <cell r="E2485">
            <v>5088.3999999999996</v>
          </cell>
          <cell r="F2485">
            <v>5117.3</v>
          </cell>
        </row>
        <row r="2486">
          <cell r="B2486">
            <v>40161</v>
          </cell>
          <cell r="C2486">
            <v>5117.45</v>
          </cell>
          <cell r="D2486">
            <v>5156.7</v>
          </cell>
          <cell r="E2486">
            <v>5090.1499999999996</v>
          </cell>
          <cell r="F2486">
            <v>5105.7</v>
          </cell>
        </row>
        <row r="2487">
          <cell r="B2487">
            <v>40162</v>
          </cell>
          <cell r="C2487">
            <v>5105.75</v>
          </cell>
          <cell r="D2487">
            <v>5129.45</v>
          </cell>
          <cell r="E2487">
            <v>5018.25</v>
          </cell>
          <cell r="F2487">
            <v>5033.05</v>
          </cell>
        </row>
        <row r="2488">
          <cell r="B2488">
            <v>40163</v>
          </cell>
          <cell r="C2488">
            <v>5032.95</v>
          </cell>
          <cell r="D2488">
            <v>5067.25</v>
          </cell>
          <cell r="E2488">
            <v>5001.8</v>
          </cell>
          <cell r="F2488">
            <v>5042.05</v>
          </cell>
        </row>
        <row r="2489">
          <cell r="B2489">
            <v>40164</v>
          </cell>
          <cell r="C2489">
            <v>5046.6499999999996</v>
          </cell>
          <cell r="D2489">
            <v>5064.2</v>
          </cell>
          <cell r="E2489">
            <v>5013.1499999999996</v>
          </cell>
          <cell r="F2489">
            <v>5041.75</v>
          </cell>
        </row>
        <row r="2490">
          <cell r="B2490">
            <v>40165</v>
          </cell>
          <cell r="C2490">
            <v>5042</v>
          </cell>
          <cell r="D2490">
            <v>5043.3999999999996</v>
          </cell>
          <cell r="E2490">
            <v>4979.05</v>
          </cell>
          <cell r="F2490">
            <v>4987.7</v>
          </cell>
        </row>
        <row r="2491">
          <cell r="B2491">
            <v>40168</v>
          </cell>
          <cell r="C2491">
            <v>4983.6499999999996</v>
          </cell>
          <cell r="D2491">
            <v>4997.8500000000004</v>
          </cell>
          <cell r="E2491">
            <v>4943.95</v>
          </cell>
          <cell r="F2491">
            <v>4952.6000000000004</v>
          </cell>
        </row>
        <row r="2492">
          <cell r="B2492">
            <v>40169</v>
          </cell>
          <cell r="C2492">
            <v>4953.3500000000004</v>
          </cell>
          <cell r="D2492">
            <v>4997.3</v>
          </cell>
          <cell r="E2492">
            <v>4953.3500000000004</v>
          </cell>
          <cell r="F2492">
            <v>4985.8500000000004</v>
          </cell>
        </row>
        <row r="2493">
          <cell r="B2493">
            <v>40170</v>
          </cell>
          <cell r="C2493">
            <v>4990.05</v>
          </cell>
          <cell r="D2493">
            <v>5150.6000000000004</v>
          </cell>
          <cell r="E2493">
            <v>4990.05</v>
          </cell>
          <cell r="F2493">
            <v>5144.6000000000004</v>
          </cell>
        </row>
        <row r="2494">
          <cell r="B2494">
            <v>40171</v>
          </cell>
          <cell r="C2494">
            <v>5144.8</v>
          </cell>
          <cell r="D2494">
            <v>5197.8999999999996</v>
          </cell>
          <cell r="E2494">
            <v>5129.05</v>
          </cell>
          <cell r="F2494">
            <v>5178.3999999999996</v>
          </cell>
        </row>
        <row r="2495">
          <cell r="B2495">
            <v>40176</v>
          </cell>
          <cell r="C2495">
            <v>5180.75</v>
          </cell>
          <cell r="D2495">
            <v>5214.6000000000004</v>
          </cell>
          <cell r="E2495">
            <v>5175.8500000000004</v>
          </cell>
          <cell r="F2495">
            <v>5187.95</v>
          </cell>
        </row>
        <row r="2496">
          <cell r="B2496">
            <v>40177</v>
          </cell>
          <cell r="C2496">
            <v>5188.75</v>
          </cell>
          <cell r="D2496">
            <v>5197.05</v>
          </cell>
          <cell r="E2496">
            <v>5160.1000000000004</v>
          </cell>
          <cell r="F2496">
            <v>5169.45</v>
          </cell>
        </row>
        <row r="2497">
          <cell r="B2497">
            <v>40178</v>
          </cell>
          <cell r="C2497">
            <v>5171.2</v>
          </cell>
          <cell r="D2497">
            <v>5221.8500000000004</v>
          </cell>
          <cell r="E2497">
            <v>5168.75</v>
          </cell>
          <cell r="F2497">
            <v>5201.05</v>
          </cell>
        </row>
        <row r="2498">
          <cell r="B2498">
            <v>40182</v>
          </cell>
          <cell r="C2498">
            <v>5200.8999999999996</v>
          </cell>
          <cell r="D2498">
            <v>5238.45</v>
          </cell>
          <cell r="E2498">
            <v>5167.1000000000004</v>
          </cell>
          <cell r="F2498">
            <v>5232.2</v>
          </cell>
        </row>
        <row r="2499">
          <cell r="B2499">
            <v>40183</v>
          </cell>
          <cell r="C2499">
            <v>5277.15</v>
          </cell>
          <cell r="D2499">
            <v>5288.35</v>
          </cell>
          <cell r="E2499">
            <v>5242.3999999999996</v>
          </cell>
          <cell r="F2499">
            <v>5277.9</v>
          </cell>
        </row>
        <row r="2500">
          <cell r="B2500">
            <v>40184</v>
          </cell>
          <cell r="C2500">
            <v>5278.15</v>
          </cell>
          <cell r="D2500">
            <v>5310.85</v>
          </cell>
          <cell r="E2500">
            <v>5260.05</v>
          </cell>
          <cell r="F2500">
            <v>5281.8</v>
          </cell>
        </row>
        <row r="2501">
          <cell r="B2501">
            <v>40185</v>
          </cell>
          <cell r="C2501">
            <v>5281.8</v>
          </cell>
          <cell r="D2501">
            <v>5302.55</v>
          </cell>
          <cell r="E2501">
            <v>5244.75</v>
          </cell>
          <cell r="F2501">
            <v>5263.1</v>
          </cell>
        </row>
        <row r="2502">
          <cell r="B2502">
            <v>40186</v>
          </cell>
          <cell r="C2502">
            <v>5264.25</v>
          </cell>
          <cell r="D2502">
            <v>5276.75</v>
          </cell>
          <cell r="E2502">
            <v>5234.7</v>
          </cell>
          <cell r="F2502">
            <v>5244.75</v>
          </cell>
        </row>
        <row r="2503">
          <cell r="B2503">
            <v>40189</v>
          </cell>
          <cell r="C2503">
            <v>5263.8</v>
          </cell>
          <cell r="D2503">
            <v>5287.2</v>
          </cell>
          <cell r="E2503">
            <v>5227.8</v>
          </cell>
          <cell r="F2503">
            <v>5249.4</v>
          </cell>
        </row>
        <row r="2504">
          <cell r="B2504">
            <v>40190</v>
          </cell>
          <cell r="C2504">
            <v>5251.1</v>
          </cell>
          <cell r="D2504">
            <v>5300.5</v>
          </cell>
          <cell r="E2504">
            <v>5200.95</v>
          </cell>
          <cell r="F2504">
            <v>5210.3999999999996</v>
          </cell>
        </row>
        <row r="2505">
          <cell r="B2505">
            <v>40191</v>
          </cell>
          <cell r="C2505">
            <v>5212.6000000000004</v>
          </cell>
          <cell r="D2505">
            <v>5239.2</v>
          </cell>
          <cell r="E2505">
            <v>5169.55</v>
          </cell>
          <cell r="F2505">
            <v>5233.95</v>
          </cell>
        </row>
        <row r="2506">
          <cell r="B2506">
            <v>40192</v>
          </cell>
          <cell r="C2506">
            <v>5234.5</v>
          </cell>
          <cell r="D2506">
            <v>5272.85</v>
          </cell>
          <cell r="E2506">
            <v>5232.5</v>
          </cell>
          <cell r="F2506">
            <v>5259.9</v>
          </cell>
        </row>
        <row r="2507">
          <cell r="B2507">
            <v>40193</v>
          </cell>
          <cell r="C2507">
            <v>5259.9</v>
          </cell>
          <cell r="D2507">
            <v>5279.85</v>
          </cell>
          <cell r="E2507">
            <v>5242.45</v>
          </cell>
          <cell r="F2507">
            <v>5252.2</v>
          </cell>
        </row>
        <row r="2508">
          <cell r="B2508">
            <v>40196</v>
          </cell>
          <cell r="C2508">
            <v>5253.65</v>
          </cell>
          <cell r="D2508">
            <v>5292.5</v>
          </cell>
          <cell r="E2508">
            <v>5228.95</v>
          </cell>
          <cell r="F2508">
            <v>5274.85</v>
          </cell>
        </row>
        <row r="2509">
          <cell r="B2509">
            <v>40197</v>
          </cell>
          <cell r="C2509">
            <v>5274.2</v>
          </cell>
          <cell r="D2509">
            <v>5287.8</v>
          </cell>
          <cell r="E2509">
            <v>5218.6499999999996</v>
          </cell>
          <cell r="F2509">
            <v>5225.6499999999996</v>
          </cell>
        </row>
        <row r="2510">
          <cell r="B2510">
            <v>40198</v>
          </cell>
          <cell r="C2510">
            <v>5226.1000000000004</v>
          </cell>
          <cell r="D2510">
            <v>5256.7</v>
          </cell>
          <cell r="E2510">
            <v>5201.3999999999996</v>
          </cell>
          <cell r="F2510">
            <v>5221.7</v>
          </cell>
        </row>
        <row r="2511">
          <cell r="B2511">
            <v>40199</v>
          </cell>
          <cell r="C2511">
            <v>5220.2</v>
          </cell>
          <cell r="D2511">
            <v>5220.3500000000004</v>
          </cell>
          <cell r="E2511">
            <v>5085.45</v>
          </cell>
          <cell r="F2511">
            <v>5094.1499999999996</v>
          </cell>
        </row>
        <row r="2512">
          <cell r="B2512">
            <v>40200</v>
          </cell>
          <cell r="C2512">
            <v>5094.1499999999996</v>
          </cell>
          <cell r="D2512">
            <v>5094.1499999999996</v>
          </cell>
          <cell r="E2512">
            <v>4954.8500000000004</v>
          </cell>
          <cell r="F2512">
            <v>5036</v>
          </cell>
        </row>
        <row r="2513">
          <cell r="B2513">
            <v>40203</v>
          </cell>
          <cell r="C2513">
            <v>5034.55</v>
          </cell>
          <cell r="D2513">
            <v>5035.7</v>
          </cell>
          <cell r="E2513">
            <v>4983.05</v>
          </cell>
          <cell r="F2513">
            <v>5007.8999999999996</v>
          </cell>
        </row>
        <row r="2514">
          <cell r="B2514">
            <v>40205</v>
          </cell>
          <cell r="C2514">
            <v>5008.5</v>
          </cell>
          <cell r="D2514">
            <v>5008.5</v>
          </cell>
          <cell r="E2514">
            <v>4833.05</v>
          </cell>
          <cell r="F2514">
            <v>4853.1000000000004</v>
          </cell>
        </row>
        <row r="2515">
          <cell r="B2515">
            <v>40206</v>
          </cell>
          <cell r="C2515">
            <v>4863</v>
          </cell>
          <cell r="D2515">
            <v>4929.8999999999996</v>
          </cell>
          <cell r="E2515">
            <v>4824.95</v>
          </cell>
          <cell r="F2515">
            <v>4867.25</v>
          </cell>
        </row>
        <row r="2516">
          <cell r="B2516">
            <v>40207</v>
          </cell>
          <cell r="C2516">
            <v>4866.1499999999996</v>
          </cell>
          <cell r="D2516">
            <v>4893.7</v>
          </cell>
          <cell r="E2516">
            <v>4766</v>
          </cell>
          <cell r="F2516">
            <v>4882.05</v>
          </cell>
        </row>
        <row r="2517">
          <cell r="B2517">
            <v>40210</v>
          </cell>
          <cell r="C2517">
            <v>4882.05</v>
          </cell>
          <cell r="D2517">
            <v>4918.8</v>
          </cell>
          <cell r="E2517">
            <v>4827.1499999999996</v>
          </cell>
          <cell r="F2517">
            <v>4899.7</v>
          </cell>
        </row>
        <row r="2518">
          <cell r="B2518">
            <v>40211</v>
          </cell>
          <cell r="C2518">
            <v>4907.8500000000004</v>
          </cell>
          <cell r="D2518">
            <v>4951.1499999999996</v>
          </cell>
          <cell r="E2518">
            <v>4814.1000000000004</v>
          </cell>
          <cell r="F2518">
            <v>4830.1000000000004</v>
          </cell>
        </row>
        <row r="2519">
          <cell r="B2519">
            <v>40212</v>
          </cell>
          <cell r="C2519">
            <v>4831</v>
          </cell>
          <cell r="D2519">
            <v>4949.1499999999996</v>
          </cell>
          <cell r="E2519">
            <v>4831</v>
          </cell>
          <cell r="F2519">
            <v>4931.8500000000004</v>
          </cell>
        </row>
        <row r="2520">
          <cell r="B2520">
            <v>40213</v>
          </cell>
          <cell r="C2520">
            <v>4931.3</v>
          </cell>
          <cell r="D2520">
            <v>4931.3</v>
          </cell>
          <cell r="E2520">
            <v>4832.3500000000004</v>
          </cell>
          <cell r="F2520">
            <v>4845.3500000000004</v>
          </cell>
        </row>
        <row r="2521">
          <cell r="B2521">
            <v>40214</v>
          </cell>
          <cell r="C2521">
            <v>4819.6499999999996</v>
          </cell>
          <cell r="D2521">
            <v>4827</v>
          </cell>
          <cell r="E2521">
            <v>4692.3500000000004</v>
          </cell>
          <cell r="F2521">
            <v>4718.6499999999996</v>
          </cell>
        </row>
        <row r="2522">
          <cell r="B2522">
            <v>40215</v>
          </cell>
          <cell r="C2522">
            <v>4712.75</v>
          </cell>
          <cell r="D2522">
            <v>4768.1499999999996</v>
          </cell>
          <cell r="E2522">
            <v>4712.75</v>
          </cell>
          <cell r="F2522">
            <v>4757.25</v>
          </cell>
        </row>
        <row r="2523">
          <cell r="B2523">
            <v>40217</v>
          </cell>
          <cell r="C2523">
            <v>4755.3500000000004</v>
          </cell>
          <cell r="D2523">
            <v>4799.05</v>
          </cell>
          <cell r="E2523">
            <v>4675.3999999999996</v>
          </cell>
          <cell r="F2523">
            <v>4760.3999999999996</v>
          </cell>
        </row>
        <row r="2524">
          <cell r="B2524">
            <v>40218</v>
          </cell>
          <cell r="C2524">
            <v>4760.55</v>
          </cell>
          <cell r="D2524">
            <v>4810.3999999999996</v>
          </cell>
          <cell r="E2524">
            <v>4739.3500000000004</v>
          </cell>
          <cell r="F2524">
            <v>4792.6499999999996</v>
          </cell>
        </row>
        <row r="2525">
          <cell r="B2525">
            <v>40219</v>
          </cell>
          <cell r="C2525">
            <v>4793</v>
          </cell>
          <cell r="D2525">
            <v>4826.8500000000004</v>
          </cell>
          <cell r="E2525">
            <v>4748.1000000000004</v>
          </cell>
          <cell r="F2525">
            <v>4757.2</v>
          </cell>
        </row>
        <row r="2526">
          <cell r="B2526">
            <v>40220</v>
          </cell>
          <cell r="C2526">
            <v>4757.25</v>
          </cell>
          <cell r="D2526">
            <v>4843.8</v>
          </cell>
          <cell r="E2526">
            <v>4757.25</v>
          </cell>
          <cell r="F2526">
            <v>4826.8500000000004</v>
          </cell>
        </row>
        <row r="2527">
          <cell r="B2527">
            <v>40224</v>
          </cell>
          <cell r="C2527">
            <v>4827.8999999999996</v>
          </cell>
          <cell r="D2527">
            <v>4845.6000000000004</v>
          </cell>
          <cell r="E2527">
            <v>4783.8999999999996</v>
          </cell>
          <cell r="F2527">
            <v>4801.95</v>
          </cell>
        </row>
        <row r="2528">
          <cell r="B2528">
            <v>40225</v>
          </cell>
          <cell r="C2528">
            <v>4801.8</v>
          </cell>
          <cell r="D2528">
            <v>4880</v>
          </cell>
          <cell r="E2528">
            <v>4791.3500000000004</v>
          </cell>
          <cell r="F2528">
            <v>4855.75</v>
          </cell>
        </row>
        <row r="2529">
          <cell r="B2529">
            <v>40226</v>
          </cell>
          <cell r="C2529">
            <v>4858.6499999999996</v>
          </cell>
          <cell r="D2529">
            <v>4929.7</v>
          </cell>
          <cell r="E2529">
            <v>4857.6000000000004</v>
          </cell>
          <cell r="F2529">
            <v>4914</v>
          </cell>
        </row>
        <row r="2530">
          <cell r="B2530">
            <v>40227</v>
          </cell>
          <cell r="C2530">
            <v>4915.1000000000004</v>
          </cell>
          <cell r="D2530">
            <v>4922.05</v>
          </cell>
          <cell r="E2530">
            <v>4873.7</v>
          </cell>
          <cell r="F2530">
            <v>4887.75</v>
          </cell>
        </row>
        <row r="2531">
          <cell r="B2531">
            <v>40228</v>
          </cell>
          <cell r="C2531">
            <v>4887.3</v>
          </cell>
          <cell r="D2531">
            <v>4887.3</v>
          </cell>
          <cell r="E2531">
            <v>4805.55</v>
          </cell>
          <cell r="F2531">
            <v>4844.8999999999996</v>
          </cell>
        </row>
        <row r="2532">
          <cell r="B2532">
            <v>40231</v>
          </cell>
          <cell r="C2532">
            <v>4849.3500000000004</v>
          </cell>
          <cell r="D2532">
            <v>4912.05</v>
          </cell>
          <cell r="E2532">
            <v>4845.8999999999996</v>
          </cell>
          <cell r="F2532">
            <v>4856.3999999999996</v>
          </cell>
        </row>
        <row r="2533">
          <cell r="B2533">
            <v>40232</v>
          </cell>
          <cell r="C2533">
            <v>4856.6000000000004</v>
          </cell>
          <cell r="D2533">
            <v>4884.1000000000004</v>
          </cell>
          <cell r="E2533">
            <v>4833.1499999999996</v>
          </cell>
          <cell r="F2533">
            <v>4870.05</v>
          </cell>
        </row>
        <row r="2534">
          <cell r="B2534">
            <v>40233</v>
          </cell>
          <cell r="C2534">
            <v>4869.55</v>
          </cell>
          <cell r="D2534">
            <v>4880.55</v>
          </cell>
          <cell r="E2534">
            <v>4834.6499999999996</v>
          </cell>
          <cell r="F2534">
            <v>4858.6000000000004</v>
          </cell>
        </row>
        <row r="2535">
          <cell r="B2535">
            <v>40234</v>
          </cell>
          <cell r="C2535">
            <v>4859</v>
          </cell>
          <cell r="D2535">
            <v>4880.1499999999996</v>
          </cell>
          <cell r="E2535">
            <v>4835.6000000000004</v>
          </cell>
          <cell r="F2535">
            <v>4859.75</v>
          </cell>
        </row>
        <row r="2536">
          <cell r="B2536">
            <v>40235</v>
          </cell>
          <cell r="C2536">
            <v>4858.5</v>
          </cell>
          <cell r="D2536">
            <v>4992</v>
          </cell>
          <cell r="E2536">
            <v>4858.45</v>
          </cell>
          <cell r="F2536">
            <v>4922.3</v>
          </cell>
        </row>
        <row r="2537">
          <cell r="B2537">
            <v>40239</v>
          </cell>
          <cell r="C2537">
            <v>4935.6000000000004</v>
          </cell>
          <cell r="D2537">
            <v>5029.45</v>
          </cell>
          <cell r="E2537">
            <v>4935.3500000000004</v>
          </cell>
          <cell r="F2537">
            <v>5017</v>
          </cell>
        </row>
        <row r="2538">
          <cell r="B2538">
            <v>40240</v>
          </cell>
          <cell r="C2538">
            <v>5015.8</v>
          </cell>
          <cell r="D2538">
            <v>5093.25</v>
          </cell>
          <cell r="E2538">
            <v>5015.1000000000004</v>
          </cell>
          <cell r="F2538">
            <v>5088.1000000000004</v>
          </cell>
        </row>
        <row r="2539">
          <cell r="B2539">
            <v>40241</v>
          </cell>
          <cell r="C2539">
            <v>5096.95</v>
          </cell>
          <cell r="D2539">
            <v>5096.95</v>
          </cell>
          <cell r="E2539">
            <v>5049</v>
          </cell>
          <cell r="F2539">
            <v>5080.25</v>
          </cell>
        </row>
        <row r="2540">
          <cell r="B2540">
            <v>40242</v>
          </cell>
          <cell r="C2540">
            <v>5080.55</v>
          </cell>
          <cell r="D2540">
            <v>5118.6499999999996</v>
          </cell>
          <cell r="E2540">
            <v>5068.05</v>
          </cell>
          <cell r="F2540">
            <v>5088.7</v>
          </cell>
        </row>
        <row r="2541">
          <cell r="B2541">
            <v>40245</v>
          </cell>
          <cell r="C2541">
            <v>5092.1499999999996</v>
          </cell>
          <cell r="D2541">
            <v>5147.1000000000004</v>
          </cell>
          <cell r="E2541">
            <v>5092.1499999999996</v>
          </cell>
          <cell r="F2541">
            <v>5124</v>
          </cell>
        </row>
        <row r="2542">
          <cell r="B2542">
            <v>40246</v>
          </cell>
          <cell r="C2542">
            <v>5121.05</v>
          </cell>
          <cell r="D2542">
            <v>5131.8</v>
          </cell>
          <cell r="E2542">
            <v>5094.3500000000004</v>
          </cell>
          <cell r="F2542">
            <v>5101.5</v>
          </cell>
        </row>
        <row r="2543">
          <cell r="B2543">
            <v>40247</v>
          </cell>
          <cell r="C2543">
            <v>5101.6000000000004</v>
          </cell>
          <cell r="D2543">
            <v>5137.3999999999996</v>
          </cell>
          <cell r="E2543">
            <v>5092.05</v>
          </cell>
          <cell r="F2543">
            <v>5116.25</v>
          </cell>
        </row>
        <row r="2544">
          <cell r="B2544">
            <v>40248</v>
          </cell>
          <cell r="C2544">
            <v>5116.3500000000004</v>
          </cell>
          <cell r="D2544">
            <v>5152.6000000000004</v>
          </cell>
          <cell r="E2544">
            <v>5102.1000000000004</v>
          </cell>
          <cell r="F2544">
            <v>5133.3999999999996</v>
          </cell>
        </row>
        <row r="2545">
          <cell r="B2545">
            <v>40249</v>
          </cell>
          <cell r="C2545">
            <v>5131.8</v>
          </cell>
          <cell r="D2545">
            <v>5158.1000000000004</v>
          </cell>
          <cell r="E2545">
            <v>5122.1000000000004</v>
          </cell>
          <cell r="F2545">
            <v>5137</v>
          </cell>
        </row>
        <row r="2546">
          <cell r="B2546">
            <v>40252</v>
          </cell>
          <cell r="C2546">
            <v>5134.45</v>
          </cell>
          <cell r="D2546">
            <v>5151.05</v>
          </cell>
          <cell r="E2546">
            <v>5101.2</v>
          </cell>
          <cell r="F2546">
            <v>5128.8999999999996</v>
          </cell>
        </row>
        <row r="2547">
          <cell r="B2547">
            <v>40253</v>
          </cell>
          <cell r="C2547">
            <v>5128.95</v>
          </cell>
          <cell r="D2547">
            <v>5209.25</v>
          </cell>
          <cell r="E2547">
            <v>5125.7</v>
          </cell>
          <cell r="F2547">
            <v>5198.1000000000004</v>
          </cell>
        </row>
        <row r="2548">
          <cell r="B2548">
            <v>40254</v>
          </cell>
          <cell r="C2548">
            <v>5198.45</v>
          </cell>
          <cell r="D2548">
            <v>5260.5</v>
          </cell>
          <cell r="E2548">
            <v>5177.1499999999996</v>
          </cell>
          <cell r="F2548">
            <v>5231.8999999999996</v>
          </cell>
        </row>
        <row r="2549">
          <cell r="B2549">
            <v>40255</v>
          </cell>
          <cell r="C2549">
            <v>5232.55</v>
          </cell>
          <cell r="D2549">
            <v>5255.65</v>
          </cell>
          <cell r="E2549">
            <v>5214.3999999999996</v>
          </cell>
          <cell r="F2549">
            <v>5245.9</v>
          </cell>
        </row>
        <row r="2550">
          <cell r="B2550">
            <v>40256</v>
          </cell>
          <cell r="C2550">
            <v>5246.8</v>
          </cell>
          <cell r="D2550">
            <v>5269.95</v>
          </cell>
          <cell r="E2550">
            <v>5237.1000000000004</v>
          </cell>
          <cell r="F2550">
            <v>5262.8</v>
          </cell>
        </row>
        <row r="2551">
          <cell r="B2551">
            <v>40259</v>
          </cell>
          <cell r="C2551">
            <v>5260.95</v>
          </cell>
          <cell r="D2551">
            <v>5260.95</v>
          </cell>
          <cell r="E2551">
            <v>5187.05</v>
          </cell>
          <cell r="F2551">
            <v>5205.2</v>
          </cell>
        </row>
        <row r="2552">
          <cell r="B2552">
            <v>40260</v>
          </cell>
          <cell r="C2552">
            <v>5205.8500000000004</v>
          </cell>
          <cell r="D2552">
            <v>5243.6</v>
          </cell>
          <cell r="E2552">
            <v>5193.3999999999996</v>
          </cell>
          <cell r="F2552">
            <v>5225.3</v>
          </cell>
        </row>
        <row r="2553">
          <cell r="B2553">
            <v>40262</v>
          </cell>
          <cell r="C2553">
            <v>5225.3</v>
          </cell>
          <cell r="D2553">
            <v>5267.3</v>
          </cell>
          <cell r="E2553">
            <v>5202.95</v>
          </cell>
          <cell r="F2553">
            <v>5260.4</v>
          </cell>
        </row>
        <row r="2554">
          <cell r="B2554">
            <v>40263</v>
          </cell>
          <cell r="C2554">
            <v>5260.55</v>
          </cell>
          <cell r="D2554">
            <v>5293.75</v>
          </cell>
          <cell r="E2554">
            <v>5260.55</v>
          </cell>
          <cell r="F2554">
            <v>5282</v>
          </cell>
        </row>
        <row r="2555">
          <cell r="B2555">
            <v>40266</v>
          </cell>
          <cell r="C2555">
            <v>5283.9</v>
          </cell>
          <cell r="D2555">
            <v>5329.55</v>
          </cell>
          <cell r="E2555">
            <v>5242.1499999999996</v>
          </cell>
          <cell r="F2555">
            <v>5302.85</v>
          </cell>
        </row>
        <row r="2556">
          <cell r="B2556">
            <v>40267</v>
          </cell>
          <cell r="C2556">
            <v>5302.95</v>
          </cell>
          <cell r="D2556">
            <v>5325</v>
          </cell>
          <cell r="E2556">
            <v>5251.35</v>
          </cell>
          <cell r="F2556">
            <v>5262.45</v>
          </cell>
        </row>
        <row r="2557">
          <cell r="B2557">
            <v>40268</v>
          </cell>
          <cell r="C2557">
            <v>5260.4</v>
          </cell>
          <cell r="D2557">
            <v>5293.9</v>
          </cell>
          <cell r="E2557">
            <v>5235.1499999999996</v>
          </cell>
          <cell r="F2557">
            <v>5249.1</v>
          </cell>
        </row>
        <row r="2558">
          <cell r="B2558">
            <v>40269</v>
          </cell>
          <cell r="C2558">
            <v>5249.2</v>
          </cell>
          <cell r="D2558">
            <v>5298.6</v>
          </cell>
          <cell r="E2558">
            <v>5249.2</v>
          </cell>
          <cell r="F2558">
            <v>5290.5</v>
          </cell>
        </row>
        <row r="2559">
          <cell r="B2559">
            <v>40273</v>
          </cell>
          <cell r="C2559">
            <v>5291.4</v>
          </cell>
          <cell r="D2559">
            <v>5377.55</v>
          </cell>
          <cell r="E2559">
            <v>5291.4</v>
          </cell>
          <cell r="F2559">
            <v>5368.4</v>
          </cell>
        </row>
        <row r="2560">
          <cell r="B2560">
            <v>40274</v>
          </cell>
          <cell r="C2560">
            <v>5369.65</v>
          </cell>
          <cell r="D2560">
            <v>5388.65</v>
          </cell>
          <cell r="E2560">
            <v>5351.7</v>
          </cell>
          <cell r="F2560">
            <v>5366</v>
          </cell>
        </row>
        <row r="2561">
          <cell r="B2561">
            <v>40275</v>
          </cell>
          <cell r="C2561">
            <v>5365.7</v>
          </cell>
          <cell r="D2561">
            <v>5399.65</v>
          </cell>
          <cell r="E2561">
            <v>5345.05</v>
          </cell>
          <cell r="F2561">
            <v>5374.65</v>
          </cell>
        </row>
        <row r="2562">
          <cell r="B2562">
            <v>40276</v>
          </cell>
          <cell r="C2562">
            <v>5376.3</v>
          </cell>
          <cell r="D2562">
            <v>5383.65</v>
          </cell>
          <cell r="E2562">
            <v>5290.25</v>
          </cell>
          <cell r="F2562">
            <v>5304.45</v>
          </cell>
        </row>
        <row r="2563">
          <cell r="B2563">
            <v>40277</v>
          </cell>
          <cell r="C2563">
            <v>5302.4</v>
          </cell>
          <cell r="D2563">
            <v>5377.45</v>
          </cell>
          <cell r="E2563">
            <v>5302.25</v>
          </cell>
          <cell r="F2563">
            <v>5361.75</v>
          </cell>
        </row>
        <row r="2564">
          <cell r="B2564">
            <v>40280</v>
          </cell>
          <cell r="C2564">
            <v>5354.15</v>
          </cell>
          <cell r="D2564">
            <v>5382.15</v>
          </cell>
          <cell r="E2564">
            <v>5324.9</v>
          </cell>
          <cell r="F2564">
            <v>5339.7</v>
          </cell>
        </row>
        <row r="2565">
          <cell r="B2565">
            <v>40281</v>
          </cell>
          <cell r="C2565">
            <v>5340.85</v>
          </cell>
          <cell r="D2565">
            <v>5356.5</v>
          </cell>
          <cell r="E2565">
            <v>5301.7</v>
          </cell>
          <cell r="F2565">
            <v>5322.95</v>
          </cell>
        </row>
        <row r="2566">
          <cell r="B2566">
            <v>40283</v>
          </cell>
          <cell r="C2566">
            <v>5323.3</v>
          </cell>
          <cell r="D2566">
            <v>5373.15</v>
          </cell>
          <cell r="E2566">
            <v>5265.3</v>
          </cell>
          <cell r="F2566">
            <v>5273.6</v>
          </cell>
        </row>
        <row r="2567">
          <cell r="B2567">
            <v>40284</v>
          </cell>
          <cell r="C2567">
            <v>5273.4</v>
          </cell>
          <cell r="D2567">
            <v>5283.05</v>
          </cell>
          <cell r="E2567">
            <v>5237.55</v>
          </cell>
          <cell r="F2567">
            <v>5262.6</v>
          </cell>
        </row>
        <row r="2568">
          <cell r="B2568">
            <v>40287</v>
          </cell>
          <cell r="C2568">
            <v>5279.05</v>
          </cell>
          <cell r="D2568">
            <v>5279.05</v>
          </cell>
          <cell r="E2568">
            <v>5160.8999999999996</v>
          </cell>
          <cell r="F2568">
            <v>5203.6499999999996</v>
          </cell>
        </row>
        <row r="2569">
          <cell r="B2569">
            <v>40288</v>
          </cell>
          <cell r="C2569">
            <v>5208.3</v>
          </cell>
          <cell r="D2569">
            <v>5257.25</v>
          </cell>
          <cell r="E2569">
            <v>5208.3</v>
          </cell>
          <cell r="F2569">
            <v>5230.1000000000004</v>
          </cell>
        </row>
        <row r="2570">
          <cell r="B2570">
            <v>40289</v>
          </cell>
          <cell r="C2570">
            <v>5230.3</v>
          </cell>
          <cell r="D2570">
            <v>5266.3</v>
          </cell>
          <cell r="E2570">
            <v>5230.3</v>
          </cell>
          <cell r="F2570">
            <v>5244.9</v>
          </cell>
        </row>
        <row r="2571">
          <cell r="B2571">
            <v>40290</v>
          </cell>
          <cell r="C2571">
            <v>5248.6</v>
          </cell>
          <cell r="D2571">
            <v>5331.8</v>
          </cell>
          <cell r="E2571">
            <v>5221.1000000000004</v>
          </cell>
          <cell r="F2571">
            <v>5269.35</v>
          </cell>
        </row>
        <row r="2572">
          <cell r="B2572">
            <v>40291</v>
          </cell>
          <cell r="C2572">
            <v>5269.65</v>
          </cell>
          <cell r="D2572">
            <v>5311.05</v>
          </cell>
          <cell r="E2572">
            <v>5269.65</v>
          </cell>
          <cell r="F2572">
            <v>5304.1</v>
          </cell>
        </row>
        <row r="2573">
          <cell r="B2573">
            <v>40294</v>
          </cell>
          <cell r="C2573">
            <v>5299.35</v>
          </cell>
          <cell r="D2573">
            <v>5342.35</v>
          </cell>
          <cell r="E2573">
            <v>5299.35</v>
          </cell>
          <cell r="F2573">
            <v>5322.45</v>
          </cell>
        </row>
        <row r="2574">
          <cell r="B2574">
            <v>40295</v>
          </cell>
          <cell r="C2574">
            <v>5322.1</v>
          </cell>
          <cell r="D2574">
            <v>5330.55</v>
          </cell>
          <cell r="E2574">
            <v>5301.4</v>
          </cell>
          <cell r="F2574">
            <v>5308.35</v>
          </cell>
        </row>
        <row r="2575">
          <cell r="B2575">
            <v>40296</v>
          </cell>
          <cell r="C2575">
            <v>5308.2</v>
          </cell>
          <cell r="D2575">
            <v>5308.25</v>
          </cell>
          <cell r="E2575">
            <v>5202.45</v>
          </cell>
          <cell r="F2575">
            <v>5215.45</v>
          </cell>
        </row>
        <row r="2576">
          <cell r="B2576">
            <v>40297</v>
          </cell>
          <cell r="C2576">
            <v>5215.25</v>
          </cell>
          <cell r="D2576">
            <v>5264.75</v>
          </cell>
          <cell r="E2576">
            <v>5214.8</v>
          </cell>
          <cell r="F2576">
            <v>5254.15</v>
          </cell>
        </row>
        <row r="2577">
          <cell r="B2577">
            <v>40298</v>
          </cell>
          <cell r="C2577">
            <v>5254.2</v>
          </cell>
          <cell r="D2577">
            <v>5294.8</v>
          </cell>
          <cell r="E2577">
            <v>5254.2</v>
          </cell>
          <cell r="F2577">
            <v>5278</v>
          </cell>
        </row>
        <row r="2578">
          <cell r="B2578">
            <v>40301</v>
          </cell>
          <cell r="C2578">
            <v>5278.4</v>
          </cell>
          <cell r="D2578">
            <v>5278.7</v>
          </cell>
          <cell r="E2578">
            <v>5210.05</v>
          </cell>
          <cell r="F2578">
            <v>5222.75</v>
          </cell>
        </row>
        <row r="2579">
          <cell r="B2579">
            <v>40302</v>
          </cell>
          <cell r="C2579">
            <v>5223.8999999999996</v>
          </cell>
          <cell r="D2579">
            <v>5250.15</v>
          </cell>
          <cell r="E2579">
            <v>5134.8500000000004</v>
          </cell>
          <cell r="F2579">
            <v>5148.5</v>
          </cell>
        </row>
        <row r="2580">
          <cell r="B2580">
            <v>40303</v>
          </cell>
          <cell r="C2580">
            <v>5148.3500000000004</v>
          </cell>
          <cell r="D2580">
            <v>5148.3500000000004</v>
          </cell>
          <cell r="E2580">
            <v>5056.5</v>
          </cell>
          <cell r="F2580">
            <v>5124.8999999999996</v>
          </cell>
        </row>
        <row r="2581">
          <cell r="B2581">
            <v>40304</v>
          </cell>
          <cell r="C2581">
            <v>5124.3999999999996</v>
          </cell>
          <cell r="D2581">
            <v>5124.8999999999996</v>
          </cell>
          <cell r="E2581">
            <v>5037.75</v>
          </cell>
          <cell r="F2581">
            <v>5090.8500000000004</v>
          </cell>
        </row>
        <row r="2582">
          <cell r="B2582">
            <v>40305</v>
          </cell>
          <cell r="C2582">
            <v>5072.3</v>
          </cell>
          <cell r="D2582">
            <v>5085.6499999999996</v>
          </cell>
          <cell r="E2582">
            <v>4984.6000000000004</v>
          </cell>
          <cell r="F2582">
            <v>5018.05</v>
          </cell>
        </row>
        <row r="2583">
          <cell r="B2583">
            <v>40308</v>
          </cell>
          <cell r="C2583">
            <v>5026.6000000000004</v>
          </cell>
          <cell r="D2583">
            <v>5203.3</v>
          </cell>
          <cell r="E2583">
            <v>5026.6000000000004</v>
          </cell>
          <cell r="F2583">
            <v>5193.6000000000004</v>
          </cell>
        </row>
        <row r="2584">
          <cell r="B2584">
            <v>40309</v>
          </cell>
          <cell r="C2584">
            <v>5189.75</v>
          </cell>
          <cell r="D2584">
            <v>5206.7</v>
          </cell>
          <cell r="E2584">
            <v>5126.5</v>
          </cell>
          <cell r="F2584">
            <v>5136.1499999999996</v>
          </cell>
        </row>
        <row r="2585">
          <cell r="B2585">
            <v>40310</v>
          </cell>
          <cell r="C2585">
            <v>5133.75</v>
          </cell>
          <cell r="D2585">
            <v>5172.8500000000004</v>
          </cell>
          <cell r="E2585">
            <v>5098.8</v>
          </cell>
          <cell r="F2585">
            <v>5156.6499999999996</v>
          </cell>
        </row>
        <row r="2586">
          <cell r="B2586">
            <v>40311</v>
          </cell>
          <cell r="C2586">
            <v>5157.55</v>
          </cell>
          <cell r="D2586">
            <v>5212.7</v>
          </cell>
          <cell r="E2586">
            <v>5147.95</v>
          </cell>
          <cell r="F2586">
            <v>5178.8999999999996</v>
          </cell>
        </row>
        <row r="2587">
          <cell r="B2587">
            <v>40312</v>
          </cell>
          <cell r="C2587">
            <v>5180.55</v>
          </cell>
          <cell r="D2587">
            <v>5192.75</v>
          </cell>
          <cell r="E2587">
            <v>5070.95</v>
          </cell>
          <cell r="F2587">
            <v>5093.5</v>
          </cell>
        </row>
        <row r="2588">
          <cell r="B2588">
            <v>40315</v>
          </cell>
          <cell r="C2588">
            <v>5093.8999999999996</v>
          </cell>
          <cell r="D2588">
            <v>5094.55</v>
          </cell>
          <cell r="E2588">
            <v>4966.25</v>
          </cell>
          <cell r="F2588">
            <v>5059.8999999999996</v>
          </cell>
        </row>
        <row r="2589">
          <cell r="B2589">
            <v>40316</v>
          </cell>
          <cell r="C2589">
            <v>5059.55</v>
          </cell>
          <cell r="D2589">
            <v>5105.2</v>
          </cell>
          <cell r="E2589">
            <v>5024.25</v>
          </cell>
          <cell r="F2589">
            <v>5066.2</v>
          </cell>
        </row>
        <row r="2590">
          <cell r="B2590">
            <v>40317</v>
          </cell>
          <cell r="C2590">
            <v>5065.1000000000004</v>
          </cell>
          <cell r="D2590">
            <v>5065.1000000000004</v>
          </cell>
          <cell r="E2590">
            <v>4908.1499999999996</v>
          </cell>
          <cell r="F2590">
            <v>4919.6499999999996</v>
          </cell>
        </row>
        <row r="2591">
          <cell r="B2591">
            <v>40318</v>
          </cell>
          <cell r="C2591">
            <v>4924.3</v>
          </cell>
          <cell r="D2591">
            <v>4980.25</v>
          </cell>
          <cell r="E2591">
            <v>4924.3</v>
          </cell>
          <cell r="F2591">
            <v>4947.6000000000004</v>
          </cell>
        </row>
        <row r="2592">
          <cell r="B2592">
            <v>40319</v>
          </cell>
          <cell r="C2592">
            <v>4946.7</v>
          </cell>
          <cell r="D2592">
            <v>4946.7</v>
          </cell>
          <cell r="E2592">
            <v>4842.3</v>
          </cell>
          <cell r="F2592">
            <v>4931.1499999999996</v>
          </cell>
        </row>
        <row r="2593">
          <cell r="B2593">
            <v>40322</v>
          </cell>
          <cell r="C2593">
            <v>4944.3</v>
          </cell>
          <cell r="D2593">
            <v>5029.55</v>
          </cell>
          <cell r="E2593">
            <v>4923.45</v>
          </cell>
          <cell r="F2593">
            <v>4943.95</v>
          </cell>
        </row>
        <row r="2594">
          <cell r="B2594">
            <v>40323</v>
          </cell>
          <cell r="C2594">
            <v>4945.3</v>
          </cell>
          <cell r="D2594">
            <v>4946.6000000000004</v>
          </cell>
          <cell r="E2594">
            <v>4786.45</v>
          </cell>
          <cell r="F2594">
            <v>4806.75</v>
          </cell>
        </row>
        <row r="2595">
          <cell r="B2595">
            <v>40324</v>
          </cell>
          <cell r="C2595">
            <v>4807.3</v>
          </cell>
          <cell r="D2595">
            <v>4925.45</v>
          </cell>
          <cell r="E2595">
            <v>4807.3</v>
          </cell>
          <cell r="F2595">
            <v>4917.3999999999996</v>
          </cell>
        </row>
        <row r="2596">
          <cell r="B2596">
            <v>40325</v>
          </cell>
          <cell r="C2596">
            <v>4915.1499999999996</v>
          </cell>
          <cell r="D2596">
            <v>5016.6000000000004</v>
          </cell>
          <cell r="E2596">
            <v>4897.6000000000004</v>
          </cell>
          <cell r="F2596">
            <v>5003.1000000000004</v>
          </cell>
        </row>
        <row r="2597">
          <cell r="B2597">
            <v>40326</v>
          </cell>
          <cell r="C2597">
            <v>5005.6000000000004</v>
          </cell>
          <cell r="D2597">
            <v>5077.25</v>
          </cell>
          <cell r="E2597">
            <v>5005.6000000000004</v>
          </cell>
          <cell r="F2597">
            <v>5066.55</v>
          </cell>
        </row>
        <row r="2598">
          <cell r="B2598">
            <v>40329</v>
          </cell>
          <cell r="C2598">
            <v>5076.1000000000004</v>
          </cell>
          <cell r="D2598">
            <v>5097.6000000000004</v>
          </cell>
          <cell r="E2598">
            <v>5038.55</v>
          </cell>
          <cell r="F2598">
            <v>5086.3</v>
          </cell>
        </row>
        <row r="2599">
          <cell r="B2599">
            <v>40330</v>
          </cell>
          <cell r="C2599">
            <v>5086.25</v>
          </cell>
          <cell r="D2599">
            <v>5086.95</v>
          </cell>
          <cell r="E2599">
            <v>4961.05</v>
          </cell>
          <cell r="F2599">
            <v>4970.2</v>
          </cell>
        </row>
        <row r="2600">
          <cell r="B2600">
            <v>40331</v>
          </cell>
          <cell r="C2600">
            <v>4970.75</v>
          </cell>
          <cell r="D2600">
            <v>5031.2</v>
          </cell>
          <cell r="E2600">
            <v>4967.05</v>
          </cell>
          <cell r="F2600">
            <v>5019.8500000000004</v>
          </cell>
        </row>
        <row r="2601">
          <cell r="B2601">
            <v>40332</v>
          </cell>
          <cell r="C2601">
            <v>5020.1499999999996</v>
          </cell>
          <cell r="D2601">
            <v>5125.7</v>
          </cell>
          <cell r="E2601">
            <v>5020.1499999999996</v>
          </cell>
          <cell r="F2601">
            <v>5110.5</v>
          </cell>
        </row>
        <row r="2602">
          <cell r="B2602">
            <v>40333</v>
          </cell>
          <cell r="C2602">
            <v>5112.6000000000004</v>
          </cell>
          <cell r="D2602">
            <v>5147.8999999999996</v>
          </cell>
          <cell r="E2602">
            <v>5091.6000000000004</v>
          </cell>
          <cell r="F2602">
            <v>5135.5</v>
          </cell>
        </row>
        <row r="2603">
          <cell r="B2603">
            <v>40336</v>
          </cell>
          <cell r="C2603">
            <v>5132.95</v>
          </cell>
          <cell r="D2603">
            <v>5132.95</v>
          </cell>
          <cell r="E2603">
            <v>5004.25</v>
          </cell>
          <cell r="F2603">
            <v>5034</v>
          </cell>
        </row>
        <row r="2604">
          <cell r="B2604">
            <v>40337</v>
          </cell>
          <cell r="C2604">
            <v>5036.7</v>
          </cell>
          <cell r="D2604">
            <v>5071.3500000000004</v>
          </cell>
          <cell r="E2604">
            <v>4967.3</v>
          </cell>
          <cell r="F2604">
            <v>4987.1000000000004</v>
          </cell>
        </row>
        <row r="2605">
          <cell r="B2605">
            <v>40338</v>
          </cell>
          <cell r="C2605">
            <v>4985.05</v>
          </cell>
          <cell r="D2605">
            <v>5050.6000000000004</v>
          </cell>
          <cell r="E2605">
            <v>4980.1000000000004</v>
          </cell>
          <cell r="F2605">
            <v>5000.3</v>
          </cell>
        </row>
        <row r="2606">
          <cell r="B2606">
            <v>40339</v>
          </cell>
          <cell r="C2606">
            <v>4999.6000000000004</v>
          </cell>
          <cell r="D2606">
            <v>5085.2</v>
          </cell>
          <cell r="E2606">
            <v>4997.6000000000004</v>
          </cell>
          <cell r="F2606">
            <v>5078.6000000000004</v>
          </cell>
        </row>
        <row r="2607">
          <cell r="B2607">
            <v>40340</v>
          </cell>
          <cell r="C2607">
            <v>5078.75</v>
          </cell>
          <cell r="D2607">
            <v>5139.05</v>
          </cell>
          <cell r="E2607">
            <v>5078.75</v>
          </cell>
          <cell r="F2607">
            <v>5119.3500000000004</v>
          </cell>
        </row>
        <row r="2608">
          <cell r="B2608">
            <v>40343</v>
          </cell>
          <cell r="C2608">
            <v>5120.1499999999996</v>
          </cell>
          <cell r="D2608">
            <v>5201.25</v>
          </cell>
          <cell r="E2608">
            <v>5120.1499999999996</v>
          </cell>
          <cell r="F2608">
            <v>5197.7</v>
          </cell>
        </row>
        <row r="2609">
          <cell r="B2609">
            <v>40344</v>
          </cell>
          <cell r="C2609">
            <v>5201.3</v>
          </cell>
          <cell r="D2609">
            <v>5231.45</v>
          </cell>
          <cell r="E2609">
            <v>5171.05</v>
          </cell>
          <cell r="F2609">
            <v>5222.3500000000004</v>
          </cell>
        </row>
        <row r="2610">
          <cell r="B2610">
            <v>40345</v>
          </cell>
          <cell r="C2610">
            <v>5225.05</v>
          </cell>
          <cell r="D2610">
            <v>5255.65</v>
          </cell>
          <cell r="E2610">
            <v>5214.8999999999996</v>
          </cell>
          <cell r="F2610">
            <v>5233.3500000000004</v>
          </cell>
        </row>
        <row r="2611">
          <cell r="B2611">
            <v>40346</v>
          </cell>
          <cell r="C2611">
            <v>5233.6499999999996</v>
          </cell>
          <cell r="D2611">
            <v>5285.55</v>
          </cell>
          <cell r="E2611">
            <v>5206.55</v>
          </cell>
          <cell r="F2611">
            <v>5274.85</v>
          </cell>
        </row>
        <row r="2612">
          <cell r="B2612">
            <v>40347</v>
          </cell>
          <cell r="C2612">
            <v>5274.95</v>
          </cell>
          <cell r="D2612">
            <v>5302.3</v>
          </cell>
          <cell r="E2612">
            <v>5245.5</v>
          </cell>
          <cell r="F2612">
            <v>5262.6</v>
          </cell>
        </row>
        <row r="2613">
          <cell r="B2613">
            <v>40350</v>
          </cell>
          <cell r="C2613">
            <v>5266.5</v>
          </cell>
          <cell r="D2613">
            <v>5366.75</v>
          </cell>
          <cell r="E2613">
            <v>5266.5</v>
          </cell>
          <cell r="F2613">
            <v>5353.3</v>
          </cell>
        </row>
        <row r="2614">
          <cell r="B2614">
            <v>40351</v>
          </cell>
          <cell r="C2614">
            <v>5353.95</v>
          </cell>
          <cell r="D2614">
            <v>5354.35</v>
          </cell>
          <cell r="E2614">
            <v>5311.05</v>
          </cell>
          <cell r="F2614">
            <v>5316.55</v>
          </cell>
        </row>
        <row r="2615">
          <cell r="B2615">
            <v>40352</v>
          </cell>
          <cell r="C2615">
            <v>5316.15</v>
          </cell>
          <cell r="D2615">
            <v>5333.3</v>
          </cell>
          <cell r="E2615">
            <v>5288.15</v>
          </cell>
          <cell r="F2615">
            <v>5323.15</v>
          </cell>
        </row>
        <row r="2616">
          <cell r="B2616">
            <v>40353</v>
          </cell>
          <cell r="C2616">
            <v>5323.25</v>
          </cell>
          <cell r="D2616">
            <v>5348.3</v>
          </cell>
          <cell r="E2616">
            <v>5284.55</v>
          </cell>
          <cell r="F2616">
            <v>5320.6</v>
          </cell>
        </row>
        <row r="2617">
          <cell r="B2617">
            <v>40354</v>
          </cell>
          <cell r="C2617">
            <v>5320.5</v>
          </cell>
          <cell r="D2617">
            <v>5320.5</v>
          </cell>
          <cell r="E2617">
            <v>5259.9</v>
          </cell>
          <cell r="F2617">
            <v>5269.05</v>
          </cell>
        </row>
        <row r="2618">
          <cell r="B2618">
            <v>40357</v>
          </cell>
          <cell r="C2618">
            <v>5271.1</v>
          </cell>
          <cell r="D2618">
            <v>5339.45</v>
          </cell>
          <cell r="E2618">
            <v>5270.75</v>
          </cell>
          <cell r="F2618">
            <v>5333.5</v>
          </cell>
        </row>
        <row r="2619">
          <cell r="B2619">
            <v>40358</v>
          </cell>
          <cell r="C2619">
            <v>5333.55</v>
          </cell>
          <cell r="D2619">
            <v>5334.15</v>
          </cell>
          <cell r="E2619">
            <v>5235.8</v>
          </cell>
          <cell r="F2619">
            <v>5256.15</v>
          </cell>
        </row>
        <row r="2620">
          <cell r="B2620">
            <v>40359</v>
          </cell>
          <cell r="C2620">
            <v>5254.25</v>
          </cell>
          <cell r="D2620">
            <v>5320.35</v>
          </cell>
          <cell r="E2620">
            <v>5210</v>
          </cell>
          <cell r="F2620">
            <v>5312.5</v>
          </cell>
        </row>
        <row r="2621">
          <cell r="B2621">
            <v>40360</v>
          </cell>
          <cell r="C2621">
            <v>5312.05</v>
          </cell>
          <cell r="D2621">
            <v>5312.55</v>
          </cell>
          <cell r="E2621">
            <v>5232.1000000000004</v>
          </cell>
          <cell r="F2621">
            <v>5251.4</v>
          </cell>
        </row>
        <row r="2622">
          <cell r="B2622">
            <v>40361</v>
          </cell>
          <cell r="C2622">
            <v>5251.25</v>
          </cell>
          <cell r="D2622">
            <v>5277.25</v>
          </cell>
          <cell r="E2622">
            <v>5225.6000000000004</v>
          </cell>
          <cell r="F2622">
            <v>5237.1000000000004</v>
          </cell>
        </row>
        <row r="2623">
          <cell r="B2623">
            <v>40364</v>
          </cell>
          <cell r="C2623">
            <v>5237</v>
          </cell>
          <cell r="D2623">
            <v>5252.75</v>
          </cell>
          <cell r="E2623">
            <v>5225.8500000000004</v>
          </cell>
          <cell r="F2623">
            <v>5235.8999999999996</v>
          </cell>
        </row>
        <row r="2624">
          <cell r="B2624">
            <v>40365</v>
          </cell>
          <cell r="C2624">
            <v>5236.1000000000004</v>
          </cell>
          <cell r="D2624">
            <v>5297.45</v>
          </cell>
          <cell r="E2624">
            <v>5231.5</v>
          </cell>
          <cell r="F2624">
            <v>5289.05</v>
          </cell>
        </row>
        <row r="2625">
          <cell r="B2625">
            <v>40366</v>
          </cell>
          <cell r="C2625">
            <v>5293.1</v>
          </cell>
          <cell r="D2625">
            <v>5296.75</v>
          </cell>
          <cell r="E2625">
            <v>5233.45</v>
          </cell>
          <cell r="F2625">
            <v>5241.1000000000004</v>
          </cell>
        </row>
        <row r="2626">
          <cell r="B2626">
            <v>40367</v>
          </cell>
          <cell r="C2626">
            <v>5242</v>
          </cell>
          <cell r="D2626">
            <v>5320.5</v>
          </cell>
          <cell r="E2626">
            <v>5242</v>
          </cell>
          <cell r="F2626">
            <v>5296.85</v>
          </cell>
        </row>
        <row r="2627">
          <cell r="B2627">
            <v>40368</v>
          </cell>
          <cell r="C2627">
            <v>5297.2</v>
          </cell>
          <cell r="D2627">
            <v>5359.05</v>
          </cell>
          <cell r="E2627">
            <v>5297.2</v>
          </cell>
          <cell r="F2627">
            <v>5352.45</v>
          </cell>
        </row>
        <row r="2628">
          <cell r="B2628">
            <v>40371</v>
          </cell>
          <cell r="C2628">
            <v>5352.25</v>
          </cell>
          <cell r="D2628">
            <v>5402.7</v>
          </cell>
          <cell r="E2628">
            <v>5351.6</v>
          </cell>
          <cell r="F2628">
            <v>5383</v>
          </cell>
        </row>
        <row r="2629">
          <cell r="B2629">
            <v>40372</v>
          </cell>
          <cell r="C2629">
            <v>5370.2</v>
          </cell>
          <cell r="D2629">
            <v>5406.2</v>
          </cell>
          <cell r="E2629">
            <v>5357.85</v>
          </cell>
          <cell r="F2629">
            <v>5400.65</v>
          </cell>
        </row>
        <row r="2630">
          <cell r="B2630">
            <v>40373</v>
          </cell>
          <cell r="C2630">
            <v>5402</v>
          </cell>
          <cell r="D2630">
            <v>5453.45</v>
          </cell>
          <cell r="E2630">
            <v>5371.7</v>
          </cell>
          <cell r="F2630">
            <v>5386.15</v>
          </cell>
        </row>
        <row r="2631">
          <cell r="B2631">
            <v>40374</v>
          </cell>
          <cell r="C2631">
            <v>5387.1</v>
          </cell>
          <cell r="D2631">
            <v>5399.2</v>
          </cell>
          <cell r="E2631">
            <v>5360.6</v>
          </cell>
          <cell r="F2631">
            <v>5378.75</v>
          </cell>
        </row>
        <row r="2632">
          <cell r="B2632">
            <v>40375</v>
          </cell>
          <cell r="C2632">
            <v>5376.65</v>
          </cell>
          <cell r="D2632">
            <v>5401.35</v>
          </cell>
          <cell r="E2632">
            <v>5374.4</v>
          </cell>
          <cell r="F2632">
            <v>5393.9</v>
          </cell>
        </row>
        <row r="2633">
          <cell r="B2633">
            <v>40378</v>
          </cell>
          <cell r="C2633">
            <v>5392.7</v>
          </cell>
          <cell r="D2633">
            <v>5409.1</v>
          </cell>
          <cell r="E2633">
            <v>5361.5</v>
          </cell>
          <cell r="F2633">
            <v>5386.45</v>
          </cell>
        </row>
        <row r="2634">
          <cell r="B2634">
            <v>40379</v>
          </cell>
          <cell r="C2634">
            <v>5387</v>
          </cell>
          <cell r="D2634">
            <v>5416.45</v>
          </cell>
          <cell r="E2634">
            <v>5353.6</v>
          </cell>
          <cell r="F2634">
            <v>5368</v>
          </cell>
        </row>
        <row r="2635">
          <cell r="B2635">
            <v>40380</v>
          </cell>
          <cell r="C2635">
            <v>5368.85</v>
          </cell>
          <cell r="D2635">
            <v>5409.1</v>
          </cell>
          <cell r="E2635">
            <v>5368.85</v>
          </cell>
          <cell r="F2635">
            <v>5399.35</v>
          </cell>
        </row>
        <row r="2636">
          <cell r="B2636">
            <v>40381</v>
          </cell>
          <cell r="C2636">
            <v>5399.15</v>
          </cell>
          <cell r="D2636">
            <v>5447.15</v>
          </cell>
          <cell r="E2636">
            <v>5372.2</v>
          </cell>
          <cell r="F2636">
            <v>5441.95</v>
          </cell>
        </row>
        <row r="2637">
          <cell r="B2637">
            <v>40382</v>
          </cell>
          <cell r="C2637">
            <v>5441.9</v>
          </cell>
          <cell r="D2637">
            <v>5477.5</v>
          </cell>
          <cell r="E2637">
            <v>5435.15</v>
          </cell>
          <cell r="F2637">
            <v>5449.1</v>
          </cell>
        </row>
        <row r="2638">
          <cell r="B2638">
            <v>40385</v>
          </cell>
          <cell r="C2638">
            <v>5446.55</v>
          </cell>
          <cell r="D2638">
            <v>5466.25</v>
          </cell>
          <cell r="E2638">
            <v>5409.2</v>
          </cell>
          <cell r="F2638">
            <v>5418.6</v>
          </cell>
        </row>
        <row r="2639">
          <cell r="B2639">
            <v>40386</v>
          </cell>
          <cell r="C2639">
            <v>5420.2</v>
          </cell>
          <cell r="D2639">
            <v>5450.95</v>
          </cell>
          <cell r="E2639">
            <v>5407.2</v>
          </cell>
          <cell r="F2639">
            <v>5430.6</v>
          </cell>
        </row>
        <row r="2640">
          <cell r="B2640">
            <v>40387</v>
          </cell>
          <cell r="C2640">
            <v>5436.1</v>
          </cell>
          <cell r="D2640">
            <v>5447.85</v>
          </cell>
          <cell r="E2640">
            <v>5386.25</v>
          </cell>
          <cell r="F2640">
            <v>5397.55</v>
          </cell>
        </row>
        <row r="2641">
          <cell r="B2641">
            <v>40388</v>
          </cell>
          <cell r="C2641">
            <v>5397.85</v>
          </cell>
          <cell r="D2641">
            <v>5415.85</v>
          </cell>
          <cell r="E2641">
            <v>5381.55</v>
          </cell>
          <cell r="F2641">
            <v>5408.9</v>
          </cell>
        </row>
        <row r="2642">
          <cell r="B2642">
            <v>40389</v>
          </cell>
          <cell r="C2642">
            <v>5408.4</v>
          </cell>
          <cell r="D2642">
            <v>5413.25</v>
          </cell>
          <cell r="E2642">
            <v>5349.2</v>
          </cell>
          <cell r="F2642">
            <v>5367.6</v>
          </cell>
        </row>
        <row r="2643">
          <cell r="B2643">
            <v>40392</v>
          </cell>
          <cell r="C2643">
            <v>5369.55</v>
          </cell>
          <cell r="D2643">
            <v>5438.85</v>
          </cell>
          <cell r="E2643">
            <v>5351.3</v>
          </cell>
          <cell r="F2643">
            <v>5431.65</v>
          </cell>
        </row>
        <row r="2644">
          <cell r="B2644">
            <v>40393</v>
          </cell>
          <cell r="C2644">
            <v>5432.5</v>
          </cell>
          <cell r="D2644">
            <v>5459.2</v>
          </cell>
          <cell r="E2644">
            <v>5426.4</v>
          </cell>
          <cell r="F2644">
            <v>5439.55</v>
          </cell>
        </row>
        <row r="2645">
          <cell r="B2645">
            <v>40394</v>
          </cell>
          <cell r="C2645">
            <v>5441.35</v>
          </cell>
          <cell r="D2645">
            <v>5481.9</v>
          </cell>
          <cell r="E2645">
            <v>5428.4</v>
          </cell>
          <cell r="F2645">
            <v>5467.85</v>
          </cell>
        </row>
        <row r="2646">
          <cell r="B2646">
            <v>40395</v>
          </cell>
          <cell r="C2646">
            <v>5470.15</v>
          </cell>
          <cell r="D2646">
            <v>5487.15</v>
          </cell>
          <cell r="E2646">
            <v>5443.1</v>
          </cell>
          <cell r="F2646">
            <v>5447.1</v>
          </cell>
        </row>
        <row r="2647">
          <cell r="B2647">
            <v>40396</v>
          </cell>
          <cell r="C2647">
            <v>5448.25</v>
          </cell>
          <cell r="D2647">
            <v>5471.9</v>
          </cell>
          <cell r="E2647">
            <v>5431.35</v>
          </cell>
          <cell r="F2647">
            <v>5439.25</v>
          </cell>
        </row>
        <row r="2648">
          <cell r="B2648">
            <v>40399</v>
          </cell>
          <cell r="C2648">
            <v>5439.8</v>
          </cell>
          <cell r="D2648">
            <v>5492.3</v>
          </cell>
          <cell r="E2648">
            <v>5433.25</v>
          </cell>
          <cell r="F2648">
            <v>5486.15</v>
          </cell>
        </row>
        <row r="2649">
          <cell r="B2649">
            <v>40400</v>
          </cell>
          <cell r="C2649">
            <v>5486.8</v>
          </cell>
          <cell r="D2649">
            <v>5491.45</v>
          </cell>
          <cell r="E2649">
            <v>5445.35</v>
          </cell>
          <cell r="F2649">
            <v>5460.7</v>
          </cell>
        </row>
        <row r="2650">
          <cell r="B2650">
            <v>40401</v>
          </cell>
          <cell r="C2650">
            <v>5460.7</v>
          </cell>
          <cell r="D2650">
            <v>5474.6</v>
          </cell>
          <cell r="E2650">
            <v>5412</v>
          </cell>
          <cell r="F2650">
            <v>5420.6</v>
          </cell>
        </row>
        <row r="2651">
          <cell r="B2651">
            <v>40402</v>
          </cell>
          <cell r="C2651">
            <v>5418.7</v>
          </cell>
          <cell r="D2651">
            <v>5431.1</v>
          </cell>
          <cell r="E2651">
            <v>5372.45</v>
          </cell>
          <cell r="F2651">
            <v>5416.45</v>
          </cell>
        </row>
        <row r="2652">
          <cell r="B2652">
            <v>40403</v>
          </cell>
          <cell r="C2652">
            <v>5420.65</v>
          </cell>
          <cell r="D2652">
            <v>5476.5</v>
          </cell>
          <cell r="E2652">
            <v>5415.5</v>
          </cell>
          <cell r="F2652">
            <v>5452.1</v>
          </cell>
        </row>
        <row r="2653">
          <cell r="B2653">
            <v>40406</v>
          </cell>
          <cell r="C2653">
            <v>5452.1</v>
          </cell>
          <cell r="D2653">
            <v>5465.25</v>
          </cell>
          <cell r="E2653">
            <v>5397.4</v>
          </cell>
          <cell r="F2653">
            <v>5418.3</v>
          </cell>
        </row>
        <row r="2654">
          <cell r="B2654">
            <v>40407</v>
          </cell>
          <cell r="C2654">
            <v>5422.15</v>
          </cell>
          <cell r="D2654">
            <v>5443.55</v>
          </cell>
          <cell r="E2654">
            <v>5408.8</v>
          </cell>
          <cell r="F2654">
            <v>5414.15</v>
          </cell>
        </row>
        <row r="2655">
          <cell r="B2655">
            <v>40408</v>
          </cell>
          <cell r="C2655">
            <v>5416.25</v>
          </cell>
          <cell r="D2655">
            <v>5487.95</v>
          </cell>
          <cell r="E2655">
            <v>5416.25</v>
          </cell>
          <cell r="F2655">
            <v>5479.15</v>
          </cell>
        </row>
        <row r="2656">
          <cell r="B2656">
            <v>40409</v>
          </cell>
          <cell r="C2656">
            <v>5478.25</v>
          </cell>
          <cell r="D2656">
            <v>5544.7</v>
          </cell>
          <cell r="E2656">
            <v>5478.1</v>
          </cell>
          <cell r="F2656">
            <v>5540.2</v>
          </cell>
        </row>
        <row r="2657">
          <cell r="B2657">
            <v>40410</v>
          </cell>
          <cell r="C2657">
            <v>5540.8</v>
          </cell>
          <cell r="D2657">
            <v>5546.6</v>
          </cell>
          <cell r="E2657">
            <v>5513.35</v>
          </cell>
          <cell r="F2657">
            <v>5530.65</v>
          </cell>
        </row>
        <row r="2658">
          <cell r="B2658">
            <v>40413</v>
          </cell>
          <cell r="C2658">
            <v>5531.15</v>
          </cell>
          <cell r="D2658">
            <v>5549.8</v>
          </cell>
          <cell r="E2658">
            <v>5519.4</v>
          </cell>
          <cell r="F2658">
            <v>5543.5</v>
          </cell>
        </row>
        <row r="2659">
          <cell r="B2659">
            <v>40414</v>
          </cell>
          <cell r="C2659">
            <v>5541.1</v>
          </cell>
          <cell r="D2659">
            <v>5547.25</v>
          </cell>
          <cell r="E2659">
            <v>5488.45</v>
          </cell>
          <cell r="F2659">
            <v>5505.1</v>
          </cell>
        </row>
        <row r="2660">
          <cell r="B2660">
            <v>40415</v>
          </cell>
          <cell r="C2660">
            <v>5505.3</v>
          </cell>
          <cell r="D2660">
            <v>5506.15</v>
          </cell>
          <cell r="E2660">
            <v>5452.55</v>
          </cell>
          <cell r="F2660">
            <v>5462.35</v>
          </cell>
        </row>
        <row r="2661">
          <cell r="B2661">
            <v>40416</v>
          </cell>
          <cell r="C2661">
            <v>5462.1</v>
          </cell>
          <cell r="D2661">
            <v>5486.55</v>
          </cell>
          <cell r="E2661">
            <v>5454.7</v>
          </cell>
          <cell r="F2661">
            <v>5477.9</v>
          </cell>
        </row>
        <row r="2662">
          <cell r="B2662">
            <v>40417</v>
          </cell>
          <cell r="C2662">
            <v>5489.6</v>
          </cell>
          <cell r="D2662">
            <v>5495.2</v>
          </cell>
          <cell r="E2662">
            <v>5391.95</v>
          </cell>
          <cell r="F2662">
            <v>5408.7</v>
          </cell>
        </row>
        <row r="2663">
          <cell r="B2663">
            <v>40420</v>
          </cell>
          <cell r="C2663">
            <v>5408.9</v>
          </cell>
          <cell r="D2663">
            <v>5469</v>
          </cell>
          <cell r="E2663">
            <v>5390.35</v>
          </cell>
          <cell r="F2663">
            <v>5415.45</v>
          </cell>
        </row>
        <row r="2664">
          <cell r="B2664">
            <v>40421</v>
          </cell>
          <cell r="C2664">
            <v>5413.55</v>
          </cell>
          <cell r="D2664">
            <v>5413.9</v>
          </cell>
          <cell r="E2664">
            <v>5348.9</v>
          </cell>
          <cell r="F2664">
            <v>5402.4</v>
          </cell>
        </row>
        <row r="2665">
          <cell r="B2665">
            <v>40422</v>
          </cell>
          <cell r="C2665">
            <v>5403.05</v>
          </cell>
          <cell r="D2665">
            <v>5478.6</v>
          </cell>
          <cell r="E2665">
            <v>5403.05</v>
          </cell>
          <cell r="F2665">
            <v>5471.85</v>
          </cell>
        </row>
        <row r="2666">
          <cell r="B2666">
            <v>40423</v>
          </cell>
          <cell r="C2666">
            <v>5471.9</v>
          </cell>
          <cell r="D2666">
            <v>5513.95</v>
          </cell>
          <cell r="E2666">
            <v>5471.85</v>
          </cell>
          <cell r="F2666">
            <v>5486.15</v>
          </cell>
        </row>
        <row r="2667">
          <cell r="B2667">
            <v>40424</v>
          </cell>
          <cell r="C2667">
            <v>5486.3</v>
          </cell>
          <cell r="D2667">
            <v>5510.4</v>
          </cell>
          <cell r="E2667">
            <v>5473.65</v>
          </cell>
          <cell r="F2667">
            <v>5479.4</v>
          </cell>
        </row>
        <row r="2668">
          <cell r="B2668">
            <v>40427</v>
          </cell>
          <cell r="C2668">
            <v>5479.55</v>
          </cell>
          <cell r="D2668">
            <v>5589.4</v>
          </cell>
          <cell r="E2668">
            <v>5479.55</v>
          </cell>
          <cell r="F2668">
            <v>5576.95</v>
          </cell>
        </row>
        <row r="2669">
          <cell r="B2669">
            <v>40428</v>
          </cell>
          <cell r="C2669">
            <v>5575.9</v>
          </cell>
          <cell r="D2669">
            <v>5625.5</v>
          </cell>
          <cell r="E2669">
            <v>5571.65</v>
          </cell>
          <cell r="F2669">
            <v>5604</v>
          </cell>
        </row>
        <row r="2670">
          <cell r="B2670">
            <v>40429</v>
          </cell>
          <cell r="C2670">
            <v>5604.25</v>
          </cell>
          <cell r="D2670">
            <v>5625.3</v>
          </cell>
          <cell r="E2670">
            <v>5567.75</v>
          </cell>
          <cell r="F2670">
            <v>5607.85</v>
          </cell>
        </row>
        <row r="2671">
          <cell r="B2671">
            <v>40430</v>
          </cell>
          <cell r="C2671">
            <v>5608.3</v>
          </cell>
          <cell r="D2671">
            <v>5647.45</v>
          </cell>
          <cell r="E2671">
            <v>5608.1</v>
          </cell>
          <cell r="F2671">
            <v>5640.05</v>
          </cell>
        </row>
        <row r="2672">
          <cell r="B2672">
            <v>40434</v>
          </cell>
          <cell r="C2672">
            <v>5639.2</v>
          </cell>
          <cell r="D2672">
            <v>5770.6</v>
          </cell>
          <cell r="E2672">
            <v>5639.2</v>
          </cell>
          <cell r="F2672">
            <v>5760</v>
          </cell>
        </row>
        <row r="2673">
          <cell r="B2673">
            <v>40435</v>
          </cell>
          <cell r="C2673">
            <v>5760.3</v>
          </cell>
          <cell r="D2673">
            <v>5838.45</v>
          </cell>
          <cell r="E2673">
            <v>5760.3</v>
          </cell>
          <cell r="F2673">
            <v>5795.55</v>
          </cell>
        </row>
        <row r="2674">
          <cell r="B2674">
            <v>40436</v>
          </cell>
          <cell r="C2674">
            <v>5795.25</v>
          </cell>
          <cell r="D2674">
            <v>5869.45</v>
          </cell>
          <cell r="E2674">
            <v>5792.2</v>
          </cell>
          <cell r="F2674">
            <v>5860.95</v>
          </cell>
        </row>
        <row r="2675">
          <cell r="B2675">
            <v>40437</v>
          </cell>
          <cell r="C2675">
            <v>5861.1</v>
          </cell>
          <cell r="D2675">
            <v>5901.65</v>
          </cell>
          <cell r="E2675">
            <v>5815.8</v>
          </cell>
          <cell r="F2675">
            <v>5828.7</v>
          </cell>
        </row>
        <row r="2676">
          <cell r="B2676">
            <v>40438</v>
          </cell>
          <cell r="C2676">
            <v>5828.7</v>
          </cell>
          <cell r="D2676">
            <v>5898.4</v>
          </cell>
          <cell r="E2676">
            <v>5828.7</v>
          </cell>
          <cell r="F2676">
            <v>5884.95</v>
          </cell>
        </row>
        <row r="2677">
          <cell r="B2677">
            <v>40441</v>
          </cell>
          <cell r="C2677">
            <v>5885.05</v>
          </cell>
          <cell r="D2677">
            <v>5989.5</v>
          </cell>
          <cell r="E2677">
            <v>5885.05</v>
          </cell>
          <cell r="F2677">
            <v>5980.45</v>
          </cell>
        </row>
        <row r="2678">
          <cell r="B2678">
            <v>40442</v>
          </cell>
          <cell r="C2678">
            <v>5980.5</v>
          </cell>
          <cell r="D2678">
            <v>6032.8</v>
          </cell>
          <cell r="E2678">
            <v>5961.85</v>
          </cell>
          <cell r="F2678">
            <v>6009.05</v>
          </cell>
        </row>
        <row r="2679">
          <cell r="B2679">
            <v>40443</v>
          </cell>
          <cell r="C2679">
            <v>6008.4</v>
          </cell>
          <cell r="D2679">
            <v>6037.4</v>
          </cell>
          <cell r="E2679">
            <v>5946.45</v>
          </cell>
          <cell r="F2679">
            <v>5991</v>
          </cell>
        </row>
        <row r="2680">
          <cell r="B2680">
            <v>40444</v>
          </cell>
          <cell r="C2680">
            <v>5991.05</v>
          </cell>
          <cell r="D2680">
            <v>6006.8</v>
          </cell>
          <cell r="E2680">
            <v>5932.4</v>
          </cell>
          <cell r="F2680">
            <v>5959.55</v>
          </cell>
        </row>
        <row r="2681">
          <cell r="B2681">
            <v>40445</v>
          </cell>
          <cell r="C2681">
            <v>5959.45</v>
          </cell>
          <cell r="D2681">
            <v>6029.1</v>
          </cell>
          <cell r="E2681">
            <v>5951.2</v>
          </cell>
          <cell r="F2681">
            <v>6018.3</v>
          </cell>
        </row>
        <row r="2682">
          <cell r="B2682">
            <v>40448</v>
          </cell>
          <cell r="C2682">
            <v>6018.3</v>
          </cell>
          <cell r="D2682">
            <v>6073.5</v>
          </cell>
          <cell r="E2682">
            <v>6018.3</v>
          </cell>
          <cell r="F2682">
            <v>6035.65</v>
          </cell>
        </row>
        <row r="2683">
          <cell r="B2683">
            <v>40449</v>
          </cell>
          <cell r="C2683">
            <v>6036.05</v>
          </cell>
          <cell r="D2683">
            <v>6049.8</v>
          </cell>
          <cell r="E2683">
            <v>5991.3</v>
          </cell>
          <cell r="F2683">
            <v>6029.5</v>
          </cell>
        </row>
        <row r="2684">
          <cell r="B2684">
            <v>40450</v>
          </cell>
          <cell r="C2684">
            <v>6029.15</v>
          </cell>
          <cell r="D2684">
            <v>6071.55</v>
          </cell>
          <cell r="E2684">
            <v>5979.65</v>
          </cell>
          <cell r="F2684">
            <v>5991.3</v>
          </cell>
        </row>
        <row r="2685">
          <cell r="B2685">
            <v>40451</v>
          </cell>
          <cell r="C2685">
            <v>5991.35</v>
          </cell>
          <cell r="D2685">
            <v>6048.45</v>
          </cell>
          <cell r="E2685">
            <v>5963.6</v>
          </cell>
          <cell r="F2685">
            <v>6029.95</v>
          </cell>
        </row>
        <row r="2686">
          <cell r="B2686">
            <v>40452</v>
          </cell>
          <cell r="C2686">
            <v>6030.3</v>
          </cell>
          <cell r="D2686">
            <v>6153.1</v>
          </cell>
          <cell r="E2686">
            <v>6030.3</v>
          </cell>
          <cell r="F2686">
            <v>6143.4</v>
          </cell>
        </row>
        <row r="2687">
          <cell r="B2687">
            <v>40455</v>
          </cell>
          <cell r="C2687">
            <v>6144.7</v>
          </cell>
          <cell r="D2687">
            <v>6222.1</v>
          </cell>
          <cell r="E2687">
            <v>6144.7</v>
          </cell>
          <cell r="F2687">
            <v>6159.45</v>
          </cell>
        </row>
        <row r="2688">
          <cell r="B2688">
            <v>40456</v>
          </cell>
          <cell r="C2688">
            <v>6159.45</v>
          </cell>
          <cell r="D2688">
            <v>6188.35</v>
          </cell>
          <cell r="E2688">
            <v>6118.05</v>
          </cell>
          <cell r="F2688">
            <v>6145.8</v>
          </cell>
        </row>
        <row r="2689">
          <cell r="B2689">
            <v>40457</v>
          </cell>
          <cell r="C2689">
            <v>6150.95</v>
          </cell>
          <cell r="D2689">
            <v>6223.4</v>
          </cell>
          <cell r="E2689">
            <v>6148.6</v>
          </cell>
          <cell r="F2689">
            <v>6186.45</v>
          </cell>
        </row>
        <row r="2690">
          <cell r="B2690">
            <v>40458</v>
          </cell>
          <cell r="C2690">
            <v>6186.85</v>
          </cell>
          <cell r="D2690">
            <v>6199.45</v>
          </cell>
          <cell r="E2690">
            <v>6107.5</v>
          </cell>
          <cell r="F2690">
            <v>6120.3</v>
          </cell>
        </row>
        <row r="2691">
          <cell r="B2691">
            <v>40459</v>
          </cell>
          <cell r="C2691">
            <v>6121.4</v>
          </cell>
          <cell r="D2691">
            <v>6148.6</v>
          </cell>
          <cell r="E2691">
            <v>6067</v>
          </cell>
          <cell r="F2691">
            <v>6103.45</v>
          </cell>
        </row>
        <row r="2692">
          <cell r="B2692">
            <v>40462</v>
          </cell>
          <cell r="C2692">
            <v>6105.95</v>
          </cell>
          <cell r="D2692">
            <v>6187.75</v>
          </cell>
          <cell r="E2692">
            <v>6105.95</v>
          </cell>
          <cell r="F2692">
            <v>6135.85</v>
          </cell>
        </row>
        <row r="2693">
          <cell r="B2693">
            <v>40463</v>
          </cell>
          <cell r="C2693">
            <v>6135.95</v>
          </cell>
          <cell r="D2693">
            <v>6144.95</v>
          </cell>
          <cell r="E2693">
            <v>6057.95</v>
          </cell>
          <cell r="F2693">
            <v>6090.9</v>
          </cell>
        </row>
        <row r="2694">
          <cell r="B2694">
            <v>40464</v>
          </cell>
          <cell r="C2694">
            <v>6091.45</v>
          </cell>
          <cell r="D2694">
            <v>6240.25</v>
          </cell>
          <cell r="E2694">
            <v>6089.75</v>
          </cell>
          <cell r="F2694">
            <v>6233.9</v>
          </cell>
        </row>
        <row r="2695">
          <cell r="B2695">
            <v>40465</v>
          </cell>
          <cell r="C2695">
            <v>6234.3</v>
          </cell>
          <cell r="D2695">
            <v>6284.1</v>
          </cell>
          <cell r="E2695">
            <v>6157.9</v>
          </cell>
          <cell r="F2695">
            <v>6177.35</v>
          </cell>
        </row>
        <row r="2696">
          <cell r="B2696">
            <v>40466</v>
          </cell>
          <cell r="C2696">
            <v>6175.9</v>
          </cell>
          <cell r="D2696">
            <v>6200.6</v>
          </cell>
          <cell r="E2696">
            <v>6050.35</v>
          </cell>
          <cell r="F2696">
            <v>6062.65</v>
          </cell>
        </row>
        <row r="2697">
          <cell r="B2697">
            <v>40469</v>
          </cell>
          <cell r="C2697">
            <v>6112.75</v>
          </cell>
          <cell r="D2697">
            <v>6115.1</v>
          </cell>
          <cell r="E2697">
            <v>5985.1</v>
          </cell>
          <cell r="F2697">
            <v>6075.95</v>
          </cell>
        </row>
        <row r="2698">
          <cell r="B2698">
            <v>40470</v>
          </cell>
          <cell r="C2698">
            <v>6114.45</v>
          </cell>
          <cell r="D2698">
            <v>6127.05</v>
          </cell>
          <cell r="E2698">
            <v>6008.15</v>
          </cell>
          <cell r="F2698">
            <v>6027.3</v>
          </cell>
        </row>
        <row r="2699">
          <cell r="B2699">
            <v>40471</v>
          </cell>
          <cell r="C2699">
            <v>6002.95</v>
          </cell>
          <cell r="D2699">
            <v>6038.1</v>
          </cell>
          <cell r="E2699">
            <v>5966.75</v>
          </cell>
          <cell r="F2699">
            <v>5982.1</v>
          </cell>
        </row>
        <row r="2700">
          <cell r="B2700">
            <v>40472</v>
          </cell>
          <cell r="C2700">
            <v>6008.9</v>
          </cell>
          <cell r="D2700">
            <v>6113.5</v>
          </cell>
          <cell r="E2700">
            <v>5984.9</v>
          </cell>
          <cell r="F2700">
            <v>6101.5</v>
          </cell>
        </row>
        <row r="2701">
          <cell r="B2701">
            <v>40473</v>
          </cell>
          <cell r="C2701">
            <v>6113.4</v>
          </cell>
          <cell r="D2701">
            <v>6121.1</v>
          </cell>
          <cell r="E2701">
            <v>6041.35</v>
          </cell>
          <cell r="F2701">
            <v>6066.05</v>
          </cell>
        </row>
        <row r="2702">
          <cell r="B2702">
            <v>40476</v>
          </cell>
          <cell r="C2702">
            <v>6101.25</v>
          </cell>
          <cell r="D2702">
            <v>6151.3</v>
          </cell>
          <cell r="E2702">
            <v>6094.6</v>
          </cell>
          <cell r="F2702">
            <v>6105.8</v>
          </cell>
        </row>
        <row r="2703">
          <cell r="B2703">
            <v>40477</v>
          </cell>
          <cell r="C2703">
            <v>6116.3</v>
          </cell>
          <cell r="D2703">
            <v>6120.25</v>
          </cell>
          <cell r="E2703">
            <v>6074.65</v>
          </cell>
          <cell r="F2703">
            <v>6082</v>
          </cell>
        </row>
        <row r="2704">
          <cell r="B2704">
            <v>40478</v>
          </cell>
          <cell r="C2704">
            <v>6075.45</v>
          </cell>
          <cell r="D2704">
            <v>6075.95</v>
          </cell>
          <cell r="E2704">
            <v>5987.55</v>
          </cell>
          <cell r="F2704">
            <v>6012.65</v>
          </cell>
        </row>
        <row r="2705">
          <cell r="B2705">
            <v>40479</v>
          </cell>
          <cell r="C2705">
            <v>6039.95</v>
          </cell>
          <cell r="D2705">
            <v>6071.1</v>
          </cell>
          <cell r="E2705">
            <v>5968.1</v>
          </cell>
          <cell r="F2705">
            <v>5987.7</v>
          </cell>
        </row>
        <row r="2706">
          <cell r="B2706">
            <v>40480</v>
          </cell>
          <cell r="C2706">
            <v>6021.15</v>
          </cell>
          <cell r="D2706">
            <v>6032.65</v>
          </cell>
          <cell r="E2706">
            <v>5937.1</v>
          </cell>
          <cell r="F2706">
            <v>6017.7</v>
          </cell>
        </row>
        <row r="2707">
          <cell r="B2707">
            <v>40483</v>
          </cell>
          <cell r="C2707">
            <v>6092.3</v>
          </cell>
          <cell r="D2707">
            <v>6132.4</v>
          </cell>
          <cell r="E2707">
            <v>6084.75</v>
          </cell>
          <cell r="F2707">
            <v>6117.55</v>
          </cell>
        </row>
        <row r="2708">
          <cell r="B2708">
            <v>40484</v>
          </cell>
          <cell r="C2708">
            <v>6127.55</v>
          </cell>
          <cell r="D2708">
            <v>6138.1</v>
          </cell>
          <cell r="E2708">
            <v>6094.4</v>
          </cell>
          <cell r="F2708">
            <v>6119</v>
          </cell>
        </row>
        <row r="2709">
          <cell r="B2709">
            <v>40485</v>
          </cell>
          <cell r="C2709">
            <v>6150.6</v>
          </cell>
          <cell r="D2709">
            <v>6182.5</v>
          </cell>
          <cell r="E2709">
            <v>6146.8</v>
          </cell>
          <cell r="F2709">
            <v>6160.5</v>
          </cell>
        </row>
        <row r="2710">
          <cell r="B2710">
            <v>40486</v>
          </cell>
          <cell r="C2710">
            <v>6209.6</v>
          </cell>
          <cell r="D2710">
            <v>6290.15</v>
          </cell>
          <cell r="E2710">
            <v>6199.35</v>
          </cell>
          <cell r="F2710">
            <v>6281.8</v>
          </cell>
        </row>
        <row r="2711">
          <cell r="B2711">
            <v>40487</v>
          </cell>
          <cell r="C2711">
            <v>6321.85</v>
          </cell>
          <cell r="D2711">
            <v>6338.5</v>
          </cell>
          <cell r="E2711">
            <v>6303.1</v>
          </cell>
          <cell r="F2711">
            <v>6312.45</v>
          </cell>
        </row>
        <row r="2712">
          <cell r="B2712">
            <v>40490</v>
          </cell>
          <cell r="C2712">
            <v>6335.25</v>
          </cell>
          <cell r="D2712">
            <v>6335.9</v>
          </cell>
          <cell r="E2712">
            <v>6265.35</v>
          </cell>
          <cell r="F2712">
            <v>6273.2</v>
          </cell>
        </row>
        <row r="2713">
          <cell r="B2713">
            <v>40491</v>
          </cell>
          <cell r="C2713">
            <v>6281</v>
          </cell>
          <cell r="D2713">
            <v>6310.9</v>
          </cell>
          <cell r="E2713">
            <v>6243.55</v>
          </cell>
          <cell r="F2713">
            <v>6301.55</v>
          </cell>
        </row>
        <row r="2714">
          <cell r="B2714">
            <v>40492</v>
          </cell>
          <cell r="C2714">
            <v>6303.2</v>
          </cell>
          <cell r="D2714">
            <v>6307.65</v>
          </cell>
          <cell r="E2714">
            <v>6269.25</v>
          </cell>
          <cell r="F2714">
            <v>6275.7</v>
          </cell>
        </row>
        <row r="2715">
          <cell r="B2715">
            <v>40493</v>
          </cell>
          <cell r="C2715">
            <v>6286.35</v>
          </cell>
          <cell r="D2715">
            <v>6296.55</v>
          </cell>
          <cell r="E2715">
            <v>6179.5</v>
          </cell>
          <cell r="F2715">
            <v>6194.25</v>
          </cell>
        </row>
        <row r="2716">
          <cell r="B2716">
            <v>40494</v>
          </cell>
          <cell r="C2716">
            <v>6182.3</v>
          </cell>
          <cell r="D2716">
            <v>6202.5</v>
          </cell>
          <cell r="E2716">
            <v>6056.75</v>
          </cell>
          <cell r="F2716">
            <v>6071.65</v>
          </cell>
        </row>
        <row r="2717">
          <cell r="B2717">
            <v>40497</v>
          </cell>
          <cell r="C2717">
            <v>6079.9</v>
          </cell>
          <cell r="D2717">
            <v>6128.75</v>
          </cell>
          <cell r="E2717">
            <v>6039.4</v>
          </cell>
          <cell r="F2717">
            <v>6121.6</v>
          </cell>
        </row>
        <row r="2718">
          <cell r="B2718">
            <v>40498</v>
          </cell>
          <cell r="C2718">
            <v>6143.45</v>
          </cell>
          <cell r="D2718">
            <v>6144.05</v>
          </cell>
          <cell r="E2718">
            <v>5970.6</v>
          </cell>
          <cell r="F2718">
            <v>5988.7</v>
          </cell>
        </row>
        <row r="2719">
          <cell r="B2719">
            <v>40500</v>
          </cell>
          <cell r="C2719">
            <v>6075.95</v>
          </cell>
          <cell r="D2719">
            <v>6076.2</v>
          </cell>
          <cell r="E2719">
            <v>5906.75</v>
          </cell>
          <cell r="F2719">
            <v>5998.8</v>
          </cell>
        </row>
        <row r="2720">
          <cell r="B2720">
            <v>40501</v>
          </cell>
          <cell r="C2720">
            <v>6011.3</v>
          </cell>
          <cell r="D2720">
            <v>6013.25</v>
          </cell>
          <cell r="E2720">
            <v>5863.95</v>
          </cell>
          <cell r="F2720">
            <v>5890.3</v>
          </cell>
        </row>
        <row r="2721">
          <cell r="B2721">
            <v>40504</v>
          </cell>
          <cell r="C2721">
            <v>5920.9</v>
          </cell>
          <cell r="D2721">
            <v>6020.25</v>
          </cell>
          <cell r="E2721">
            <v>5905.15</v>
          </cell>
          <cell r="F2721">
            <v>6010</v>
          </cell>
        </row>
        <row r="2722">
          <cell r="B2722">
            <v>40505</v>
          </cell>
          <cell r="C2722">
            <v>5971.55</v>
          </cell>
          <cell r="D2722">
            <v>5973.35</v>
          </cell>
          <cell r="E2722">
            <v>5824.95</v>
          </cell>
          <cell r="F2722">
            <v>5934.75</v>
          </cell>
        </row>
        <row r="2723">
          <cell r="B2723">
            <v>40506</v>
          </cell>
          <cell r="C2723">
            <v>5946.8</v>
          </cell>
          <cell r="D2723">
            <v>5976.65</v>
          </cell>
          <cell r="E2723">
            <v>5833.6</v>
          </cell>
          <cell r="F2723">
            <v>5865.75</v>
          </cell>
        </row>
        <row r="2724">
          <cell r="B2724">
            <v>40507</v>
          </cell>
          <cell r="C2724">
            <v>5883.95</v>
          </cell>
          <cell r="D2724">
            <v>5907.1</v>
          </cell>
          <cell r="E2724">
            <v>5780.35</v>
          </cell>
          <cell r="F2724">
            <v>5799.75</v>
          </cell>
        </row>
        <row r="2725">
          <cell r="B2725">
            <v>40508</v>
          </cell>
          <cell r="C2725">
            <v>5828.55</v>
          </cell>
          <cell r="D2725">
            <v>5838.5</v>
          </cell>
          <cell r="E2725">
            <v>5690.35</v>
          </cell>
          <cell r="F2725">
            <v>5751.95</v>
          </cell>
        </row>
        <row r="2726">
          <cell r="B2726">
            <v>40511</v>
          </cell>
          <cell r="C2726">
            <v>5789.95</v>
          </cell>
          <cell r="D2726">
            <v>5843.15</v>
          </cell>
          <cell r="E2726">
            <v>5754.7</v>
          </cell>
          <cell r="F2726">
            <v>5830</v>
          </cell>
        </row>
        <row r="2727">
          <cell r="B2727">
            <v>40512</v>
          </cell>
          <cell r="C2727">
            <v>5811.6</v>
          </cell>
          <cell r="D2727">
            <v>5892.25</v>
          </cell>
          <cell r="E2727">
            <v>5768.35</v>
          </cell>
          <cell r="F2727">
            <v>5862.7</v>
          </cell>
        </row>
        <row r="2728">
          <cell r="B2728">
            <v>40513</v>
          </cell>
          <cell r="C2728">
            <v>5871</v>
          </cell>
          <cell r="D2728">
            <v>5971</v>
          </cell>
          <cell r="E2728">
            <v>5865.55</v>
          </cell>
          <cell r="F2728">
            <v>5960.9</v>
          </cell>
        </row>
        <row r="2729">
          <cell r="B2729">
            <v>40514</v>
          </cell>
          <cell r="C2729">
            <v>6023.05</v>
          </cell>
          <cell r="D2729">
            <v>6029.5</v>
          </cell>
          <cell r="E2729">
            <v>5980.6</v>
          </cell>
          <cell r="F2729">
            <v>6011.7</v>
          </cell>
        </row>
        <row r="2730">
          <cell r="B2730">
            <v>40515</v>
          </cell>
          <cell r="C2730">
            <v>6013.35</v>
          </cell>
          <cell r="D2730">
            <v>6025.4</v>
          </cell>
          <cell r="E2730">
            <v>5964.25</v>
          </cell>
          <cell r="F2730">
            <v>5992.8</v>
          </cell>
        </row>
        <row r="2731">
          <cell r="B2731">
            <v>40518</v>
          </cell>
          <cell r="C2731">
            <v>6033.65</v>
          </cell>
          <cell r="D2731">
            <v>6069.45</v>
          </cell>
          <cell r="E2731">
            <v>5981.7</v>
          </cell>
          <cell r="F2731">
            <v>5992.25</v>
          </cell>
        </row>
        <row r="2732">
          <cell r="B2732">
            <v>40519</v>
          </cell>
          <cell r="C2732">
            <v>5995.05</v>
          </cell>
          <cell r="D2732">
            <v>6001</v>
          </cell>
          <cell r="E2732">
            <v>5939.7</v>
          </cell>
          <cell r="F2732">
            <v>5976.55</v>
          </cell>
        </row>
        <row r="2733">
          <cell r="B2733">
            <v>40520</v>
          </cell>
          <cell r="C2733">
            <v>5954.4</v>
          </cell>
          <cell r="D2733">
            <v>5960</v>
          </cell>
          <cell r="E2733">
            <v>5878.6</v>
          </cell>
          <cell r="F2733">
            <v>5903.7</v>
          </cell>
        </row>
        <row r="2734">
          <cell r="B2734">
            <v>40521</v>
          </cell>
          <cell r="C2734">
            <v>5924.25</v>
          </cell>
          <cell r="D2734">
            <v>5927.3</v>
          </cell>
          <cell r="E2734">
            <v>5742.3</v>
          </cell>
          <cell r="F2734">
            <v>5766.5</v>
          </cell>
        </row>
        <row r="2735">
          <cell r="B2735">
            <v>40522</v>
          </cell>
          <cell r="C2735">
            <v>5761</v>
          </cell>
          <cell r="D2735">
            <v>5865.5</v>
          </cell>
          <cell r="E2735">
            <v>5721.15</v>
          </cell>
          <cell r="F2735">
            <v>5857.35</v>
          </cell>
        </row>
        <row r="2736">
          <cell r="B2736">
            <v>40525</v>
          </cell>
          <cell r="C2736">
            <v>5882.65</v>
          </cell>
          <cell r="D2736">
            <v>5913.8</v>
          </cell>
          <cell r="E2736">
            <v>5795.9</v>
          </cell>
          <cell r="F2736">
            <v>5907.65</v>
          </cell>
        </row>
        <row r="2737">
          <cell r="B2737">
            <v>40526</v>
          </cell>
          <cell r="C2737">
            <v>5928.7</v>
          </cell>
          <cell r="D2737">
            <v>5953.95</v>
          </cell>
          <cell r="E2737">
            <v>5888.75</v>
          </cell>
          <cell r="F2737">
            <v>5944.1</v>
          </cell>
        </row>
        <row r="2738">
          <cell r="B2738">
            <v>40527</v>
          </cell>
          <cell r="C2738">
            <v>5931.15</v>
          </cell>
          <cell r="D2738">
            <v>5942.75</v>
          </cell>
          <cell r="E2738">
            <v>5865.8</v>
          </cell>
          <cell r="F2738">
            <v>5892.3</v>
          </cell>
        </row>
        <row r="2739">
          <cell r="B2739">
            <v>40528</v>
          </cell>
          <cell r="C2739">
            <v>5910.55</v>
          </cell>
          <cell r="D2739">
            <v>5956.15</v>
          </cell>
          <cell r="E2739">
            <v>5855.05</v>
          </cell>
          <cell r="F2739">
            <v>5948.75</v>
          </cell>
        </row>
        <row r="2740">
          <cell r="B2740">
            <v>40532</v>
          </cell>
          <cell r="C2740">
            <v>5926.85</v>
          </cell>
          <cell r="D2740">
            <v>5985</v>
          </cell>
          <cell r="E2740">
            <v>5900.25</v>
          </cell>
          <cell r="F2740">
            <v>5947.05</v>
          </cell>
        </row>
        <row r="2741">
          <cell r="B2741">
            <v>40533</v>
          </cell>
          <cell r="C2741">
            <v>5960.4</v>
          </cell>
          <cell r="D2741">
            <v>6007.45</v>
          </cell>
          <cell r="E2741">
            <v>5960.05</v>
          </cell>
          <cell r="F2741">
            <v>6000.65</v>
          </cell>
        </row>
        <row r="2742">
          <cell r="B2742">
            <v>40534</v>
          </cell>
          <cell r="C2742">
            <v>6019</v>
          </cell>
          <cell r="D2742">
            <v>6023.8</v>
          </cell>
          <cell r="E2742">
            <v>5958</v>
          </cell>
          <cell r="F2742">
            <v>5984.4</v>
          </cell>
        </row>
        <row r="2743">
          <cell r="B2743">
            <v>40535</v>
          </cell>
          <cell r="C2743">
            <v>6005.9</v>
          </cell>
          <cell r="D2743">
            <v>6006.45</v>
          </cell>
          <cell r="E2743">
            <v>5964.6</v>
          </cell>
          <cell r="F2743">
            <v>5980</v>
          </cell>
        </row>
        <row r="2744">
          <cell r="B2744">
            <v>40536</v>
          </cell>
          <cell r="C2744">
            <v>5940.25</v>
          </cell>
          <cell r="D2744">
            <v>6017.35</v>
          </cell>
          <cell r="E2744">
            <v>5940.25</v>
          </cell>
          <cell r="F2744">
            <v>6011.6</v>
          </cell>
        </row>
        <row r="2745">
          <cell r="B2745">
            <v>40539</v>
          </cell>
          <cell r="C2745">
            <v>6013.3</v>
          </cell>
          <cell r="D2745">
            <v>6045.75</v>
          </cell>
          <cell r="E2745">
            <v>5991.1</v>
          </cell>
          <cell r="F2745">
            <v>5998.1</v>
          </cell>
        </row>
        <row r="2746">
          <cell r="B2746">
            <v>40540</v>
          </cell>
          <cell r="C2746">
            <v>6005.35</v>
          </cell>
          <cell r="D2746">
            <v>6010.9</v>
          </cell>
          <cell r="E2746">
            <v>5982.25</v>
          </cell>
          <cell r="F2746">
            <v>5996</v>
          </cell>
        </row>
        <row r="2747">
          <cell r="B2747">
            <v>40541</v>
          </cell>
          <cell r="C2747">
            <v>6005.15</v>
          </cell>
          <cell r="D2747">
            <v>6067.55</v>
          </cell>
          <cell r="E2747">
            <v>6002.85</v>
          </cell>
          <cell r="F2747">
            <v>6060.35</v>
          </cell>
        </row>
        <row r="2748">
          <cell r="B2748">
            <v>40542</v>
          </cell>
          <cell r="C2748">
            <v>6062.35</v>
          </cell>
          <cell r="D2748">
            <v>6106.4</v>
          </cell>
          <cell r="E2748">
            <v>6062.35</v>
          </cell>
          <cell r="F2748">
            <v>6101.85</v>
          </cell>
        </row>
        <row r="2749">
          <cell r="B2749">
            <v>40543</v>
          </cell>
          <cell r="C2749">
            <v>6105.1</v>
          </cell>
          <cell r="D2749">
            <v>6147.3</v>
          </cell>
          <cell r="E2749">
            <v>6103.55</v>
          </cell>
          <cell r="F2749">
            <v>6134.5</v>
          </cell>
        </row>
        <row r="2750">
          <cell r="B2750">
            <v>40546</v>
          </cell>
          <cell r="C2750">
            <v>6177.45</v>
          </cell>
          <cell r="D2750">
            <v>6178.55</v>
          </cell>
          <cell r="E2750">
            <v>6147.2</v>
          </cell>
          <cell r="F2750">
            <v>6157.6</v>
          </cell>
        </row>
        <row r="2751">
          <cell r="B2751">
            <v>40547</v>
          </cell>
          <cell r="C2751">
            <v>6172.75</v>
          </cell>
          <cell r="D2751">
            <v>6181.05</v>
          </cell>
          <cell r="E2751">
            <v>6124.4</v>
          </cell>
          <cell r="F2751">
            <v>6146.35</v>
          </cell>
        </row>
        <row r="2752">
          <cell r="B2752">
            <v>40548</v>
          </cell>
          <cell r="C2752">
            <v>6141.35</v>
          </cell>
          <cell r="D2752">
            <v>6141.35</v>
          </cell>
          <cell r="E2752">
            <v>6062.35</v>
          </cell>
          <cell r="F2752">
            <v>6079.8</v>
          </cell>
        </row>
        <row r="2753">
          <cell r="B2753">
            <v>40549</v>
          </cell>
          <cell r="C2753">
            <v>6107</v>
          </cell>
          <cell r="D2753">
            <v>6116.15</v>
          </cell>
          <cell r="E2753">
            <v>6022.3</v>
          </cell>
          <cell r="F2753">
            <v>6048.25</v>
          </cell>
        </row>
        <row r="2754">
          <cell r="B2754">
            <v>40550</v>
          </cell>
          <cell r="C2754">
            <v>6030.9</v>
          </cell>
          <cell r="D2754">
            <v>6051.2</v>
          </cell>
          <cell r="E2754">
            <v>5883.6</v>
          </cell>
          <cell r="F2754">
            <v>5904.6</v>
          </cell>
        </row>
        <row r="2755">
          <cell r="B2755">
            <v>40553</v>
          </cell>
          <cell r="C2755">
            <v>5901.3</v>
          </cell>
          <cell r="D2755">
            <v>5907.25</v>
          </cell>
          <cell r="E2755">
            <v>5740.95</v>
          </cell>
          <cell r="F2755">
            <v>5762.85</v>
          </cell>
        </row>
        <row r="2756">
          <cell r="B2756">
            <v>40554</v>
          </cell>
          <cell r="C2756">
            <v>5767.95</v>
          </cell>
          <cell r="D2756">
            <v>5842.6</v>
          </cell>
          <cell r="E2756">
            <v>5698.2</v>
          </cell>
          <cell r="F2756">
            <v>5754.1</v>
          </cell>
        </row>
        <row r="2757">
          <cell r="B2757">
            <v>40555</v>
          </cell>
          <cell r="C2757">
            <v>5800.05</v>
          </cell>
          <cell r="D2757">
            <v>5874.2</v>
          </cell>
          <cell r="E2757">
            <v>5711.3</v>
          </cell>
          <cell r="F2757">
            <v>5863.25</v>
          </cell>
        </row>
        <row r="2758">
          <cell r="B2758">
            <v>40556</v>
          </cell>
          <cell r="C2758">
            <v>5850.75</v>
          </cell>
          <cell r="D2758">
            <v>5857.75</v>
          </cell>
          <cell r="E2758">
            <v>5736.7</v>
          </cell>
          <cell r="F2758">
            <v>5751.9</v>
          </cell>
        </row>
        <row r="2759">
          <cell r="B2759">
            <v>40557</v>
          </cell>
          <cell r="C2759">
            <v>5752.1</v>
          </cell>
          <cell r="D2759">
            <v>5833.65</v>
          </cell>
          <cell r="E2759">
            <v>5639.65</v>
          </cell>
          <cell r="F2759">
            <v>5654.55</v>
          </cell>
        </row>
        <row r="2760">
          <cell r="B2760">
            <v>40560</v>
          </cell>
          <cell r="C2760">
            <v>5648.8</v>
          </cell>
          <cell r="D2760">
            <v>5696.15</v>
          </cell>
          <cell r="E2760">
            <v>5624.15</v>
          </cell>
          <cell r="F2760">
            <v>5654.75</v>
          </cell>
        </row>
        <row r="2761">
          <cell r="B2761">
            <v>40561</v>
          </cell>
          <cell r="C2761">
            <v>5682.55</v>
          </cell>
          <cell r="D2761">
            <v>5730.5</v>
          </cell>
          <cell r="E2761">
            <v>5671.25</v>
          </cell>
          <cell r="F2761">
            <v>5724.05</v>
          </cell>
        </row>
        <row r="2762">
          <cell r="B2762">
            <v>40562</v>
          </cell>
          <cell r="C2762">
            <v>5737.35</v>
          </cell>
          <cell r="D2762">
            <v>5747.65</v>
          </cell>
          <cell r="E2762">
            <v>5662.55</v>
          </cell>
          <cell r="F2762">
            <v>5691.05</v>
          </cell>
        </row>
        <row r="2763">
          <cell r="B2763">
            <v>40563</v>
          </cell>
          <cell r="C2763">
            <v>5656</v>
          </cell>
          <cell r="D2763">
            <v>5729.45</v>
          </cell>
          <cell r="E2763">
            <v>5634.5</v>
          </cell>
          <cell r="F2763">
            <v>5711.6</v>
          </cell>
        </row>
        <row r="2764">
          <cell r="B2764">
            <v>40564</v>
          </cell>
          <cell r="C2764">
            <v>5692.05</v>
          </cell>
          <cell r="D2764">
            <v>5717.55</v>
          </cell>
          <cell r="E2764">
            <v>5674.5</v>
          </cell>
          <cell r="F2764">
            <v>5696.5</v>
          </cell>
        </row>
        <row r="2765">
          <cell r="B2765">
            <v>40567</v>
          </cell>
          <cell r="C2765">
            <v>5717.1</v>
          </cell>
          <cell r="D2765">
            <v>5756</v>
          </cell>
          <cell r="E2765">
            <v>5697.75</v>
          </cell>
          <cell r="F2765">
            <v>5743.25</v>
          </cell>
        </row>
        <row r="2766">
          <cell r="B2766">
            <v>40568</v>
          </cell>
          <cell r="C2766">
            <v>5763.3</v>
          </cell>
          <cell r="D2766">
            <v>5801.55</v>
          </cell>
          <cell r="E2766">
            <v>5680.65</v>
          </cell>
          <cell r="F2766">
            <v>5687.4</v>
          </cell>
        </row>
        <row r="2767">
          <cell r="B2767">
            <v>40570</v>
          </cell>
          <cell r="C2767">
            <v>5725.3</v>
          </cell>
          <cell r="D2767">
            <v>5726.1</v>
          </cell>
          <cell r="E2767">
            <v>5594.95</v>
          </cell>
          <cell r="F2767">
            <v>5604.3</v>
          </cell>
        </row>
        <row r="2768">
          <cell r="B2768">
            <v>40571</v>
          </cell>
          <cell r="C2768">
            <v>5614</v>
          </cell>
          <cell r="D2768">
            <v>5614.4</v>
          </cell>
          <cell r="E2768">
            <v>5459.55</v>
          </cell>
          <cell r="F2768">
            <v>5512.15</v>
          </cell>
        </row>
        <row r="2769">
          <cell r="B2769">
            <v>40574</v>
          </cell>
          <cell r="C2769">
            <v>5452.55</v>
          </cell>
          <cell r="D2769">
            <v>5526.85</v>
          </cell>
          <cell r="E2769">
            <v>5416.65</v>
          </cell>
          <cell r="F2769">
            <v>5505.9</v>
          </cell>
        </row>
        <row r="2770">
          <cell r="B2770">
            <v>40575</v>
          </cell>
          <cell r="C2770">
            <v>5537.3</v>
          </cell>
          <cell r="D2770">
            <v>5539.15</v>
          </cell>
          <cell r="E2770">
            <v>5402</v>
          </cell>
          <cell r="F2770">
            <v>5417.2</v>
          </cell>
        </row>
        <row r="2771">
          <cell r="B2771">
            <v>40576</v>
          </cell>
          <cell r="C2771">
            <v>5469.55</v>
          </cell>
          <cell r="D2771">
            <v>5490.6</v>
          </cell>
          <cell r="E2771">
            <v>5415.65</v>
          </cell>
          <cell r="F2771">
            <v>5432</v>
          </cell>
        </row>
        <row r="2772">
          <cell r="B2772">
            <v>40577</v>
          </cell>
          <cell r="C2772">
            <v>5430.45</v>
          </cell>
          <cell r="D2772">
            <v>5532.65</v>
          </cell>
          <cell r="E2772">
            <v>5418</v>
          </cell>
          <cell r="F2772">
            <v>5526.75</v>
          </cell>
        </row>
        <row r="2773">
          <cell r="B2773">
            <v>40578</v>
          </cell>
          <cell r="C2773">
            <v>5519.9</v>
          </cell>
          <cell r="D2773">
            <v>5556.3</v>
          </cell>
          <cell r="E2773">
            <v>5369.05</v>
          </cell>
          <cell r="F2773">
            <v>5395.75</v>
          </cell>
        </row>
        <row r="2774">
          <cell r="B2774">
            <v>40581</v>
          </cell>
          <cell r="C2774">
            <v>5430.15</v>
          </cell>
          <cell r="D2774">
            <v>5440.35</v>
          </cell>
          <cell r="E2774">
            <v>5376.95</v>
          </cell>
          <cell r="F2774">
            <v>5396</v>
          </cell>
        </row>
        <row r="2775">
          <cell r="B2775">
            <v>40582</v>
          </cell>
          <cell r="C2775">
            <v>5432.35</v>
          </cell>
          <cell r="D2775">
            <v>5432.35</v>
          </cell>
          <cell r="E2775">
            <v>5303.4</v>
          </cell>
          <cell r="F2775">
            <v>5312.55</v>
          </cell>
        </row>
        <row r="2776">
          <cell r="B2776">
            <v>40583</v>
          </cell>
          <cell r="C2776">
            <v>5293.05</v>
          </cell>
          <cell r="D2776">
            <v>5339.45</v>
          </cell>
          <cell r="E2776">
            <v>5225.6499999999996</v>
          </cell>
          <cell r="F2776">
            <v>5253.55</v>
          </cell>
        </row>
        <row r="2777">
          <cell r="B2777">
            <v>40584</v>
          </cell>
          <cell r="C2777">
            <v>5246.05</v>
          </cell>
          <cell r="D2777">
            <v>5272.6</v>
          </cell>
          <cell r="E2777">
            <v>5196.8</v>
          </cell>
          <cell r="F2777">
            <v>5225.8</v>
          </cell>
        </row>
        <row r="2778">
          <cell r="B2778">
            <v>40585</v>
          </cell>
          <cell r="C2778">
            <v>5219.6499999999996</v>
          </cell>
          <cell r="D2778">
            <v>5319.45</v>
          </cell>
          <cell r="E2778">
            <v>5177.7</v>
          </cell>
          <cell r="F2778">
            <v>5310</v>
          </cell>
        </row>
        <row r="2779">
          <cell r="B2779">
            <v>40588</v>
          </cell>
          <cell r="C2779">
            <v>5340.25</v>
          </cell>
          <cell r="D2779">
            <v>5463.8</v>
          </cell>
          <cell r="E2779">
            <v>5340.25</v>
          </cell>
          <cell r="F2779">
            <v>5456</v>
          </cell>
        </row>
        <row r="2780">
          <cell r="B2780">
            <v>40589</v>
          </cell>
          <cell r="C2780">
            <v>5467.75</v>
          </cell>
          <cell r="D2780">
            <v>5506.5</v>
          </cell>
          <cell r="E2780">
            <v>5408.35</v>
          </cell>
          <cell r="F2780">
            <v>5481</v>
          </cell>
        </row>
        <row r="2781">
          <cell r="B2781">
            <v>40590</v>
          </cell>
          <cell r="C2781">
            <v>5467.6</v>
          </cell>
          <cell r="D2781">
            <v>5504.8</v>
          </cell>
          <cell r="E2781">
            <v>5460.35</v>
          </cell>
          <cell r="F2781">
            <v>5481.7</v>
          </cell>
        </row>
        <row r="2782">
          <cell r="B2782">
            <v>40591</v>
          </cell>
          <cell r="C2782">
            <v>5501.7</v>
          </cell>
          <cell r="D2782">
            <v>5553</v>
          </cell>
          <cell r="E2782">
            <v>5463.4</v>
          </cell>
          <cell r="F2782">
            <v>5546.45</v>
          </cell>
        </row>
        <row r="2783">
          <cell r="B2783">
            <v>40592</v>
          </cell>
          <cell r="C2783">
            <v>5557.55</v>
          </cell>
          <cell r="D2783">
            <v>5599.25</v>
          </cell>
          <cell r="E2783">
            <v>5441.95</v>
          </cell>
          <cell r="F2783">
            <v>5458.95</v>
          </cell>
        </row>
        <row r="2784">
          <cell r="B2784">
            <v>40595</v>
          </cell>
          <cell r="C2784">
            <v>5456.6</v>
          </cell>
          <cell r="D2784">
            <v>5526.25</v>
          </cell>
          <cell r="E2784">
            <v>5413.1</v>
          </cell>
          <cell r="F2784">
            <v>5518.6</v>
          </cell>
        </row>
        <row r="2785">
          <cell r="B2785">
            <v>40596</v>
          </cell>
          <cell r="C2785">
            <v>5504.4</v>
          </cell>
          <cell r="D2785">
            <v>5519.45</v>
          </cell>
          <cell r="E2785">
            <v>5437.3</v>
          </cell>
          <cell r="F2785">
            <v>5469.2</v>
          </cell>
        </row>
        <row r="2786">
          <cell r="B2786">
            <v>40597</v>
          </cell>
          <cell r="C2786">
            <v>5452.45</v>
          </cell>
          <cell r="D2786">
            <v>5495.2</v>
          </cell>
          <cell r="E2786">
            <v>5427.55</v>
          </cell>
          <cell r="F2786">
            <v>5437.35</v>
          </cell>
        </row>
        <row r="2787">
          <cell r="B2787">
            <v>40598</v>
          </cell>
          <cell r="C2787">
            <v>5408.75</v>
          </cell>
          <cell r="D2787">
            <v>5423.4</v>
          </cell>
          <cell r="E2787">
            <v>5242.5</v>
          </cell>
          <cell r="F2787">
            <v>5262.7</v>
          </cell>
        </row>
        <row r="2788">
          <cell r="B2788">
            <v>40599</v>
          </cell>
          <cell r="C2788">
            <v>5321.05</v>
          </cell>
          <cell r="D2788">
            <v>5338.2</v>
          </cell>
          <cell r="E2788">
            <v>5232.75</v>
          </cell>
          <cell r="F2788">
            <v>5303.55</v>
          </cell>
        </row>
        <row r="2789">
          <cell r="B2789">
            <v>40602</v>
          </cell>
          <cell r="C2789">
            <v>5330.15</v>
          </cell>
          <cell r="D2789">
            <v>5477</v>
          </cell>
          <cell r="E2789">
            <v>5308.6</v>
          </cell>
          <cell r="F2789">
            <v>5333.25</v>
          </cell>
        </row>
        <row r="2790">
          <cell r="B2790">
            <v>40603</v>
          </cell>
          <cell r="C2790">
            <v>5382</v>
          </cell>
          <cell r="D2790">
            <v>5533.05</v>
          </cell>
          <cell r="E2790">
            <v>5373.55</v>
          </cell>
          <cell r="F2790">
            <v>5522.3</v>
          </cell>
        </row>
        <row r="2791">
          <cell r="B2791">
            <v>40605</v>
          </cell>
          <cell r="C2791">
            <v>5478.45</v>
          </cell>
          <cell r="D2791">
            <v>5570.75</v>
          </cell>
          <cell r="E2791">
            <v>5468.25</v>
          </cell>
          <cell r="F2791">
            <v>5536.2</v>
          </cell>
        </row>
        <row r="2792">
          <cell r="B2792">
            <v>40606</v>
          </cell>
          <cell r="C2792">
            <v>5586.2</v>
          </cell>
          <cell r="D2792">
            <v>5608.2</v>
          </cell>
          <cell r="E2792">
            <v>5524.1</v>
          </cell>
          <cell r="F2792">
            <v>5538.75</v>
          </cell>
        </row>
        <row r="2793">
          <cell r="B2793">
            <v>40609</v>
          </cell>
          <cell r="C2793">
            <v>5490.05</v>
          </cell>
          <cell r="D2793">
            <v>5491.25</v>
          </cell>
          <cell r="E2793">
            <v>5408.45</v>
          </cell>
          <cell r="F2793">
            <v>5463.15</v>
          </cell>
        </row>
        <row r="2794">
          <cell r="B2794">
            <v>40610</v>
          </cell>
          <cell r="C2794">
            <v>5466.1</v>
          </cell>
          <cell r="D2794">
            <v>5530.55</v>
          </cell>
          <cell r="E2794">
            <v>5464.75</v>
          </cell>
          <cell r="F2794">
            <v>5520.8</v>
          </cell>
        </row>
        <row r="2795">
          <cell r="B2795">
            <v>40611</v>
          </cell>
          <cell r="C2795">
            <v>5542.4</v>
          </cell>
          <cell r="D2795">
            <v>5563.3</v>
          </cell>
          <cell r="E2795">
            <v>5477.45</v>
          </cell>
          <cell r="F2795">
            <v>5531</v>
          </cell>
        </row>
        <row r="2796">
          <cell r="B2796">
            <v>40612</v>
          </cell>
          <cell r="C2796">
            <v>5516.1</v>
          </cell>
          <cell r="D2796">
            <v>5516.3</v>
          </cell>
          <cell r="E2796">
            <v>5468.45</v>
          </cell>
          <cell r="F2796">
            <v>5494.4</v>
          </cell>
        </row>
        <row r="2797">
          <cell r="B2797">
            <v>40613</v>
          </cell>
          <cell r="C2797">
            <v>5456.15</v>
          </cell>
          <cell r="D2797">
            <v>5502.7</v>
          </cell>
          <cell r="E2797">
            <v>5411.55</v>
          </cell>
          <cell r="F2797">
            <v>5445.45</v>
          </cell>
        </row>
        <row r="2798">
          <cell r="B2798">
            <v>40616</v>
          </cell>
          <cell r="C2798">
            <v>5436.5</v>
          </cell>
          <cell r="D2798">
            <v>5537.3</v>
          </cell>
          <cell r="E2798">
            <v>5434.25</v>
          </cell>
          <cell r="F2798">
            <v>5531.5</v>
          </cell>
        </row>
        <row r="2799">
          <cell r="B2799">
            <v>40617</v>
          </cell>
          <cell r="C2799">
            <v>5420</v>
          </cell>
          <cell r="D2799">
            <v>5497.85</v>
          </cell>
          <cell r="E2799">
            <v>5373.65</v>
          </cell>
          <cell r="F2799">
            <v>5449.65</v>
          </cell>
        </row>
        <row r="2800">
          <cell r="B2800">
            <v>40618</v>
          </cell>
          <cell r="C2800">
            <v>5475.95</v>
          </cell>
          <cell r="D2800">
            <v>5535.1</v>
          </cell>
          <cell r="E2800">
            <v>5475.95</v>
          </cell>
          <cell r="F2800">
            <v>5511.15</v>
          </cell>
        </row>
        <row r="2801">
          <cell r="B2801">
            <v>40619</v>
          </cell>
          <cell r="C2801">
            <v>5455.4</v>
          </cell>
          <cell r="D2801">
            <v>5510.05</v>
          </cell>
          <cell r="E2801">
            <v>5435.3</v>
          </cell>
          <cell r="F2801">
            <v>5446.65</v>
          </cell>
        </row>
        <row r="2802">
          <cell r="B2802">
            <v>40620</v>
          </cell>
          <cell r="C2802">
            <v>5475.35</v>
          </cell>
          <cell r="D2802">
            <v>5483.05</v>
          </cell>
          <cell r="E2802">
            <v>5366.4</v>
          </cell>
          <cell r="F2802">
            <v>5373.7</v>
          </cell>
        </row>
        <row r="2803">
          <cell r="B2803">
            <v>40623</v>
          </cell>
          <cell r="C2803">
            <v>5408.75</v>
          </cell>
          <cell r="D2803">
            <v>5413.3</v>
          </cell>
          <cell r="E2803">
            <v>5348.2</v>
          </cell>
          <cell r="F2803">
            <v>5364.75</v>
          </cell>
        </row>
        <row r="2804">
          <cell r="B2804">
            <v>40624</v>
          </cell>
          <cell r="C2804">
            <v>5390.85</v>
          </cell>
          <cell r="D2804">
            <v>5428.15</v>
          </cell>
          <cell r="E2804">
            <v>5376.15</v>
          </cell>
          <cell r="F2804">
            <v>5413.85</v>
          </cell>
        </row>
        <row r="2805">
          <cell r="B2805">
            <v>40625</v>
          </cell>
          <cell r="C2805">
            <v>5411.4</v>
          </cell>
          <cell r="D2805">
            <v>5484.95</v>
          </cell>
          <cell r="E2805">
            <v>5401.95</v>
          </cell>
          <cell r="F2805">
            <v>5480.25</v>
          </cell>
        </row>
        <row r="2806">
          <cell r="B2806">
            <v>40626</v>
          </cell>
          <cell r="C2806">
            <v>5501.8</v>
          </cell>
          <cell r="D2806">
            <v>5529</v>
          </cell>
          <cell r="E2806">
            <v>5496.1</v>
          </cell>
          <cell r="F2806">
            <v>5522.4</v>
          </cell>
        </row>
        <row r="2807">
          <cell r="B2807">
            <v>40627</v>
          </cell>
          <cell r="C2807">
            <v>5588.65</v>
          </cell>
          <cell r="D2807">
            <v>5667.1</v>
          </cell>
          <cell r="E2807">
            <v>5560.95</v>
          </cell>
          <cell r="F2807">
            <v>5654.25</v>
          </cell>
        </row>
        <row r="2808">
          <cell r="B2808">
            <v>40630</v>
          </cell>
          <cell r="C2808">
            <v>5645.25</v>
          </cell>
          <cell r="D2808">
            <v>5709.1</v>
          </cell>
          <cell r="E2808">
            <v>5643.2</v>
          </cell>
          <cell r="F2808">
            <v>5687.25</v>
          </cell>
        </row>
        <row r="2809">
          <cell r="B2809">
            <v>40631</v>
          </cell>
          <cell r="C2809">
            <v>5686.5</v>
          </cell>
          <cell r="D2809">
            <v>5770.35</v>
          </cell>
          <cell r="E2809">
            <v>5680.7</v>
          </cell>
          <cell r="F2809">
            <v>5736.35</v>
          </cell>
        </row>
        <row r="2810">
          <cell r="B2810">
            <v>40632</v>
          </cell>
          <cell r="C2810">
            <v>5755.8</v>
          </cell>
          <cell r="D2810">
            <v>5803.15</v>
          </cell>
          <cell r="E2810">
            <v>5753.9</v>
          </cell>
          <cell r="F2810">
            <v>5787.65</v>
          </cell>
        </row>
        <row r="2811">
          <cell r="B2811">
            <v>40633</v>
          </cell>
          <cell r="C2811">
            <v>5803.05</v>
          </cell>
          <cell r="D2811">
            <v>5872</v>
          </cell>
          <cell r="E2811">
            <v>5778.65</v>
          </cell>
          <cell r="F2811">
            <v>5833.75</v>
          </cell>
        </row>
        <row r="2812">
          <cell r="B2812">
            <v>40634</v>
          </cell>
          <cell r="C2812">
            <v>5835</v>
          </cell>
          <cell r="D2812">
            <v>5860.2</v>
          </cell>
          <cell r="E2812">
            <v>5810.4</v>
          </cell>
          <cell r="F2812">
            <v>5826.05</v>
          </cell>
        </row>
        <row r="2813">
          <cell r="B2813">
            <v>40637</v>
          </cell>
          <cell r="C2813">
            <v>5842</v>
          </cell>
          <cell r="D2813">
            <v>5918.7</v>
          </cell>
          <cell r="E2813">
            <v>5833.2</v>
          </cell>
          <cell r="F2813">
            <v>5908.45</v>
          </cell>
        </row>
        <row r="2814">
          <cell r="B2814">
            <v>40638</v>
          </cell>
          <cell r="C2814">
            <v>5923.85</v>
          </cell>
          <cell r="D2814">
            <v>5928.65</v>
          </cell>
          <cell r="E2814">
            <v>5855.85</v>
          </cell>
          <cell r="F2814">
            <v>5910.05</v>
          </cell>
        </row>
        <row r="2815">
          <cell r="B2815">
            <v>40639</v>
          </cell>
          <cell r="C2815">
            <v>5908</v>
          </cell>
          <cell r="D2815">
            <v>5944.45</v>
          </cell>
          <cell r="E2815">
            <v>5868.8</v>
          </cell>
          <cell r="F2815">
            <v>5891.75</v>
          </cell>
        </row>
        <row r="2816">
          <cell r="B2816">
            <v>40640</v>
          </cell>
          <cell r="C2816">
            <v>5888.55</v>
          </cell>
          <cell r="D2816">
            <v>5906.1</v>
          </cell>
          <cell r="E2816">
            <v>5866.25</v>
          </cell>
          <cell r="F2816">
            <v>5885.7</v>
          </cell>
        </row>
        <row r="2817">
          <cell r="B2817">
            <v>40641</v>
          </cell>
          <cell r="C2817">
            <v>5886.75</v>
          </cell>
          <cell r="D2817">
            <v>5926.95</v>
          </cell>
          <cell r="E2817">
            <v>5822</v>
          </cell>
          <cell r="F2817">
            <v>5842</v>
          </cell>
        </row>
        <row r="2818">
          <cell r="B2818">
            <v>40644</v>
          </cell>
          <cell r="C2818">
            <v>5805.35</v>
          </cell>
          <cell r="D2818">
            <v>5830.3</v>
          </cell>
          <cell r="E2818">
            <v>5777.9</v>
          </cell>
          <cell r="F2818">
            <v>5785.7</v>
          </cell>
        </row>
        <row r="2819">
          <cell r="B2819">
            <v>40646</v>
          </cell>
          <cell r="C2819">
            <v>5747.95</v>
          </cell>
          <cell r="D2819">
            <v>5923.6</v>
          </cell>
          <cell r="E2819">
            <v>5735.55</v>
          </cell>
          <cell r="F2819">
            <v>5911.5</v>
          </cell>
        </row>
        <row r="2820">
          <cell r="B2820">
            <v>40648</v>
          </cell>
          <cell r="C2820">
            <v>5898.75</v>
          </cell>
          <cell r="D2820">
            <v>5907.35</v>
          </cell>
          <cell r="E2820">
            <v>5806.45</v>
          </cell>
          <cell r="F2820">
            <v>5824.55</v>
          </cell>
        </row>
        <row r="2821">
          <cell r="B2821">
            <v>40651</v>
          </cell>
          <cell r="C2821">
            <v>5824.35</v>
          </cell>
          <cell r="D2821">
            <v>5897.9</v>
          </cell>
          <cell r="E2821">
            <v>5722.25</v>
          </cell>
          <cell r="F2821">
            <v>5729.1</v>
          </cell>
        </row>
        <row r="2822">
          <cell r="B2822">
            <v>40652</v>
          </cell>
          <cell r="C2822">
            <v>5716</v>
          </cell>
          <cell r="D2822">
            <v>5762.95</v>
          </cell>
          <cell r="E2822">
            <v>5693.25</v>
          </cell>
          <cell r="F2822">
            <v>5740.75</v>
          </cell>
        </row>
        <row r="2823">
          <cell r="B2823">
            <v>40653</v>
          </cell>
          <cell r="C2823">
            <v>5786.05</v>
          </cell>
          <cell r="D2823">
            <v>5857.35</v>
          </cell>
          <cell r="E2823">
            <v>5759.65</v>
          </cell>
          <cell r="F2823">
            <v>5851.65</v>
          </cell>
        </row>
        <row r="2824">
          <cell r="B2824">
            <v>40654</v>
          </cell>
          <cell r="C2824">
            <v>5882.85</v>
          </cell>
          <cell r="D2824">
            <v>5912.9</v>
          </cell>
          <cell r="E2824">
            <v>5864.35</v>
          </cell>
          <cell r="F2824">
            <v>5884.7</v>
          </cell>
        </row>
        <row r="2825">
          <cell r="B2825">
            <v>40658</v>
          </cell>
          <cell r="C2825">
            <v>5859.6</v>
          </cell>
          <cell r="D2825">
            <v>5906.6</v>
          </cell>
          <cell r="E2825">
            <v>5857</v>
          </cell>
          <cell r="F2825">
            <v>5874.5</v>
          </cell>
        </row>
        <row r="2826">
          <cell r="B2826">
            <v>40659</v>
          </cell>
          <cell r="C2826">
            <v>5876.85</v>
          </cell>
          <cell r="D2826">
            <v>5893.2</v>
          </cell>
          <cell r="E2826">
            <v>5791.55</v>
          </cell>
          <cell r="F2826">
            <v>5868.4</v>
          </cell>
        </row>
        <row r="2827">
          <cell r="B2827">
            <v>40660</v>
          </cell>
          <cell r="C2827">
            <v>5884.2</v>
          </cell>
          <cell r="D2827">
            <v>5892.35</v>
          </cell>
          <cell r="E2827">
            <v>5819.95</v>
          </cell>
          <cell r="F2827">
            <v>5833.9</v>
          </cell>
        </row>
        <row r="2828">
          <cell r="B2828">
            <v>40661</v>
          </cell>
          <cell r="C2828">
            <v>5851.35</v>
          </cell>
          <cell r="D2828">
            <v>5856.4</v>
          </cell>
          <cell r="E2828">
            <v>5776.95</v>
          </cell>
          <cell r="F2828">
            <v>5785.45</v>
          </cell>
        </row>
        <row r="2829">
          <cell r="B2829">
            <v>40662</v>
          </cell>
          <cell r="C2829">
            <v>5782.5</v>
          </cell>
          <cell r="D2829">
            <v>5804.3</v>
          </cell>
          <cell r="E2829">
            <v>5706.05</v>
          </cell>
          <cell r="F2829">
            <v>5749.5</v>
          </cell>
        </row>
        <row r="2830">
          <cell r="B2830">
            <v>40665</v>
          </cell>
          <cell r="C2830">
            <v>5766.9</v>
          </cell>
          <cell r="D2830">
            <v>5775.25</v>
          </cell>
          <cell r="E2830">
            <v>5687.7</v>
          </cell>
          <cell r="F2830">
            <v>5701.3</v>
          </cell>
        </row>
        <row r="2831">
          <cell r="B2831">
            <v>40666</v>
          </cell>
          <cell r="C2831">
            <v>5689.7</v>
          </cell>
          <cell r="D2831">
            <v>5710.8</v>
          </cell>
          <cell r="E2831">
            <v>5554.85</v>
          </cell>
          <cell r="F2831">
            <v>5565.25</v>
          </cell>
        </row>
        <row r="2832">
          <cell r="B2832">
            <v>40667</v>
          </cell>
          <cell r="C2832">
            <v>5567.7</v>
          </cell>
          <cell r="D2832">
            <v>5578.8</v>
          </cell>
          <cell r="E2832">
            <v>5503</v>
          </cell>
          <cell r="F2832">
            <v>5537.15</v>
          </cell>
        </row>
        <row r="2833">
          <cell r="B2833">
            <v>40668</v>
          </cell>
          <cell r="C2833">
            <v>5531.6</v>
          </cell>
          <cell r="D2833">
            <v>5560.3</v>
          </cell>
          <cell r="E2833">
            <v>5443.65</v>
          </cell>
          <cell r="F2833">
            <v>5459.85</v>
          </cell>
        </row>
        <row r="2834">
          <cell r="B2834">
            <v>40669</v>
          </cell>
          <cell r="C2834">
            <v>5477.65</v>
          </cell>
          <cell r="D2834">
            <v>5564.4</v>
          </cell>
          <cell r="E2834">
            <v>5472.45</v>
          </cell>
          <cell r="F2834">
            <v>5551.45</v>
          </cell>
        </row>
        <row r="2835">
          <cell r="B2835">
            <v>40672</v>
          </cell>
          <cell r="C2835">
            <v>5575.2</v>
          </cell>
          <cell r="D2835">
            <v>5586.05</v>
          </cell>
          <cell r="E2835">
            <v>5502.4</v>
          </cell>
          <cell r="F2835">
            <v>5551.1</v>
          </cell>
        </row>
        <row r="2836">
          <cell r="B2836">
            <v>40673</v>
          </cell>
          <cell r="C2836">
            <v>5555.55</v>
          </cell>
          <cell r="D2836">
            <v>5592.9</v>
          </cell>
          <cell r="E2836">
            <v>5514.55</v>
          </cell>
          <cell r="F2836">
            <v>5541.25</v>
          </cell>
        </row>
        <row r="2837">
          <cell r="B2837">
            <v>40674</v>
          </cell>
          <cell r="C2837">
            <v>5547.2</v>
          </cell>
          <cell r="D2837">
            <v>5574.7</v>
          </cell>
          <cell r="E2837">
            <v>5525</v>
          </cell>
          <cell r="F2837">
            <v>5565.05</v>
          </cell>
        </row>
        <row r="2838">
          <cell r="B2838">
            <v>40675</v>
          </cell>
          <cell r="C2838">
            <v>5537.8</v>
          </cell>
          <cell r="D2838">
            <v>5572.5</v>
          </cell>
          <cell r="E2838">
            <v>5476.3</v>
          </cell>
          <cell r="F2838">
            <v>5486.15</v>
          </cell>
        </row>
        <row r="2839">
          <cell r="B2839">
            <v>40676</v>
          </cell>
          <cell r="C2839">
            <v>5492.35</v>
          </cell>
          <cell r="D2839">
            <v>5605</v>
          </cell>
          <cell r="E2839">
            <v>5472.15</v>
          </cell>
          <cell r="F2839">
            <v>5544.75</v>
          </cell>
        </row>
        <row r="2840">
          <cell r="B2840">
            <v>40679</v>
          </cell>
          <cell r="C2840">
            <v>5541.7</v>
          </cell>
          <cell r="D2840">
            <v>5541.8</v>
          </cell>
          <cell r="E2840">
            <v>5487.65</v>
          </cell>
          <cell r="F2840">
            <v>5499</v>
          </cell>
        </row>
        <row r="2841">
          <cell r="B2841">
            <v>40680</v>
          </cell>
          <cell r="C2841">
            <v>5496.1</v>
          </cell>
          <cell r="D2841">
            <v>5523.85</v>
          </cell>
          <cell r="E2841">
            <v>5421.05</v>
          </cell>
          <cell r="F2841">
            <v>5438.95</v>
          </cell>
        </row>
        <row r="2842">
          <cell r="B2842">
            <v>40681</v>
          </cell>
          <cell r="C2842">
            <v>5448.2</v>
          </cell>
          <cell r="D2842">
            <v>5460.5</v>
          </cell>
          <cell r="E2842">
            <v>5401.25</v>
          </cell>
          <cell r="F2842">
            <v>5420.6</v>
          </cell>
        </row>
        <row r="2843">
          <cell r="B2843">
            <v>40682</v>
          </cell>
          <cell r="C2843">
            <v>5448.15</v>
          </cell>
          <cell r="D2843">
            <v>5452.6</v>
          </cell>
          <cell r="E2843">
            <v>5411.25</v>
          </cell>
          <cell r="F2843">
            <v>5428.1</v>
          </cell>
        </row>
        <row r="2844">
          <cell r="B2844">
            <v>40683</v>
          </cell>
          <cell r="C2844">
            <v>5450.65</v>
          </cell>
          <cell r="D2844">
            <v>5517.55</v>
          </cell>
          <cell r="E2844">
            <v>5432.75</v>
          </cell>
          <cell r="F2844">
            <v>5486.35</v>
          </cell>
        </row>
        <row r="2845">
          <cell r="B2845">
            <v>40686</v>
          </cell>
          <cell r="C2845">
            <v>5456.7</v>
          </cell>
          <cell r="D2845">
            <v>5456.7</v>
          </cell>
          <cell r="E2845">
            <v>5373</v>
          </cell>
          <cell r="F2845">
            <v>5386.55</v>
          </cell>
        </row>
        <row r="2846">
          <cell r="B2846">
            <v>40687</v>
          </cell>
          <cell r="C2846">
            <v>5385.1</v>
          </cell>
          <cell r="D2846">
            <v>5422.6</v>
          </cell>
          <cell r="E2846">
            <v>5367.45</v>
          </cell>
          <cell r="F2846">
            <v>5394.85</v>
          </cell>
        </row>
        <row r="2847">
          <cell r="B2847">
            <v>40688</v>
          </cell>
          <cell r="C2847">
            <v>5389.1</v>
          </cell>
          <cell r="D2847">
            <v>5389.1</v>
          </cell>
          <cell r="E2847">
            <v>5328.7</v>
          </cell>
          <cell r="F2847">
            <v>5348.95</v>
          </cell>
        </row>
        <row r="2848">
          <cell r="B2848">
            <v>40689</v>
          </cell>
          <cell r="C2848">
            <v>5372.75</v>
          </cell>
          <cell r="D2848">
            <v>5422.2</v>
          </cell>
          <cell r="E2848">
            <v>5356.35</v>
          </cell>
          <cell r="F2848">
            <v>5412.35</v>
          </cell>
        </row>
        <row r="2849">
          <cell r="B2849">
            <v>40690</v>
          </cell>
          <cell r="C2849">
            <v>5413.7</v>
          </cell>
          <cell r="D2849">
            <v>5485.8</v>
          </cell>
          <cell r="E2849">
            <v>5413.6</v>
          </cell>
          <cell r="F2849">
            <v>5476.1</v>
          </cell>
        </row>
        <row r="2850">
          <cell r="B2850">
            <v>40693</v>
          </cell>
          <cell r="C2850">
            <v>5493.75</v>
          </cell>
          <cell r="D2850">
            <v>5509.3</v>
          </cell>
          <cell r="E2850">
            <v>5458.6</v>
          </cell>
          <cell r="F2850">
            <v>5473.1</v>
          </cell>
        </row>
        <row r="2851">
          <cell r="B2851">
            <v>40694</v>
          </cell>
          <cell r="C2851">
            <v>5492</v>
          </cell>
          <cell r="D2851">
            <v>5571.6</v>
          </cell>
          <cell r="E2851">
            <v>5489.7</v>
          </cell>
          <cell r="F2851">
            <v>5560.15</v>
          </cell>
        </row>
        <row r="2852">
          <cell r="B2852">
            <v>40695</v>
          </cell>
          <cell r="C2852">
            <v>5561.05</v>
          </cell>
          <cell r="D2852">
            <v>5597.35</v>
          </cell>
          <cell r="E2852">
            <v>5559.45</v>
          </cell>
          <cell r="F2852">
            <v>5592</v>
          </cell>
        </row>
        <row r="2853">
          <cell r="B2853">
            <v>40696</v>
          </cell>
          <cell r="C2853">
            <v>5529.9</v>
          </cell>
          <cell r="D2853">
            <v>5568.2</v>
          </cell>
          <cell r="E2853">
            <v>5521.95</v>
          </cell>
          <cell r="F2853">
            <v>5550.35</v>
          </cell>
        </row>
        <row r="2854">
          <cell r="B2854">
            <v>40697</v>
          </cell>
          <cell r="C2854">
            <v>5565.7</v>
          </cell>
          <cell r="D2854">
            <v>5604.95</v>
          </cell>
          <cell r="E2854">
            <v>5507.2</v>
          </cell>
          <cell r="F2854">
            <v>5516.75</v>
          </cell>
        </row>
        <row r="2855">
          <cell r="B2855">
            <v>40700</v>
          </cell>
          <cell r="C2855">
            <v>5504.3</v>
          </cell>
          <cell r="D2855">
            <v>5542.65</v>
          </cell>
          <cell r="E2855">
            <v>5479.85</v>
          </cell>
          <cell r="F2855">
            <v>5532.05</v>
          </cell>
        </row>
        <row r="2856">
          <cell r="B2856">
            <v>40701</v>
          </cell>
          <cell r="C2856">
            <v>5509.15</v>
          </cell>
          <cell r="D2856">
            <v>5570.1</v>
          </cell>
          <cell r="E2856">
            <v>5507.8</v>
          </cell>
          <cell r="F2856">
            <v>5556.15</v>
          </cell>
        </row>
        <row r="2857">
          <cell r="B2857">
            <v>40702</v>
          </cell>
          <cell r="C2857">
            <v>5535.25</v>
          </cell>
          <cell r="D2857">
            <v>5556.6</v>
          </cell>
          <cell r="E2857">
            <v>5514.9</v>
          </cell>
          <cell r="F2857">
            <v>5526.85</v>
          </cell>
        </row>
        <row r="2858">
          <cell r="B2858">
            <v>40703</v>
          </cell>
          <cell r="C2858">
            <v>5523.55</v>
          </cell>
          <cell r="D2858">
            <v>5540.1</v>
          </cell>
          <cell r="E2858">
            <v>5502.05</v>
          </cell>
          <cell r="F2858">
            <v>5521.05</v>
          </cell>
        </row>
        <row r="2859">
          <cell r="B2859">
            <v>40704</v>
          </cell>
          <cell r="C2859">
            <v>5518.05</v>
          </cell>
          <cell r="D2859">
            <v>5521.45</v>
          </cell>
          <cell r="E2859">
            <v>5457.45</v>
          </cell>
          <cell r="F2859">
            <v>5485.8</v>
          </cell>
        </row>
        <row r="2860">
          <cell r="B2860">
            <v>40707</v>
          </cell>
          <cell r="C2860">
            <v>5469.85</v>
          </cell>
          <cell r="D2860">
            <v>5496.7</v>
          </cell>
          <cell r="E2860">
            <v>5436.95</v>
          </cell>
          <cell r="F2860">
            <v>5482.8</v>
          </cell>
        </row>
        <row r="2861">
          <cell r="B2861">
            <v>40708</v>
          </cell>
          <cell r="C2861">
            <v>5485.6</v>
          </cell>
          <cell r="D2861">
            <v>5520.15</v>
          </cell>
          <cell r="E2861">
            <v>5484.2</v>
          </cell>
          <cell r="F2861">
            <v>5500.5</v>
          </cell>
        </row>
        <row r="2862">
          <cell r="B2862">
            <v>40709</v>
          </cell>
          <cell r="C2862">
            <v>5494.45</v>
          </cell>
          <cell r="D2862">
            <v>5499.35</v>
          </cell>
          <cell r="E2862">
            <v>5438.95</v>
          </cell>
          <cell r="F2862">
            <v>5447.5</v>
          </cell>
        </row>
        <row r="2863">
          <cell r="B2863">
            <v>40710</v>
          </cell>
          <cell r="C2863">
            <v>5419.65</v>
          </cell>
          <cell r="D2863">
            <v>5447.5</v>
          </cell>
          <cell r="E2863">
            <v>5389.8</v>
          </cell>
          <cell r="F2863">
            <v>5396.75</v>
          </cell>
        </row>
        <row r="2864">
          <cell r="B2864">
            <v>40711</v>
          </cell>
          <cell r="C2864">
            <v>5412.5</v>
          </cell>
          <cell r="D2864">
            <v>5421.15</v>
          </cell>
          <cell r="E2864">
            <v>5355.85</v>
          </cell>
          <cell r="F2864">
            <v>5366.4</v>
          </cell>
        </row>
        <row r="2865">
          <cell r="B2865">
            <v>40714</v>
          </cell>
          <cell r="C2865">
            <v>5372.2</v>
          </cell>
          <cell r="D2865">
            <v>5377.4</v>
          </cell>
          <cell r="E2865">
            <v>5195.8999999999996</v>
          </cell>
          <cell r="F2865">
            <v>5257.9</v>
          </cell>
        </row>
        <row r="2866">
          <cell r="B2866">
            <v>40715</v>
          </cell>
          <cell r="C2866">
            <v>5280.8</v>
          </cell>
          <cell r="D2866">
            <v>5322.45</v>
          </cell>
          <cell r="E2866">
            <v>5257</v>
          </cell>
          <cell r="F2866">
            <v>5275.85</v>
          </cell>
        </row>
        <row r="2867">
          <cell r="B2867">
            <v>40716</v>
          </cell>
          <cell r="C2867">
            <v>5304.65</v>
          </cell>
          <cell r="D2867">
            <v>5310.5</v>
          </cell>
          <cell r="E2867">
            <v>5262.5</v>
          </cell>
          <cell r="F2867">
            <v>5278.3</v>
          </cell>
        </row>
        <row r="2868">
          <cell r="B2868">
            <v>40717</v>
          </cell>
          <cell r="C2868">
            <v>5269.1</v>
          </cell>
          <cell r="D2868">
            <v>5330.6</v>
          </cell>
          <cell r="E2868">
            <v>5252.25</v>
          </cell>
          <cell r="F2868">
            <v>5320</v>
          </cell>
        </row>
        <row r="2869">
          <cell r="B2869">
            <v>40718</v>
          </cell>
          <cell r="C2869">
            <v>5343.4</v>
          </cell>
          <cell r="D2869">
            <v>5477.85</v>
          </cell>
          <cell r="E2869">
            <v>5343.4</v>
          </cell>
          <cell r="F2869">
            <v>5471.25</v>
          </cell>
        </row>
        <row r="2870">
          <cell r="B2870">
            <v>40721</v>
          </cell>
          <cell r="C2870">
            <v>5441.2</v>
          </cell>
          <cell r="D2870">
            <v>5552.65</v>
          </cell>
          <cell r="E2870">
            <v>5434.25</v>
          </cell>
          <cell r="F2870">
            <v>5526.6</v>
          </cell>
        </row>
        <row r="2871">
          <cell r="B2871">
            <v>40722</v>
          </cell>
          <cell r="C2871">
            <v>5548.85</v>
          </cell>
          <cell r="D2871">
            <v>5558.3</v>
          </cell>
          <cell r="E2871">
            <v>5496.35</v>
          </cell>
          <cell r="F2871">
            <v>5545.3</v>
          </cell>
        </row>
        <row r="2872">
          <cell r="B2872">
            <v>40723</v>
          </cell>
          <cell r="C2872">
            <v>5566.5</v>
          </cell>
          <cell r="D2872">
            <v>5608.65</v>
          </cell>
          <cell r="E2872">
            <v>5566.5</v>
          </cell>
          <cell r="F2872">
            <v>5600.45</v>
          </cell>
        </row>
        <row r="2873">
          <cell r="B2873">
            <v>40724</v>
          </cell>
          <cell r="C2873">
            <v>5614.5</v>
          </cell>
          <cell r="D2873">
            <v>5657.9</v>
          </cell>
          <cell r="E2873">
            <v>5606.1</v>
          </cell>
          <cell r="F2873">
            <v>5647.4</v>
          </cell>
        </row>
        <row r="2874">
          <cell r="B2874">
            <v>40725</v>
          </cell>
          <cell r="C2874">
            <v>5705.75</v>
          </cell>
          <cell r="D2874">
            <v>5705.8</v>
          </cell>
          <cell r="E2874">
            <v>5609.75</v>
          </cell>
          <cell r="F2874">
            <v>5627.2</v>
          </cell>
        </row>
        <row r="2875">
          <cell r="B2875">
            <v>40728</v>
          </cell>
          <cell r="C2875">
            <v>5679.55</v>
          </cell>
          <cell r="D2875">
            <v>5679.65</v>
          </cell>
          <cell r="E2875">
            <v>5633.1</v>
          </cell>
          <cell r="F2875">
            <v>5650.5</v>
          </cell>
        </row>
        <row r="2876">
          <cell r="B2876">
            <v>40729</v>
          </cell>
          <cell r="C2876">
            <v>5659.85</v>
          </cell>
          <cell r="D2876">
            <v>5659.85</v>
          </cell>
          <cell r="E2876">
            <v>5612.3</v>
          </cell>
          <cell r="F2876">
            <v>5632.1</v>
          </cell>
        </row>
        <row r="2877">
          <cell r="B2877">
            <v>40730</v>
          </cell>
          <cell r="C2877">
            <v>5622.7</v>
          </cell>
          <cell r="D2877">
            <v>5655.4</v>
          </cell>
          <cell r="E2877">
            <v>5610.75</v>
          </cell>
          <cell r="F2877">
            <v>5625.45</v>
          </cell>
        </row>
        <row r="2878">
          <cell r="B2878">
            <v>40731</v>
          </cell>
          <cell r="C2878">
            <v>5633.35</v>
          </cell>
          <cell r="D2878">
            <v>5737.15</v>
          </cell>
          <cell r="E2878">
            <v>5632.95</v>
          </cell>
          <cell r="F2878">
            <v>5728.95</v>
          </cell>
        </row>
        <row r="2879">
          <cell r="B2879">
            <v>40732</v>
          </cell>
          <cell r="C2879">
            <v>5734.65</v>
          </cell>
          <cell r="D2879">
            <v>5740.4</v>
          </cell>
          <cell r="E2879">
            <v>5651.05</v>
          </cell>
          <cell r="F2879">
            <v>5660.65</v>
          </cell>
        </row>
        <row r="2880">
          <cell r="B2880">
            <v>40735</v>
          </cell>
          <cell r="C2880">
            <v>5648.05</v>
          </cell>
          <cell r="D2880">
            <v>5652.9</v>
          </cell>
          <cell r="E2880">
            <v>5601.7</v>
          </cell>
          <cell r="F2880">
            <v>5616.1</v>
          </cell>
        </row>
        <row r="2881">
          <cell r="B2881">
            <v>40736</v>
          </cell>
          <cell r="C2881">
            <v>5556.9</v>
          </cell>
          <cell r="D2881">
            <v>5580.25</v>
          </cell>
          <cell r="E2881">
            <v>5496.95</v>
          </cell>
          <cell r="F2881">
            <v>5526.15</v>
          </cell>
        </row>
        <row r="2882">
          <cell r="B2882">
            <v>40737</v>
          </cell>
          <cell r="C2882">
            <v>5542.05</v>
          </cell>
          <cell r="D2882">
            <v>5596.15</v>
          </cell>
          <cell r="E2882">
            <v>5541.4</v>
          </cell>
          <cell r="F2882">
            <v>5585.45</v>
          </cell>
        </row>
        <row r="2883">
          <cell r="B2883">
            <v>40738</v>
          </cell>
          <cell r="C2883">
            <v>5569</v>
          </cell>
          <cell r="D2883">
            <v>5653.95</v>
          </cell>
          <cell r="E2883">
            <v>5541.7</v>
          </cell>
          <cell r="F2883">
            <v>5599.8</v>
          </cell>
        </row>
        <row r="2884">
          <cell r="B2884">
            <v>40739</v>
          </cell>
          <cell r="C2884">
            <v>5602.95</v>
          </cell>
          <cell r="D2884">
            <v>5631.7</v>
          </cell>
          <cell r="E2884">
            <v>5562.75</v>
          </cell>
          <cell r="F2884">
            <v>5581.1</v>
          </cell>
        </row>
        <row r="2885">
          <cell r="B2885">
            <v>40742</v>
          </cell>
          <cell r="C2885">
            <v>5581.75</v>
          </cell>
          <cell r="D2885">
            <v>5596.6</v>
          </cell>
          <cell r="E2885">
            <v>5550.95</v>
          </cell>
          <cell r="F2885">
            <v>5567.05</v>
          </cell>
        </row>
        <row r="2886">
          <cell r="B2886">
            <v>40743</v>
          </cell>
          <cell r="C2886">
            <v>5569.85</v>
          </cell>
          <cell r="D2886">
            <v>5627.65</v>
          </cell>
          <cell r="E2886">
            <v>5557.2</v>
          </cell>
          <cell r="F2886">
            <v>5613.55</v>
          </cell>
        </row>
        <row r="2887">
          <cell r="B2887">
            <v>40744</v>
          </cell>
          <cell r="C2887">
            <v>5642.05</v>
          </cell>
          <cell r="D2887">
            <v>5645.4</v>
          </cell>
          <cell r="E2887">
            <v>5555.1</v>
          </cell>
          <cell r="F2887">
            <v>5567.05</v>
          </cell>
        </row>
        <row r="2888">
          <cell r="B2888">
            <v>40745</v>
          </cell>
          <cell r="C2888">
            <v>5554.6</v>
          </cell>
          <cell r="D2888">
            <v>5578.9</v>
          </cell>
          <cell r="E2888">
            <v>5532.7</v>
          </cell>
          <cell r="F2888">
            <v>5541.6</v>
          </cell>
        </row>
        <row r="2889">
          <cell r="B2889">
            <v>40746</v>
          </cell>
          <cell r="C2889">
            <v>5576.95</v>
          </cell>
          <cell r="D2889">
            <v>5642.2</v>
          </cell>
          <cell r="E2889">
            <v>5567.1</v>
          </cell>
          <cell r="F2889">
            <v>5633.95</v>
          </cell>
        </row>
        <row r="2890">
          <cell r="B2890">
            <v>40749</v>
          </cell>
          <cell r="C2890">
            <v>5633.8</v>
          </cell>
          <cell r="D2890">
            <v>5700.55</v>
          </cell>
          <cell r="E2890">
            <v>5616.7</v>
          </cell>
          <cell r="F2890">
            <v>5680.3</v>
          </cell>
        </row>
        <row r="2891">
          <cell r="B2891">
            <v>40750</v>
          </cell>
          <cell r="C2891">
            <v>5688.45</v>
          </cell>
          <cell r="D2891">
            <v>5702.25</v>
          </cell>
          <cell r="E2891">
            <v>5560.15</v>
          </cell>
          <cell r="F2891">
            <v>5574.85</v>
          </cell>
        </row>
        <row r="2892">
          <cell r="B2892">
            <v>40751</v>
          </cell>
          <cell r="C2892">
            <v>5588.55</v>
          </cell>
          <cell r="D2892">
            <v>5591.7</v>
          </cell>
          <cell r="E2892">
            <v>5521.5</v>
          </cell>
          <cell r="F2892">
            <v>5546.8</v>
          </cell>
        </row>
        <row r="2893">
          <cell r="B2893">
            <v>40752</v>
          </cell>
          <cell r="C2893">
            <v>5492.4</v>
          </cell>
          <cell r="D2893">
            <v>5512.1</v>
          </cell>
          <cell r="E2893">
            <v>5475.65</v>
          </cell>
          <cell r="F2893">
            <v>5487.75</v>
          </cell>
        </row>
        <row r="2894">
          <cell r="B2894">
            <v>40753</v>
          </cell>
          <cell r="C2894">
            <v>5479</v>
          </cell>
          <cell r="D2894">
            <v>5520.3</v>
          </cell>
          <cell r="E2894">
            <v>5453.95</v>
          </cell>
          <cell r="F2894">
            <v>5482</v>
          </cell>
        </row>
        <row r="2895">
          <cell r="B2895">
            <v>40756</v>
          </cell>
          <cell r="C2895">
            <v>5527.5</v>
          </cell>
          <cell r="D2895">
            <v>5551.9</v>
          </cell>
          <cell r="E2895">
            <v>5486.45</v>
          </cell>
          <cell r="F2895">
            <v>5516.8</v>
          </cell>
        </row>
        <row r="2896">
          <cell r="B2896">
            <v>40757</v>
          </cell>
          <cell r="C2896">
            <v>5493.2</v>
          </cell>
          <cell r="D2896">
            <v>5496.3</v>
          </cell>
          <cell r="E2896">
            <v>5433.65</v>
          </cell>
          <cell r="F2896">
            <v>5456.55</v>
          </cell>
        </row>
        <row r="2897">
          <cell r="B2897">
            <v>40758</v>
          </cell>
          <cell r="C2897">
            <v>5402</v>
          </cell>
          <cell r="D2897">
            <v>5422.6</v>
          </cell>
          <cell r="E2897">
            <v>5378.85</v>
          </cell>
          <cell r="F2897">
            <v>5404.8</v>
          </cell>
        </row>
        <row r="2898">
          <cell r="B2898">
            <v>40759</v>
          </cell>
          <cell r="C2898">
            <v>5412.4</v>
          </cell>
          <cell r="D2898">
            <v>5434.5</v>
          </cell>
          <cell r="E2898">
            <v>5323.15</v>
          </cell>
          <cell r="F2898">
            <v>5331.8</v>
          </cell>
        </row>
        <row r="2899">
          <cell r="B2899">
            <v>40760</v>
          </cell>
          <cell r="C2899">
            <v>5204.3500000000004</v>
          </cell>
          <cell r="D2899">
            <v>5229.6499999999996</v>
          </cell>
          <cell r="E2899">
            <v>5116.45</v>
          </cell>
          <cell r="F2899">
            <v>5211.25</v>
          </cell>
        </row>
        <row r="2900">
          <cell r="B2900">
            <v>40763</v>
          </cell>
          <cell r="C2900">
            <v>5083.8500000000004</v>
          </cell>
          <cell r="D2900">
            <v>5204.2</v>
          </cell>
          <cell r="E2900">
            <v>5054.05</v>
          </cell>
          <cell r="F2900">
            <v>5118.5</v>
          </cell>
        </row>
        <row r="2901">
          <cell r="B2901">
            <v>40764</v>
          </cell>
          <cell r="C2901">
            <v>4947.8999999999996</v>
          </cell>
          <cell r="D2901">
            <v>5167</v>
          </cell>
          <cell r="E2901">
            <v>4946.45</v>
          </cell>
          <cell r="F2901">
            <v>5072.8500000000004</v>
          </cell>
        </row>
        <row r="2902">
          <cell r="B2902">
            <v>40765</v>
          </cell>
          <cell r="C2902">
            <v>5196.55</v>
          </cell>
          <cell r="D2902">
            <v>5197.95</v>
          </cell>
          <cell r="E2902">
            <v>5123.3500000000004</v>
          </cell>
          <cell r="F2902">
            <v>5161</v>
          </cell>
        </row>
        <row r="2903">
          <cell r="B2903">
            <v>40766</v>
          </cell>
          <cell r="C2903">
            <v>5128</v>
          </cell>
          <cell r="D2903">
            <v>5184.95</v>
          </cell>
          <cell r="E2903">
            <v>5121</v>
          </cell>
          <cell r="F2903">
            <v>5138.3</v>
          </cell>
        </row>
        <row r="2904">
          <cell r="B2904">
            <v>40767</v>
          </cell>
          <cell r="C2904">
            <v>5194.3999999999996</v>
          </cell>
          <cell r="D2904">
            <v>5194.45</v>
          </cell>
          <cell r="E2904">
            <v>5053.3500000000004</v>
          </cell>
          <cell r="F2904">
            <v>5072.95</v>
          </cell>
        </row>
        <row r="2905">
          <cell r="B2905">
            <v>40771</v>
          </cell>
          <cell r="C2905">
            <v>5125.75</v>
          </cell>
          <cell r="D2905">
            <v>5132.2</v>
          </cell>
          <cell r="E2905">
            <v>5015.3999999999996</v>
          </cell>
          <cell r="F2905">
            <v>5035.8</v>
          </cell>
        </row>
        <row r="2906">
          <cell r="B2906">
            <v>40772</v>
          </cell>
          <cell r="C2906">
            <v>5030.3</v>
          </cell>
          <cell r="D2906">
            <v>5112.1499999999996</v>
          </cell>
          <cell r="E2906">
            <v>5017.25</v>
          </cell>
          <cell r="F2906">
            <v>5056.6000000000004</v>
          </cell>
        </row>
        <row r="2907">
          <cell r="B2907">
            <v>40773</v>
          </cell>
          <cell r="C2907">
            <v>5077.95</v>
          </cell>
          <cell r="D2907">
            <v>5078.6000000000004</v>
          </cell>
          <cell r="E2907">
            <v>4932.1499999999996</v>
          </cell>
          <cell r="F2907">
            <v>4944.1499999999996</v>
          </cell>
        </row>
        <row r="2908">
          <cell r="B2908">
            <v>40774</v>
          </cell>
          <cell r="C2908">
            <v>4859.3</v>
          </cell>
          <cell r="D2908">
            <v>4893.6000000000004</v>
          </cell>
          <cell r="E2908">
            <v>4796.1000000000004</v>
          </cell>
          <cell r="F2908">
            <v>4845.6499999999996</v>
          </cell>
        </row>
        <row r="2909">
          <cell r="B2909">
            <v>40777</v>
          </cell>
          <cell r="C2909">
            <v>4843.7</v>
          </cell>
          <cell r="D2909">
            <v>4910.05</v>
          </cell>
          <cell r="E2909">
            <v>4808.75</v>
          </cell>
          <cell r="F2909">
            <v>4898.8</v>
          </cell>
        </row>
        <row r="2910">
          <cell r="B2910">
            <v>40778</v>
          </cell>
          <cell r="C2910">
            <v>4925.1499999999996</v>
          </cell>
          <cell r="D2910">
            <v>4965.8</v>
          </cell>
          <cell r="E2910">
            <v>4863.8</v>
          </cell>
          <cell r="F2910">
            <v>4948.8999999999996</v>
          </cell>
        </row>
        <row r="2911">
          <cell r="B2911">
            <v>40779</v>
          </cell>
          <cell r="C2911">
            <v>4934.3500000000004</v>
          </cell>
          <cell r="D2911">
            <v>4962.3999999999996</v>
          </cell>
          <cell r="E2911">
            <v>4875.3</v>
          </cell>
          <cell r="F2911">
            <v>4888.8999999999996</v>
          </cell>
        </row>
        <row r="2912">
          <cell r="B2912">
            <v>40780</v>
          </cell>
          <cell r="C2912">
            <v>4914.6499999999996</v>
          </cell>
          <cell r="D2912">
            <v>4915.8500000000004</v>
          </cell>
          <cell r="E2912">
            <v>4825.05</v>
          </cell>
          <cell r="F2912">
            <v>4839.6000000000004</v>
          </cell>
        </row>
        <row r="2913">
          <cell r="B2913">
            <v>40781</v>
          </cell>
          <cell r="C2913">
            <v>4839.25</v>
          </cell>
          <cell r="D2913">
            <v>4872</v>
          </cell>
          <cell r="E2913">
            <v>4720</v>
          </cell>
          <cell r="F2913">
            <v>4747.8</v>
          </cell>
        </row>
        <row r="2914">
          <cell r="B2914">
            <v>40784</v>
          </cell>
          <cell r="C2914">
            <v>4806.2</v>
          </cell>
          <cell r="D2914">
            <v>4934.3999999999996</v>
          </cell>
          <cell r="E2914">
            <v>4806.05</v>
          </cell>
          <cell r="F2914">
            <v>4919.6000000000004</v>
          </cell>
        </row>
        <row r="2915">
          <cell r="B2915">
            <v>40785</v>
          </cell>
          <cell r="C2915">
            <v>4973.25</v>
          </cell>
          <cell r="D2915">
            <v>5016.25</v>
          </cell>
          <cell r="E2915">
            <v>4927.55</v>
          </cell>
          <cell r="F2915">
            <v>5001</v>
          </cell>
        </row>
        <row r="2916">
          <cell r="B2916">
            <v>40788</v>
          </cell>
          <cell r="C2916">
            <v>5109.8</v>
          </cell>
          <cell r="D2916">
            <v>5113.7</v>
          </cell>
          <cell r="E2916">
            <v>4993.3500000000004</v>
          </cell>
          <cell r="F2916">
            <v>5040</v>
          </cell>
        </row>
        <row r="2917">
          <cell r="B2917">
            <v>40791</v>
          </cell>
          <cell r="C2917">
            <v>4998.8999999999996</v>
          </cell>
          <cell r="D2917">
            <v>5030.3</v>
          </cell>
          <cell r="E2917">
            <v>4964.45</v>
          </cell>
          <cell r="F2917">
            <v>5017.2</v>
          </cell>
        </row>
        <row r="2918">
          <cell r="B2918">
            <v>40792</v>
          </cell>
          <cell r="C2918">
            <v>4993.3500000000004</v>
          </cell>
          <cell r="D2918">
            <v>5072.8999999999996</v>
          </cell>
          <cell r="E2918">
            <v>4942.8999999999996</v>
          </cell>
          <cell r="F2918">
            <v>5064.3</v>
          </cell>
        </row>
        <row r="2919">
          <cell r="B2919">
            <v>40793</v>
          </cell>
          <cell r="C2919">
            <v>5080.1499999999996</v>
          </cell>
          <cell r="D2919">
            <v>5154.5</v>
          </cell>
          <cell r="E2919">
            <v>5076.3</v>
          </cell>
          <cell r="F2919">
            <v>5124.6499999999996</v>
          </cell>
        </row>
        <row r="2920">
          <cell r="B2920">
            <v>40794</v>
          </cell>
          <cell r="C2920">
            <v>5139.2</v>
          </cell>
          <cell r="D2920">
            <v>5169.25</v>
          </cell>
          <cell r="E2920">
            <v>5098.25</v>
          </cell>
          <cell r="F2920">
            <v>5153.25</v>
          </cell>
        </row>
        <row r="2921">
          <cell r="B2921">
            <v>40795</v>
          </cell>
          <cell r="C2921">
            <v>5161.3</v>
          </cell>
          <cell r="D2921">
            <v>5163.75</v>
          </cell>
          <cell r="E2921">
            <v>5046.8</v>
          </cell>
          <cell r="F2921">
            <v>5059.45</v>
          </cell>
        </row>
        <row r="2922">
          <cell r="B2922">
            <v>40798</v>
          </cell>
          <cell r="C2922">
            <v>4981.7</v>
          </cell>
          <cell r="D2922">
            <v>4985.6000000000004</v>
          </cell>
          <cell r="E2922">
            <v>4911.25</v>
          </cell>
          <cell r="F2922">
            <v>4946.8</v>
          </cell>
        </row>
        <row r="2923">
          <cell r="B2923">
            <v>40799</v>
          </cell>
          <cell r="C2923">
            <v>4977.8</v>
          </cell>
          <cell r="D2923">
            <v>5030.1499999999996</v>
          </cell>
          <cell r="E2923">
            <v>4911.05</v>
          </cell>
          <cell r="F2923">
            <v>4940.95</v>
          </cell>
        </row>
        <row r="2924">
          <cell r="B2924">
            <v>40800</v>
          </cell>
          <cell r="C2924">
            <v>4965.05</v>
          </cell>
          <cell r="D2924">
            <v>5026.1499999999996</v>
          </cell>
          <cell r="E2924">
            <v>4917.3999999999996</v>
          </cell>
          <cell r="F2924">
            <v>5012.55</v>
          </cell>
        </row>
        <row r="2925">
          <cell r="B2925">
            <v>40801</v>
          </cell>
          <cell r="C2925">
            <v>5062.3500000000004</v>
          </cell>
          <cell r="D2925">
            <v>5091.45</v>
          </cell>
          <cell r="E2925">
            <v>4967.45</v>
          </cell>
          <cell r="F2925">
            <v>5075.7</v>
          </cell>
        </row>
        <row r="2926">
          <cell r="B2926">
            <v>40802</v>
          </cell>
          <cell r="C2926">
            <v>5123.3500000000004</v>
          </cell>
          <cell r="D2926">
            <v>5143.6000000000004</v>
          </cell>
          <cell r="E2926">
            <v>5068.1000000000004</v>
          </cell>
          <cell r="F2926">
            <v>5084.25</v>
          </cell>
        </row>
        <row r="2927">
          <cell r="B2927">
            <v>40805</v>
          </cell>
          <cell r="C2927">
            <v>5068.3999999999996</v>
          </cell>
          <cell r="D2927">
            <v>5068.3999999999996</v>
          </cell>
          <cell r="E2927">
            <v>5019.25</v>
          </cell>
          <cell r="F2927">
            <v>5031.95</v>
          </cell>
        </row>
        <row r="2928">
          <cell r="B2928">
            <v>40806</v>
          </cell>
          <cell r="C2928">
            <v>5042.55</v>
          </cell>
          <cell r="D2928">
            <v>5149.8999999999996</v>
          </cell>
          <cell r="E2928">
            <v>5035.25</v>
          </cell>
          <cell r="F2928">
            <v>5140.2</v>
          </cell>
        </row>
        <row r="2929">
          <cell r="B2929">
            <v>40807</v>
          </cell>
          <cell r="C2929">
            <v>5153.75</v>
          </cell>
          <cell r="D2929">
            <v>5168.3999999999996</v>
          </cell>
          <cell r="E2929">
            <v>5109.8500000000004</v>
          </cell>
          <cell r="F2929">
            <v>5133.25</v>
          </cell>
        </row>
        <row r="2930">
          <cell r="B2930">
            <v>40808</v>
          </cell>
          <cell r="C2930">
            <v>5054.45</v>
          </cell>
          <cell r="D2930">
            <v>5059.8500000000004</v>
          </cell>
          <cell r="E2930">
            <v>4907.75</v>
          </cell>
          <cell r="F2930">
            <v>4923.6499999999996</v>
          </cell>
        </row>
        <row r="2931">
          <cell r="B2931">
            <v>40809</v>
          </cell>
          <cell r="C2931">
            <v>4873.75</v>
          </cell>
          <cell r="D2931">
            <v>4930.25</v>
          </cell>
          <cell r="E2931">
            <v>4829.6000000000004</v>
          </cell>
          <cell r="F2931">
            <v>4867.75</v>
          </cell>
        </row>
        <row r="2932">
          <cell r="B2932">
            <v>40812</v>
          </cell>
          <cell r="C2932">
            <v>4878.6000000000004</v>
          </cell>
          <cell r="D2932">
            <v>4879.8</v>
          </cell>
          <cell r="E2932">
            <v>4758.8500000000004</v>
          </cell>
          <cell r="F2932">
            <v>4835.3999999999996</v>
          </cell>
        </row>
        <row r="2933">
          <cell r="B2933">
            <v>40813</v>
          </cell>
          <cell r="C2933">
            <v>4905.1499999999996</v>
          </cell>
          <cell r="D2933">
            <v>4982.95</v>
          </cell>
          <cell r="E2933">
            <v>4905.1499999999996</v>
          </cell>
          <cell r="F2933">
            <v>4971.25</v>
          </cell>
        </row>
        <row r="2934">
          <cell r="B2934">
            <v>40814</v>
          </cell>
          <cell r="C2934">
            <v>5005.5</v>
          </cell>
          <cell r="D2934">
            <v>5006.05</v>
          </cell>
          <cell r="E2934">
            <v>4918.45</v>
          </cell>
          <cell r="F2934">
            <v>4945.8999999999996</v>
          </cell>
        </row>
        <row r="2935">
          <cell r="B2935">
            <v>40815</v>
          </cell>
          <cell r="C2935">
            <v>4924.2</v>
          </cell>
          <cell r="D2935">
            <v>5034.25</v>
          </cell>
          <cell r="E2935">
            <v>4906</v>
          </cell>
          <cell r="F2935">
            <v>5015.45</v>
          </cell>
        </row>
        <row r="2936">
          <cell r="B2936">
            <v>40816</v>
          </cell>
          <cell r="C2936">
            <v>4990.1499999999996</v>
          </cell>
          <cell r="D2936">
            <v>5025.55</v>
          </cell>
          <cell r="E2936">
            <v>4924.3</v>
          </cell>
          <cell r="F2936">
            <v>4943.25</v>
          </cell>
        </row>
        <row r="2937">
          <cell r="B2937">
            <v>40819</v>
          </cell>
          <cell r="C2937">
            <v>4874.3999999999996</v>
          </cell>
          <cell r="D2937">
            <v>4879.1499999999996</v>
          </cell>
          <cell r="E2937">
            <v>4823.8999999999996</v>
          </cell>
          <cell r="F2937">
            <v>4849.5</v>
          </cell>
        </row>
        <row r="2938">
          <cell r="B2938">
            <v>40820</v>
          </cell>
          <cell r="C2938">
            <v>4823.5</v>
          </cell>
          <cell r="D2938">
            <v>4869.75</v>
          </cell>
          <cell r="E2938">
            <v>4728.3</v>
          </cell>
          <cell r="F2938">
            <v>4772.1499999999996</v>
          </cell>
        </row>
        <row r="2939">
          <cell r="B2939">
            <v>40821</v>
          </cell>
          <cell r="C2939">
            <v>4791.3</v>
          </cell>
          <cell r="D2939">
            <v>4827.8</v>
          </cell>
          <cell r="E2939">
            <v>4741</v>
          </cell>
          <cell r="F2939">
            <v>4751.3</v>
          </cell>
        </row>
        <row r="2940">
          <cell r="B2940">
            <v>40823</v>
          </cell>
          <cell r="C2940">
            <v>4883.6499999999996</v>
          </cell>
          <cell r="D2940">
            <v>4922.6000000000004</v>
          </cell>
          <cell r="E2940">
            <v>4861.2</v>
          </cell>
          <cell r="F2940">
            <v>4888.05</v>
          </cell>
        </row>
        <row r="2941">
          <cell r="B2941">
            <v>40826</v>
          </cell>
          <cell r="C2941">
            <v>4886.8500000000004</v>
          </cell>
          <cell r="D2941">
            <v>4991.1499999999996</v>
          </cell>
          <cell r="E2941">
            <v>4882.05</v>
          </cell>
          <cell r="F2941">
            <v>4979.6000000000004</v>
          </cell>
        </row>
        <row r="2942">
          <cell r="B2942">
            <v>40827</v>
          </cell>
          <cell r="C2942">
            <v>5019.8999999999996</v>
          </cell>
          <cell r="D2942">
            <v>5045.1000000000004</v>
          </cell>
          <cell r="E2942">
            <v>4964</v>
          </cell>
          <cell r="F2942">
            <v>4974.3500000000004</v>
          </cell>
        </row>
        <row r="2943">
          <cell r="B2943">
            <v>40828</v>
          </cell>
          <cell r="C2943">
            <v>5011.2</v>
          </cell>
          <cell r="D2943">
            <v>5109.8</v>
          </cell>
          <cell r="E2943">
            <v>4997.6499999999996</v>
          </cell>
          <cell r="F2943">
            <v>5099.3999999999996</v>
          </cell>
        </row>
        <row r="2944">
          <cell r="B2944">
            <v>40829</v>
          </cell>
          <cell r="C2944">
            <v>5130.8</v>
          </cell>
          <cell r="D2944">
            <v>5136.95</v>
          </cell>
          <cell r="E2944">
            <v>5067.6499999999996</v>
          </cell>
          <cell r="F2944">
            <v>5077.8500000000004</v>
          </cell>
        </row>
        <row r="2945">
          <cell r="B2945">
            <v>40830</v>
          </cell>
          <cell r="C2945">
            <v>5057.3500000000004</v>
          </cell>
          <cell r="D2945">
            <v>5141.3999999999996</v>
          </cell>
          <cell r="E2945">
            <v>5056.6000000000004</v>
          </cell>
          <cell r="F2945">
            <v>5132.3</v>
          </cell>
        </row>
        <row r="2946">
          <cell r="B2946">
            <v>40833</v>
          </cell>
          <cell r="C2946">
            <v>5156.2</v>
          </cell>
          <cell r="D2946">
            <v>5160.2</v>
          </cell>
          <cell r="E2946">
            <v>5084.5</v>
          </cell>
          <cell r="F2946">
            <v>5118.25</v>
          </cell>
        </row>
        <row r="2947">
          <cell r="B2947">
            <v>40834</v>
          </cell>
          <cell r="C2947">
            <v>5049.45</v>
          </cell>
          <cell r="D2947">
            <v>5057.5</v>
          </cell>
          <cell r="E2947">
            <v>5011.05</v>
          </cell>
          <cell r="F2947">
            <v>5037.5</v>
          </cell>
        </row>
        <row r="2948">
          <cell r="B2948">
            <v>40835</v>
          </cell>
          <cell r="C2948">
            <v>5080.45</v>
          </cell>
          <cell r="D2948">
            <v>5148.05</v>
          </cell>
          <cell r="E2948">
            <v>5075.3</v>
          </cell>
          <cell r="F2948">
            <v>5139.1499999999996</v>
          </cell>
        </row>
        <row r="2949">
          <cell r="B2949">
            <v>40836</v>
          </cell>
          <cell r="C2949">
            <v>5086.55</v>
          </cell>
          <cell r="D2949">
            <v>5099</v>
          </cell>
          <cell r="E2949">
            <v>5033.95</v>
          </cell>
          <cell r="F2949">
            <v>5091.8999999999996</v>
          </cell>
        </row>
        <row r="2950">
          <cell r="B2950">
            <v>40837</v>
          </cell>
          <cell r="C2950">
            <v>5106.6000000000004</v>
          </cell>
          <cell r="D2950">
            <v>5120.75</v>
          </cell>
          <cell r="E2950">
            <v>5037.95</v>
          </cell>
          <cell r="F2950">
            <v>5049.95</v>
          </cell>
        </row>
        <row r="2951">
          <cell r="B2951">
            <v>40840</v>
          </cell>
          <cell r="C2951">
            <v>5114.7</v>
          </cell>
          <cell r="D2951">
            <v>5145.6499999999996</v>
          </cell>
          <cell r="E2951">
            <v>5084.75</v>
          </cell>
          <cell r="F2951">
            <v>5098.3500000000004</v>
          </cell>
        </row>
        <row r="2952">
          <cell r="B2952">
            <v>40841</v>
          </cell>
          <cell r="C2952">
            <v>5137.8999999999996</v>
          </cell>
          <cell r="D2952">
            <v>5211</v>
          </cell>
          <cell r="E2952">
            <v>5085.55</v>
          </cell>
          <cell r="F2952">
            <v>5191.6000000000004</v>
          </cell>
        </row>
        <row r="2953">
          <cell r="B2953">
            <v>40842</v>
          </cell>
          <cell r="C2953">
            <v>5214.95</v>
          </cell>
          <cell r="D2953">
            <v>5219.25</v>
          </cell>
          <cell r="E2953">
            <v>5196.1499999999996</v>
          </cell>
          <cell r="F2953">
            <v>5201.8</v>
          </cell>
        </row>
        <row r="2954">
          <cell r="B2954">
            <v>40844</v>
          </cell>
          <cell r="C2954">
            <v>5341.9</v>
          </cell>
          <cell r="D2954">
            <v>5399.7</v>
          </cell>
          <cell r="E2954">
            <v>5322.8</v>
          </cell>
          <cell r="F2954">
            <v>5360.7</v>
          </cell>
        </row>
        <row r="2955">
          <cell r="B2955">
            <v>40847</v>
          </cell>
          <cell r="C2955">
            <v>5358.9</v>
          </cell>
          <cell r="D2955">
            <v>5360.25</v>
          </cell>
          <cell r="E2955">
            <v>5314.6</v>
          </cell>
          <cell r="F2955">
            <v>5326.6</v>
          </cell>
        </row>
        <row r="2956">
          <cell r="B2956">
            <v>40848</v>
          </cell>
          <cell r="C2956">
            <v>5278.6</v>
          </cell>
          <cell r="D2956">
            <v>5310.85</v>
          </cell>
          <cell r="E2956">
            <v>5238.3</v>
          </cell>
          <cell r="F2956">
            <v>5257.95</v>
          </cell>
        </row>
        <row r="2957">
          <cell r="B2957">
            <v>40849</v>
          </cell>
          <cell r="C2957">
            <v>5216.75</v>
          </cell>
          <cell r="D2957">
            <v>5300.1</v>
          </cell>
          <cell r="E2957">
            <v>5204.95</v>
          </cell>
          <cell r="F2957">
            <v>5258.45</v>
          </cell>
        </row>
        <row r="2958">
          <cell r="B2958">
            <v>40850</v>
          </cell>
          <cell r="C2958">
            <v>5241.55</v>
          </cell>
          <cell r="D2958">
            <v>5281.6</v>
          </cell>
          <cell r="E2958">
            <v>5201.8500000000004</v>
          </cell>
          <cell r="F2958">
            <v>5265.75</v>
          </cell>
        </row>
        <row r="2959">
          <cell r="B2959">
            <v>40851</v>
          </cell>
          <cell r="C2959">
            <v>5325.4</v>
          </cell>
          <cell r="D2959">
            <v>5326.45</v>
          </cell>
          <cell r="E2959">
            <v>5256.8</v>
          </cell>
          <cell r="F2959">
            <v>5284.2</v>
          </cell>
        </row>
        <row r="2960">
          <cell r="B2960">
            <v>40855</v>
          </cell>
          <cell r="C2960">
            <v>5292.25</v>
          </cell>
          <cell r="D2960">
            <v>5304.25</v>
          </cell>
          <cell r="E2960">
            <v>5252</v>
          </cell>
          <cell r="F2960">
            <v>5289.35</v>
          </cell>
        </row>
        <row r="2961">
          <cell r="B2961">
            <v>40856</v>
          </cell>
          <cell r="C2961">
            <v>5309.7</v>
          </cell>
          <cell r="D2961">
            <v>5317.5</v>
          </cell>
          <cell r="E2961">
            <v>5211.75</v>
          </cell>
          <cell r="F2961">
            <v>5221.05</v>
          </cell>
        </row>
        <row r="2962">
          <cell r="B2962">
            <v>40858</v>
          </cell>
          <cell r="C2962">
            <v>5159.75</v>
          </cell>
          <cell r="D2962">
            <v>5198.6000000000004</v>
          </cell>
          <cell r="E2962">
            <v>5142.25</v>
          </cell>
          <cell r="F2962">
            <v>5168.8500000000004</v>
          </cell>
        </row>
        <row r="2963">
          <cell r="B2963">
            <v>40861</v>
          </cell>
          <cell r="C2963">
            <v>5217.3500000000004</v>
          </cell>
          <cell r="D2963">
            <v>5228.8999999999996</v>
          </cell>
          <cell r="E2963">
            <v>5140.55</v>
          </cell>
          <cell r="F2963">
            <v>5148.3500000000004</v>
          </cell>
        </row>
        <row r="2964">
          <cell r="B2964">
            <v>40862</v>
          </cell>
          <cell r="C2964">
            <v>5131.2</v>
          </cell>
          <cell r="D2964">
            <v>5158.75</v>
          </cell>
          <cell r="E2964">
            <v>5052.8500000000004</v>
          </cell>
          <cell r="F2964">
            <v>5068.5</v>
          </cell>
        </row>
        <row r="2965">
          <cell r="B2965">
            <v>40863</v>
          </cell>
          <cell r="C2965">
            <v>5059.1000000000004</v>
          </cell>
          <cell r="D2965">
            <v>5065.2</v>
          </cell>
          <cell r="E2965">
            <v>4989.5</v>
          </cell>
          <cell r="F2965">
            <v>5030.45</v>
          </cell>
        </row>
        <row r="2966">
          <cell r="B2966">
            <v>40864</v>
          </cell>
          <cell r="C2966">
            <v>5027.1000000000004</v>
          </cell>
          <cell r="D2966">
            <v>5036.8</v>
          </cell>
          <cell r="E2966">
            <v>4919.45</v>
          </cell>
          <cell r="F2966">
            <v>4934.75</v>
          </cell>
        </row>
        <row r="2967">
          <cell r="B2967">
            <v>40865</v>
          </cell>
          <cell r="C2967">
            <v>4899.1499999999996</v>
          </cell>
          <cell r="D2967">
            <v>4915.8999999999996</v>
          </cell>
          <cell r="E2967">
            <v>4837.95</v>
          </cell>
          <cell r="F2967">
            <v>4905.8</v>
          </cell>
        </row>
        <row r="2968">
          <cell r="B2968">
            <v>40868</v>
          </cell>
          <cell r="C2968">
            <v>4873.8</v>
          </cell>
          <cell r="D2968">
            <v>4873.8</v>
          </cell>
          <cell r="E2968">
            <v>4764.8</v>
          </cell>
          <cell r="F2968">
            <v>4778.3500000000004</v>
          </cell>
        </row>
        <row r="2969">
          <cell r="B2969">
            <v>40869</v>
          </cell>
          <cell r="C2969">
            <v>4794.8500000000004</v>
          </cell>
          <cell r="D2969">
            <v>4854</v>
          </cell>
          <cell r="E2969">
            <v>4782.55</v>
          </cell>
          <cell r="F2969">
            <v>4812.3500000000004</v>
          </cell>
        </row>
        <row r="2970">
          <cell r="B2970">
            <v>40870</v>
          </cell>
          <cell r="C2970">
            <v>4779.5</v>
          </cell>
          <cell r="D2970">
            <v>4779.5</v>
          </cell>
          <cell r="E2970">
            <v>4640.95</v>
          </cell>
          <cell r="F2970">
            <v>4706.45</v>
          </cell>
        </row>
        <row r="2971">
          <cell r="B2971">
            <v>40871</v>
          </cell>
          <cell r="C2971">
            <v>4707.55</v>
          </cell>
          <cell r="D2971">
            <v>4771.1000000000004</v>
          </cell>
          <cell r="E2971">
            <v>4639.1000000000004</v>
          </cell>
          <cell r="F2971">
            <v>4756.45</v>
          </cell>
        </row>
        <row r="2972">
          <cell r="B2972">
            <v>40872</v>
          </cell>
          <cell r="C2972">
            <v>4731.3</v>
          </cell>
          <cell r="D2972">
            <v>4767.3</v>
          </cell>
          <cell r="E2972">
            <v>4693.1000000000004</v>
          </cell>
          <cell r="F2972">
            <v>4710.05</v>
          </cell>
        </row>
        <row r="2973">
          <cell r="B2973">
            <v>40875</v>
          </cell>
          <cell r="C2973">
            <v>4769.3</v>
          </cell>
          <cell r="D2973">
            <v>4859.1000000000004</v>
          </cell>
          <cell r="E2973">
            <v>4766.3999999999996</v>
          </cell>
          <cell r="F2973">
            <v>4851.3</v>
          </cell>
        </row>
        <row r="2974">
          <cell r="B2974">
            <v>40876</v>
          </cell>
          <cell r="C2974">
            <v>4864.2</v>
          </cell>
          <cell r="D2974">
            <v>4866.1000000000004</v>
          </cell>
          <cell r="E2974">
            <v>4787.1000000000004</v>
          </cell>
          <cell r="F2974">
            <v>4805.1000000000004</v>
          </cell>
        </row>
        <row r="2975">
          <cell r="B2975">
            <v>40877</v>
          </cell>
          <cell r="C2975">
            <v>4766.1499999999996</v>
          </cell>
          <cell r="D2975">
            <v>4851.55</v>
          </cell>
          <cell r="E2975">
            <v>4754.8</v>
          </cell>
          <cell r="F2975">
            <v>4832.05</v>
          </cell>
        </row>
        <row r="2976">
          <cell r="B2976">
            <v>40878</v>
          </cell>
          <cell r="C2976">
            <v>4970.8500000000004</v>
          </cell>
          <cell r="D2976">
            <v>5011.8999999999996</v>
          </cell>
          <cell r="E2976">
            <v>4916.7</v>
          </cell>
          <cell r="F2976">
            <v>4936.8500000000004</v>
          </cell>
        </row>
        <row r="2977">
          <cell r="B2977">
            <v>40879</v>
          </cell>
          <cell r="C2977">
            <v>4940.8500000000004</v>
          </cell>
          <cell r="D2977">
            <v>5062.55</v>
          </cell>
          <cell r="E2977">
            <v>4918.3999999999996</v>
          </cell>
          <cell r="F2977">
            <v>5050.1499999999996</v>
          </cell>
        </row>
        <row r="2978">
          <cell r="B2978">
            <v>40882</v>
          </cell>
          <cell r="C2978">
            <v>5036.5</v>
          </cell>
          <cell r="D2978">
            <v>5055.3999999999996</v>
          </cell>
          <cell r="E2978">
            <v>5002.55</v>
          </cell>
          <cell r="F2978">
            <v>5039.1499999999996</v>
          </cell>
        </row>
        <row r="2979">
          <cell r="B2979">
            <v>40884</v>
          </cell>
          <cell r="C2979">
            <v>5050.1000000000004</v>
          </cell>
          <cell r="D2979">
            <v>5099.25</v>
          </cell>
          <cell r="E2979">
            <v>5032.25</v>
          </cell>
          <cell r="F2979">
            <v>5062.6000000000004</v>
          </cell>
        </row>
        <row r="2980">
          <cell r="B2980">
            <v>40885</v>
          </cell>
          <cell r="C2980">
            <v>5037.3999999999996</v>
          </cell>
          <cell r="D2980">
            <v>5049.05</v>
          </cell>
          <cell r="E2980">
            <v>4921.45</v>
          </cell>
          <cell r="F2980">
            <v>4943.6499999999996</v>
          </cell>
        </row>
        <row r="2981">
          <cell r="B2981">
            <v>40886</v>
          </cell>
          <cell r="C2981">
            <v>4870.75</v>
          </cell>
          <cell r="D2981">
            <v>4918.3500000000004</v>
          </cell>
          <cell r="E2981">
            <v>4841.75</v>
          </cell>
          <cell r="F2981">
            <v>4866.7</v>
          </cell>
        </row>
        <row r="2982">
          <cell r="B2982">
            <v>40889</v>
          </cell>
          <cell r="C2982">
            <v>4906.8500000000004</v>
          </cell>
          <cell r="D2982">
            <v>4910.25</v>
          </cell>
          <cell r="E2982">
            <v>4755.55</v>
          </cell>
          <cell r="F2982">
            <v>4764.6000000000004</v>
          </cell>
        </row>
        <row r="2983">
          <cell r="B2983">
            <v>40890</v>
          </cell>
          <cell r="C2983">
            <v>4733.6000000000004</v>
          </cell>
          <cell r="D2983">
            <v>4824.7</v>
          </cell>
          <cell r="E2983">
            <v>4728.5</v>
          </cell>
          <cell r="F2983">
            <v>4800.6000000000004</v>
          </cell>
        </row>
        <row r="2984">
          <cell r="B2984">
            <v>40891</v>
          </cell>
          <cell r="C2984">
            <v>4788.7</v>
          </cell>
          <cell r="D2984">
            <v>4839.55</v>
          </cell>
          <cell r="E2984">
            <v>4750.3999999999996</v>
          </cell>
          <cell r="F2984">
            <v>4763.25</v>
          </cell>
        </row>
        <row r="2985">
          <cell r="B2985">
            <v>40892</v>
          </cell>
          <cell r="C2985">
            <v>4712.8</v>
          </cell>
          <cell r="D2985">
            <v>4768.6499999999996</v>
          </cell>
          <cell r="E2985">
            <v>4673.8500000000004</v>
          </cell>
          <cell r="F2985">
            <v>4746.3500000000004</v>
          </cell>
        </row>
        <row r="2986">
          <cell r="B2986">
            <v>40893</v>
          </cell>
          <cell r="C2986">
            <v>4752.5</v>
          </cell>
          <cell r="D2986">
            <v>4818.8500000000004</v>
          </cell>
          <cell r="E2986">
            <v>4628.2</v>
          </cell>
          <cell r="F2986">
            <v>4651.6000000000004</v>
          </cell>
        </row>
        <row r="2987">
          <cell r="B2987">
            <v>40896</v>
          </cell>
          <cell r="C2987">
            <v>4623.1499999999996</v>
          </cell>
          <cell r="D2987">
            <v>4623.1499999999996</v>
          </cell>
          <cell r="E2987">
            <v>4555.8999999999996</v>
          </cell>
          <cell r="F2987">
            <v>4613.1000000000004</v>
          </cell>
        </row>
        <row r="2988">
          <cell r="B2988">
            <v>40897</v>
          </cell>
          <cell r="C2988">
            <v>4635.8</v>
          </cell>
          <cell r="D2988">
            <v>4637.25</v>
          </cell>
          <cell r="E2988">
            <v>4531.1499999999996</v>
          </cell>
          <cell r="F2988">
            <v>4544.2</v>
          </cell>
        </row>
        <row r="2989">
          <cell r="B2989">
            <v>40898</v>
          </cell>
          <cell r="C2989">
            <v>4636.45</v>
          </cell>
          <cell r="D2989">
            <v>4707.3500000000004</v>
          </cell>
          <cell r="E2989">
            <v>4601.95</v>
          </cell>
          <cell r="F2989">
            <v>4693.1499999999996</v>
          </cell>
        </row>
        <row r="2990">
          <cell r="B2990">
            <v>40899</v>
          </cell>
          <cell r="C2990">
            <v>4636.8999999999996</v>
          </cell>
          <cell r="D2990">
            <v>4740.6000000000004</v>
          </cell>
          <cell r="E2990">
            <v>4632.95</v>
          </cell>
          <cell r="F2990">
            <v>4733.8500000000004</v>
          </cell>
        </row>
        <row r="2991">
          <cell r="B2991">
            <v>40900</v>
          </cell>
          <cell r="C2991">
            <v>4763.2</v>
          </cell>
          <cell r="D2991">
            <v>4763.45</v>
          </cell>
          <cell r="E2991">
            <v>4693.2</v>
          </cell>
          <cell r="F2991">
            <v>4714</v>
          </cell>
        </row>
        <row r="2992">
          <cell r="B2992">
            <v>40903</v>
          </cell>
          <cell r="C2992">
            <v>4718.1499999999996</v>
          </cell>
          <cell r="D2992">
            <v>4787.25</v>
          </cell>
          <cell r="E2992">
            <v>4718.1499999999996</v>
          </cell>
          <cell r="F2992">
            <v>4779</v>
          </cell>
        </row>
        <row r="2993">
          <cell r="B2993">
            <v>40904</v>
          </cell>
          <cell r="C2993">
            <v>4780.2</v>
          </cell>
          <cell r="D2993">
            <v>4800.5</v>
          </cell>
          <cell r="E2993">
            <v>4723.6499999999996</v>
          </cell>
          <cell r="F2993">
            <v>4750.5</v>
          </cell>
        </row>
        <row r="2994">
          <cell r="B2994">
            <v>40905</v>
          </cell>
          <cell r="C2994">
            <v>4756.2</v>
          </cell>
          <cell r="D2994">
            <v>4756.2</v>
          </cell>
          <cell r="E2994">
            <v>4685.6499999999996</v>
          </cell>
          <cell r="F2994">
            <v>4705.8</v>
          </cell>
        </row>
        <row r="2995">
          <cell r="B2995">
            <v>40906</v>
          </cell>
          <cell r="C2995">
            <v>4681.1499999999996</v>
          </cell>
          <cell r="D2995">
            <v>4701.8</v>
          </cell>
          <cell r="E2995">
            <v>4639.05</v>
          </cell>
          <cell r="F2995">
            <v>4646.25</v>
          </cell>
        </row>
        <row r="2996">
          <cell r="B2996">
            <v>40907</v>
          </cell>
          <cell r="C2996">
            <v>4659.95</v>
          </cell>
          <cell r="D2996">
            <v>4690.45</v>
          </cell>
          <cell r="E2996">
            <v>4608.8999999999996</v>
          </cell>
          <cell r="F2996">
            <v>4624.3</v>
          </cell>
        </row>
        <row r="2997">
          <cell r="B2997">
            <v>40910</v>
          </cell>
          <cell r="C2997">
            <v>4640.2</v>
          </cell>
          <cell r="D2997">
            <v>4645.95</v>
          </cell>
          <cell r="E2997">
            <v>4588.05</v>
          </cell>
          <cell r="F2997">
            <v>4636.75</v>
          </cell>
        </row>
        <row r="2998">
          <cell r="B2998">
            <v>40911</v>
          </cell>
          <cell r="C2998">
            <v>4675.8</v>
          </cell>
          <cell r="D2998">
            <v>4773.1000000000004</v>
          </cell>
          <cell r="E2998">
            <v>4675.8</v>
          </cell>
          <cell r="F2998">
            <v>4765.3</v>
          </cell>
        </row>
        <row r="2999">
          <cell r="B2999">
            <v>40912</v>
          </cell>
          <cell r="C2999">
            <v>4774.95</v>
          </cell>
          <cell r="D2999">
            <v>4782.8500000000004</v>
          </cell>
          <cell r="E2999">
            <v>4728.8500000000004</v>
          </cell>
          <cell r="F2999">
            <v>4749.6499999999996</v>
          </cell>
        </row>
        <row r="3000">
          <cell r="B3000">
            <v>40913</v>
          </cell>
          <cell r="C3000">
            <v>4749</v>
          </cell>
          <cell r="D3000">
            <v>4779.8</v>
          </cell>
          <cell r="E3000">
            <v>4730.1499999999996</v>
          </cell>
          <cell r="F3000">
            <v>4749.95</v>
          </cell>
        </row>
        <row r="3001">
          <cell r="B3001">
            <v>40914</v>
          </cell>
          <cell r="C3001">
            <v>4724.1499999999996</v>
          </cell>
          <cell r="D3001">
            <v>4794.8999999999996</v>
          </cell>
          <cell r="E3001">
            <v>4686.8500000000004</v>
          </cell>
          <cell r="F3001">
            <v>4754.1000000000004</v>
          </cell>
        </row>
        <row r="3002">
          <cell r="B3002">
            <v>40915</v>
          </cell>
          <cell r="C3002">
            <v>4755.6000000000004</v>
          </cell>
          <cell r="D3002">
            <v>4759.3999999999996</v>
          </cell>
          <cell r="E3002">
            <v>4743.05</v>
          </cell>
          <cell r="F3002">
            <v>4746.8999999999996</v>
          </cell>
        </row>
        <row r="3003">
          <cell r="B3003">
            <v>40917</v>
          </cell>
          <cell r="C3003">
            <v>4747.55</v>
          </cell>
          <cell r="D3003">
            <v>4758.7</v>
          </cell>
          <cell r="E3003">
            <v>4695.45</v>
          </cell>
          <cell r="F3003">
            <v>4742.8</v>
          </cell>
        </row>
        <row r="3004">
          <cell r="B3004">
            <v>40918</v>
          </cell>
          <cell r="C3004">
            <v>4771.8500000000004</v>
          </cell>
          <cell r="D3004">
            <v>4855.8999999999996</v>
          </cell>
          <cell r="E3004">
            <v>4768.25</v>
          </cell>
          <cell r="F3004">
            <v>4849.55</v>
          </cell>
        </row>
        <row r="3005">
          <cell r="B3005">
            <v>40919</v>
          </cell>
          <cell r="C3005">
            <v>4863.1499999999996</v>
          </cell>
          <cell r="D3005">
            <v>4877.2</v>
          </cell>
          <cell r="E3005">
            <v>4841.6000000000004</v>
          </cell>
          <cell r="F3005">
            <v>4860.95</v>
          </cell>
        </row>
        <row r="3006">
          <cell r="B3006">
            <v>40920</v>
          </cell>
          <cell r="C3006">
            <v>4840.95</v>
          </cell>
          <cell r="D3006">
            <v>4869.2</v>
          </cell>
          <cell r="E3006">
            <v>4803.8999999999996</v>
          </cell>
          <cell r="F3006">
            <v>4831.25</v>
          </cell>
        </row>
        <row r="3007">
          <cell r="B3007">
            <v>40921</v>
          </cell>
          <cell r="C3007">
            <v>4861.95</v>
          </cell>
          <cell r="D3007">
            <v>4898.8500000000004</v>
          </cell>
          <cell r="E3007">
            <v>4834.2</v>
          </cell>
          <cell r="F3007">
            <v>4866</v>
          </cell>
        </row>
        <row r="3008">
          <cell r="B3008">
            <v>40924</v>
          </cell>
          <cell r="C3008">
            <v>4844</v>
          </cell>
          <cell r="D3008">
            <v>4880.8</v>
          </cell>
          <cell r="E3008">
            <v>4827.05</v>
          </cell>
          <cell r="F3008">
            <v>4873.8999999999996</v>
          </cell>
        </row>
        <row r="3009">
          <cell r="B3009">
            <v>40925</v>
          </cell>
          <cell r="C3009">
            <v>4904.5</v>
          </cell>
          <cell r="D3009">
            <v>4975.55</v>
          </cell>
          <cell r="E3009">
            <v>4904</v>
          </cell>
          <cell r="F3009">
            <v>4967.3</v>
          </cell>
        </row>
        <row r="3010">
          <cell r="B3010">
            <v>40926</v>
          </cell>
          <cell r="C3010">
            <v>4977.75</v>
          </cell>
          <cell r="D3010">
            <v>4980.6499999999996</v>
          </cell>
          <cell r="E3010">
            <v>4931.05</v>
          </cell>
          <cell r="F3010">
            <v>4955.8</v>
          </cell>
        </row>
        <row r="3011">
          <cell r="B3011">
            <v>40927</v>
          </cell>
          <cell r="C3011">
            <v>4995</v>
          </cell>
          <cell r="D3011">
            <v>5023.8</v>
          </cell>
          <cell r="E3011">
            <v>4991.3999999999996</v>
          </cell>
          <cell r="F3011">
            <v>5018.3999999999996</v>
          </cell>
        </row>
        <row r="3012">
          <cell r="B3012">
            <v>40928</v>
          </cell>
          <cell r="C3012">
            <v>5044.8500000000004</v>
          </cell>
          <cell r="D3012">
            <v>5064.1499999999996</v>
          </cell>
          <cell r="E3012">
            <v>5004.3</v>
          </cell>
          <cell r="F3012">
            <v>5048.6000000000004</v>
          </cell>
        </row>
        <row r="3013">
          <cell r="B3013">
            <v>40931</v>
          </cell>
          <cell r="C3013">
            <v>5025.3500000000004</v>
          </cell>
          <cell r="D3013">
            <v>5059.55</v>
          </cell>
          <cell r="E3013">
            <v>5021.3500000000004</v>
          </cell>
          <cell r="F3013">
            <v>5046.25</v>
          </cell>
        </row>
        <row r="3014">
          <cell r="B3014">
            <v>40932</v>
          </cell>
          <cell r="C3014">
            <v>5064.8</v>
          </cell>
          <cell r="D3014">
            <v>5141.05</v>
          </cell>
          <cell r="E3014">
            <v>5049.8</v>
          </cell>
          <cell r="F3014">
            <v>5127.3500000000004</v>
          </cell>
        </row>
        <row r="3015">
          <cell r="B3015">
            <v>40933</v>
          </cell>
          <cell r="C3015">
            <v>5151.5</v>
          </cell>
          <cell r="D3015">
            <v>5174.1499999999996</v>
          </cell>
          <cell r="E3015">
            <v>5130.25</v>
          </cell>
          <cell r="F3015">
            <v>5158.3</v>
          </cell>
        </row>
        <row r="3016">
          <cell r="B3016">
            <v>40935</v>
          </cell>
          <cell r="C3016">
            <v>5216.75</v>
          </cell>
          <cell r="D3016">
            <v>5217</v>
          </cell>
          <cell r="E3016">
            <v>5162.3999999999996</v>
          </cell>
          <cell r="F3016">
            <v>5204.7</v>
          </cell>
        </row>
        <row r="3017">
          <cell r="B3017">
            <v>40938</v>
          </cell>
          <cell r="C3017">
            <v>5163.55</v>
          </cell>
          <cell r="D3017">
            <v>5166.1499999999996</v>
          </cell>
          <cell r="E3017">
            <v>5076.7</v>
          </cell>
          <cell r="F3017">
            <v>5087.3</v>
          </cell>
        </row>
        <row r="3018">
          <cell r="B3018">
            <v>40939</v>
          </cell>
          <cell r="C3018">
            <v>5125.25</v>
          </cell>
          <cell r="D3018">
            <v>5215.3999999999996</v>
          </cell>
          <cell r="E3018">
            <v>5120.1499999999996</v>
          </cell>
          <cell r="F3018">
            <v>5199.25</v>
          </cell>
        </row>
        <row r="3019">
          <cell r="B3019">
            <v>40940</v>
          </cell>
          <cell r="C3019">
            <v>5198.1499999999996</v>
          </cell>
          <cell r="D3019">
            <v>5244.6</v>
          </cell>
          <cell r="E3019">
            <v>5159</v>
          </cell>
          <cell r="F3019">
            <v>5235.7</v>
          </cell>
        </row>
        <row r="3020">
          <cell r="B3020">
            <v>40941</v>
          </cell>
          <cell r="C3020">
            <v>5272.1</v>
          </cell>
          <cell r="D3020">
            <v>5289.95</v>
          </cell>
          <cell r="E3020">
            <v>5225.75</v>
          </cell>
          <cell r="F3020">
            <v>5269.9</v>
          </cell>
        </row>
        <row r="3021">
          <cell r="B3021">
            <v>40942</v>
          </cell>
          <cell r="C3021">
            <v>5276.1</v>
          </cell>
          <cell r="D3021">
            <v>5334.85</v>
          </cell>
          <cell r="E3021">
            <v>5255.55</v>
          </cell>
          <cell r="F3021">
            <v>5325.85</v>
          </cell>
        </row>
        <row r="3022">
          <cell r="B3022">
            <v>40945</v>
          </cell>
          <cell r="C3022">
            <v>5379.45</v>
          </cell>
          <cell r="D3022">
            <v>5390.05</v>
          </cell>
          <cell r="E3022">
            <v>5327.25</v>
          </cell>
          <cell r="F3022">
            <v>5361.65</v>
          </cell>
        </row>
        <row r="3023">
          <cell r="B3023">
            <v>40946</v>
          </cell>
          <cell r="C3023">
            <v>5412.95</v>
          </cell>
          <cell r="D3023">
            <v>5413.35</v>
          </cell>
          <cell r="E3023">
            <v>5322.95</v>
          </cell>
          <cell r="F3023">
            <v>5335.15</v>
          </cell>
        </row>
        <row r="3024">
          <cell r="B3024">
            <v>40947</v>
          </cell>
          <cell r="C3024">
            <v>5343.8</v>
          </cell>
          <cell r="D3024">
            <v>5396.9</v>
          </cell>
          <cell r="E3024">
            <v>5325.2</v>
          </cell>
          <cell r="F3024">
            <v>5368.15</v>
          </cell>
        </row>
        <row r="3025">
          <cell r="B3025">
            <v>40948</v>
          </cell>
          <cell r="C3025">
            <v>5343.05</v>
          </cell>
          <cell r="D3025">
            <v>5423.4</v>
          </cell>
          <cell r="E3025">
            <v>5338.9</v>
          </cell>
          <cell r="F3025">
            <v>5412.35</v>
          </cell>
        </row>
        <row r="3026">
          <cell r="B3026">
            <v>40949</v>
          </cell>
          <cell r="C3026">
            <v>5399.8</v>
          </cell>
          <cell r="D3026">
            <v>5427.75</v>
          </cell>
          <cell r="E3026">
            <v>5341.05</v>
          </cell>
          <cell r="F3026">
            <v>5381.6</v>
          </cell>
        </row>
        <row r="3027">
          <cell r="B3027">
            <v>40952</v>
          </cell>
          <cell r="C3027">
            <v>5382.1</v>
          </cell>
          <cell r="D3027">
            <v>5421.05</v>
          </cell>
          <cell r="E3027">
            <v>5351.4</v>
          </cell>
          <cell r="F3027">
            <v>5390.2</v>
          </cell>
        </row>
        <row r="3028">
          <cell r="B3028">
            <v>40953</v>
          </cell>
          <cell r="C3028">
            <v>5380.8</v>
          </cell>
          <cell r="D3028">
            <v>5428.05</v>
          </cell>
          <cell r="E3028">
            <v>5377.95</v>
          </cell>
          <cell r="F3028">
            <v>5416.05</v>
          </cell>
        </row>
        <row r="3029">
          <cell r="B3029">
            <v>40954</v>
          </cell>
          <cell r="C3029">
            <v>5460.6</v>
          </cell>
          <cell r="D3029">
            <v>5542.1</v>
          </cell>
          <cell r="E3029">
            <v>5460.6</v>
          </cell>
          <cell r="F3029">
            <v>5531.95</v>
          </cell>
        </row>
        <row r="3030">
          <cell r="B3030">
            <v>40955</v>
          </cell>
          <cell r="C3030">
            <v>5513.75</v>
          </cell>
          <cell r="D3030">
            <v>5531.4</v>
          </cell>
          <cell r="E3030">
            <v>5483.75</v>
          </cell>
          <cell r="F3030">
            <v>5521.95</v>
          </cell>
        </row>
        <row r="3031">
          <cell r="B3031">
            <v>40956</v>
          </cell>
          <cell r="C3031">
            <v>5574.2</v>
          </cell>
          <cell r="D3031">
            <v>5606.7</v>
          </cell>
          <cell r="E3031">
            <v>5545.2</v>
          </cell>
          <cell r="F3031">
            <v>5564.3</v>
          </cell>
        </row>
        <row r="3032">
          <cell r="B3032">
            <v>40960</v>
          </cell>
          <cell r="C3032">
            <v>5561.9</v>
          </cell>
          <cell r="D3032">
            <v>5621.5</v>
          </cell>
          <cell r="E3032">
            <v>5561.75</v>
          </cell>
          <cell r="F3032">
            <v>5607.15</v>
          </cell>
        </row>
        <row r="3033">
          <cell r="B3033">
            <v>40961</v>
          </cell>
          <cell r="C3033">
            <v>5609.75</v>
          </cell>
          <cell r="D3033">
            <v>5629.95</v>
          </cell>
          <cell r="E3033">
            <v>5491.35</v>
          </cell>
          <cell r="F3033">
            <v>5505.35</v>
          </cell>
        </row>
        <row r="3034">
          <cell r="B3034">
            <v>40962</v>
          </cell>
          <cell r="C3034">
            <v>5490.05</v>
          </cell>
          <cell r="D3034">
            <v>5537.4</v>
          </cell>
          <cell r="E3034">
            <v>5460.8</v>
          </cell>
          <cell r="F3034">
            <v>5483.3</v>
          </cell>
        </row>
        <row r="3035">
          <cell r="B3035">
            <v>40963</v>
          </cell>
          <cell r="C3035">
            <v>5479.15</v>
          </cell>
          <cell r="D3035">
            <v>5521.4</v>
          </cell>
          <cell r="E3035">
            <v>5405.9</v>
          </cell>
          <cell r="F3035">
            <v>5429.3</v>
          </cell>
        </row>
        <row r="3036">
          <cell r="B3036">
            <v>40966</v>
          </cell>
          <cell r="C3036">
            <v>5448.1</v>
          </cell>
          <cell r="D3036">
            <v>5449.8</v>
          </cell>
          <cell r="E3036">
            <v>5268.15</v>
          </cell>
          <cell r="F3036">
            <v>5281.2</v>
          </cell>
        </row>
        <row r="3037">
          <cell r="B3037">
            <v>40967</v>
          </cell>
          <cell r="C3037">
            <v>5310.5</v>
          </cell>
          <cell r="D3037">
            <v>5391.1</v>
          </cell>
          <cell r="E3037">
            <v>5306.45</v>
          </cell>
          <cell r="F3037">
            <v>5375.5</v>
          </cell>
        </row>
        <row r="3038">
          <cell r="B3038">
            <v>40968</v>
          </cell>
          <cell r="C3038">
            <v>5424.95</v>
          </cell>
          <cell r="D3038">
            <v>5458.8</v>
          </cell>
          <cell r="E3038">
            <v>5352.25</v>
          </cell>
          <cell r="F3038">
            <v>5385.2</v>
          </cell>
        </row>
        <row r="3039">
          <cell r="B3039">
            <v>40969</v>
          </cell>
          <cell r="C3039">
            <v>5366</v>
          </cell>
          <cell r="D3039">
            <v>5372.45</v>
          </cell>
          <cell r="E3039">
            <v>5297.5</v>
          </cell>
          <cell r="F3039">
            <v>5339.75</v>
          </cell>
        </row>
        <row r="3040">
          <cell r="B3040">
            <v>40970</v>
          </cell>
          <cell r="C3040">
            <v>5369.45</v>
          </cell>
          <cell r="D3040">
            <v>5392.55</v>
          </cell>
          <cell r="E3040">
            <v>5315.05</v>
          </cell>
          <cell r="F3040">
            <v>5359.35</v>
          </cell>
        </row>
        <row r="3041">
          <cell r="B3041">
            <v>40971</v>
          </cell>
          <cell r="C3041">
            <v>5360.05</v>
          </cell>
          <cell r="D3041">
            <v>5369.6</v>
          </cell>
          <cell r="E3041">
            <v>5353.4</v>
          </cell>
          <cell r="F3041">
            <v>5359.4</v>
          </cell>
        </row>
        <row r="3042">
          <cell r="B3042">
            <v>40973</v>
          </cell>
          <cell r="C3042">
            <v>5342.55</v>
          </cell>
          <cell r="D3042">
            <v>5344.5</v>
          </cell>
          <cell r="E3042">
            <v>5265.7</v>
          </cell>
          <cell r="F3042">
            <v>5280.35</v>
          </cell>
        </row>
        <row r="3043">
          <cell r="B3043">
            <v>40974</v>
          </cell>
          <cell r="C3043">
            <v>5266</v>
          </cell>
          <cell r="D3043">
            <v>5382.05</v>
          </cell>
          <cell r="E3043">
            <v>5206.3999999999996</v>
          </cell>
          <cell r="F3043">
            <v>5222.3999999999996</v>
          </cell>
        </row>
        <row r="3044">
          <cell r="B3044">
            <v>40975</v>
          </cell>
          <cell r="C3044">
            <v>5207.05</v>
          </cell>
          <cell r="D3044">
            <v>5243.85</v>
          </cell>
          <cell r="E3044">
            <v>5171.45</v>
          </cell>
          <cell r="F3044">
            <v>5220.45</v>
          </cell>
        </row>
        <row r="3045">
          <cell r="B3045">
            <v>40977</v>
          </cell>
          <cell r="C3045">
            <v>5294.1</v>
          </cell>
          <cell r="D3045">
            <v>5342.3</v>
          </cell>
          <cell r="E3045">
            <v>5291.6</v>
          </cell>
          <cell r="F3045">
            <v>5333.55</v>
          </cell>
        </row>
        <row r="3046">
          <cell r="B3046">
            <v>40980</v>
          </cell>
          <cell r="C3046">
            <v>5420.1</v>
          </cell>
          <cell r="D3046">
            <v>5421.9</v>
          </cell>
          <cell r="E3046">
            <v>5327.3</v>
          </cell>
          <cell r="F3046">
            <v>5359.55</v>
          </cell>
        </row>
        <row r="3047">
          <cell r="B3047">
            <v>40981</v>
          </cell>
          <cell r="C3047">
            <v>5391.05</v>
          </cell>
          <cell r="D3047">
            <v>5438.65</v>
          </cell>
          <cell r="E3047">
            <v>5390.8</v>
          </cell>
          <cell r="F3047">
            <v>5429.5</v>
          </cell>
        </row>
        <row r="3048">
          <cell r="B3048">
            <v>40982</v>
          </cell>
          <cell r="C3048">
            <v>5490.55</v>
          </cell>
          <cell r="D3048">
            <v>5499.4</v>
          </cell>
          <cell r="E3048">
            <v>5437.8</v>
          </cell>
          <cell r="F3048">
            <v>5463.9</v>
          </cell>
        </row>
        <row r="3049">
          <cell r="B3049">
            <v>40983</v>
          </cell>
          <cell r="C3049">
            <v>5462.5</v>
          </cell>
          <cell r="D3049">
            <v>5462.5</v>
          </cell>
          <cell r="E3049">
            <v>5362.3</v>
          </cell>
          <cell r="F3049">
            <v>5380.5</v>
          </cell>
        </row>
        <row r="3050">
          <cell r="B3050">
            <v>40984</v>
          </cell>
          <cell r="C3050">
            <v>5380.35</v>
          </cell>
          <cell r="D3050">
            <v>5445.65</v>
          </cell>
          <cell r="E3050">
            <v>5305</v>
          </cell>
          <cell r="F3050">
            <v>5317.9</v>
          </cell>
        </row>
        <row r="3051">
          <cell r="B3051">
            <v>40987</v>
          </cell>
          <cell r="C3051">
            <v>5337.35</v>
          </cell>
          <cell r="D3051">
            <v>5340.7</v>
          </cell>
          <cell r="E3051">
            <v>5238.55</v>
          </cell>
          <cell r="F3051">
            <v>5257.05</v>
          </cell>
        </row>
        <row r="3052">
          <cell r="B3052">
            <v>40988</v>
          </cell>
          <cell r="C3052">
            <v>5257.15</v>
          </cell>
          <cell r="D3052">
            <v>5297.35</v>
          </cell>
          <cell r="E3052">
            <v>5233.25</v>
          </cell>
          <cell r="F3052">
            <v>5274.85</v>
          </cell>
        </row>
        <row r="3053">
          <cell r="B3053">
            <v>40989</v>
          </cell>
          <cell r="C3053">
            <v>5267.2</v>
          </cell>
          <cell r="D3053">
            <v>5372.35</v>
          </cell>
          <cell r="E3053">
            <v>5256</v>
          </cell>
          <cell r="F3053">
            <v>5364.95</v>
          </cell>
        </row>
        <row r="3054">
          <cell r="B3054">
            <v>40990</v>
          </cell>
          <cell r="C3054">
            <v>5361.1</v>
          </cell>
          <cell r="D3054">
            <v>5385.95</v>
          </cell>
          <cell r="E3054">
            <v>5205.6499999999996</v>
          </cell>
          <cell r="F3054">
            <v>5228.45</v>
          </cell>
        </row>
        <row r="3055">
          <cell r="B3055">
            <v>40991</v>
          </cell>
          <cell r="C3055">
            <v>5255.65</v>
          </cell>
          <cell r="D3055">
            <v>5312</v>
          </cell>
          <cell r="E3055">
            <v>5220</v>
          </cell>
          <cell r="F3055">
            <v>5278.2</v>
          </cell>
        </row>
        <row r="3056">
          <cell r="B3056">
            <v>40994</v>
          </cell>
          <cell r="C3056">
            <v>5274.35</v>
          </cell>
          <cell r="D3056">
            <v>5274.95</v>
          </cell>
          <cell r="E3056">
            <v>5174.8999999999996</v>
          </cell>
          <cell r="F3056">
            <v>5184.25</v>
          </cell>
        </row>
        <row r="3057">
          <cell r="B3057">
            <v>40995</v>
          </cell>
          <cell r="C3057">
            <v>5242.95</v>
          </cell>
          <cell r="D3057">
            <v>5277.95</v>
          </cell>
          <cell r="E3057">
            <v>5184.6499999999996</v>
          </cell>
          <cell r="F3057">
            <v>5243.15</v>
          </cell>
        </row>
        <row r="3058">
          <cell r="B3058">
            <v>40996</v>
          </cell>
          <cell r="C3058">
            <v>5231.7</v>
          </cell>
          <cell r="D3058">
            <v>5236.55</v>
          </cell>
          <cell r="E3058">
            <v>5169.6000000000004</v>
          </cell>
          <cell r="F3058">
            <v>5194.75</v>
          </cell>
        </row>
        <row r="3059">
          <cell r="B3059">
            <v>40997</v>
          </cell>
          <cell r="C3059">
            <v>5145.95</v>
          </cell>
          <cell r="D3059">
            <v>5194.3</v>
          </cell>
          <cell r="E3059">
            <v>5135.95</v>
          </cell>
          <cell r="F3059">
            <v>5178.8500000000004</v>
          </cell>
        </row>
        <row r="3060">
          <cell r="B3060">
            <v>40998</v>
          </cell>
          <cell r="C3060">
            <v>5206.6000000000004</v>
          </cell>
          <cell r="D3060">
            <v>5307.1</v>
          </cell>
          <cell r="E3060">
            <v>5203.6499999999996</v>
          </cell>
          <cell r="F3060">
            <v>5295.55</v>
          </cell>
        </row>
        <row r="3061">
          <cell r="B3061">
            <v>41001</v>
          </cell>
          <cell r="C3061">
            <v>5296.35</v>
          </cell>
          <cell r="D3061">
            <v>5331.55</v>
          </cell>
          <cell r="E3061">
            <v>5278.8</v>
          </cell>
          <cell r="F3061">
            <v>5317.9</v>
          </cell>
        </row>
        <row r="3062">
          <cell r="B3062">
            <v>41002</v>
          </cell>
          <cell r="C3062">
            <v>5353.2</v>
          </cell>
          <cell r="D3062">
            <v>5378.75</v>
          </cell>
          <cell r="E3062">
            <v>5344.45</v>
          </cell>
          <cell r="F3062">
            <v>5358.5</v>
          </cell>
        </row>
        <row r="3063">
          <cell r="B3063">
            <v>41003</v>
          </cell>
          <cell r="C3063">
            <v>5328.65</v>
          </cell>
          <cell r="D3063">
            <v>5338.4</v>
          </cell>
          <cell r="E3063">
            <v>5305.3</v>
          </cell>
          <cell r="F3063">
            <v>5322.9</v>
          </cell>
        </row>
        <row r="3064">
          <cell r="B3064">
            <v>41008</v>
          </cell>
          <cell r="C3064">
            <v>5282.5</v>
          </cell>
          <cell r="D3064">
            <v>5287.9</v>
          </cell>
          <cell r="E3064">
            <v>5228</v>
          </cell>
          <cell r="F3064">
            <v>5234.3999999999996</v>
          </cell>
        </row>
        <row r="3065">
          <cell r="B3065">
            <v>41009</v>
          </cell>
          <cell r="C3065">
            <v>5254.1</v>
          </cell>
          <cell r="D3065">
            <v>5255.8</v>
          </cell>
          <cell r="E3065">
            <v>5211.8500000000004</v>
          </cell>
          <cell r="F3065">
            <v>5243.6</v>
          </cell>
        </row>
        <row r="3066">
          <cell r="B3066">
            <v>41010</v>
          </cell>
          <cell r="C3066">
            <v>5209.45</v>
          </cell>
          <cell r="D3066">
            <v>5263.65</v>
          </cell>
          <cell r="E3066">
            <v>5190.8</v>
          </cell>
          <cell r="F3066">
            <v>5226.8500000000004</v>
          </cell>
        </row>
        <row r="3067">
          <cell r="B3067">
            <v>41011</v>
          </cell>
          <cell r="C3067">
            <v>5246.75</v>
          </cell>
          <cell r="D3067">
            <v>5290.6</v>
          </cell>
          <cell r="E3067">
            <v>5246.75</v>
          </cell>
          <cell r="F3067">
            <v>5276.85</v>
          </cell>
        </row>
        <row r="3068">
          <cell r="B3068">
            <v>41012</v>
          </cell>
          <cell r="C3068">
            <v>5255.7</v>
          </cell>
          <cell r="D3068">
            <v>5306.75</v>
          </cell>
          <cell r="E3068">
            <v>5185.3999999999996</v>
          </cell>
          <cell r="F3068">
            <v>5207.45</v>
          </cell>
        </row>
        <row r="3069">
          <cell r="B3069">
            <v>41015</v>
          </cell>
          <cell r="C3069">
            <v>5190.6000000000004</v>
          </cell>
          <cell r="D3069">
            <v>5233.5</v>
          </cell>
          <cell r="E3069">
            <v>5183.5</v>
          </cell>
          <cell r="F3069">
            <v>5226.2</v>
          </cell>
        </row>
        <row r="3070">
          <cell r="B3070">
            <v>41016</v>
          </cell>
          <cell r="C3070">
            <v>5266.6</v>
          </cell>
          <cell r="D3070">
            <v>5298.2</v>
          </cell>
          <cell r="E3070">
            <v>5208.3500000000004</v>
          </cell>
          <cell r="F3070">
            <v>5289.7</v>
          </cell>
        </row>
        <row r="3071">
          <cell r="B3071">
            <v>41017</v>
          </cell>
          <cell r="C3071">
            <v>5320.7</v>
          </cell>
          <cell r="D3071">
            <v>5342</v>
          </cell>
          <cell r="E3071">
            <v>5293.45</v>
          </cell>
          <cell r="F3071">
            <v>5300</v>
          </cell>
        </row>
        <row r="3072">
          <cell r="B3072">
            <v>41018</v>
          </cell>
          <cell r="C3072">
            <v>5320.6</v>
          </cell>
          <cell r="D3072">
            <v>5342.45</v>
          </cell>
          <cell r="E3072">
            <v>5291.3</v>
          </cell>
          <cell r="F3072">
            <v>5332.4</v>
          </cell>
        </row>
        <row r="3073">
          <cell r="B3073">
            <v>41019</v>
          </cell>
          <cell r="C3073">
            <v>5313.95</v>
          </cell>
          <cell r="D3073">
            <v>5336.15</v>
          </cell>
          <cell r="E3073">
            <v>5245.45</v>
          </cell>
          <cell r="F3073">
            <v>5290.85</v>
          </cell>
        </row>
        <row r="3074">
          <cell r="B3074">
            <v>41022</v>
          </cell>
          <cell r="C3074">
            <v>5277.4</v>
          </cell>
          <cell r="D3074">
            <v>5310.55</v>
          </cell>
          <cell r="E3074">
            <v>5187.1499999999996</v>
          </cell>
          <cell r="F3074">
            <v>5200.6000000000004</v>
          </cell>
        </row>
        <row r="3075">
          <cell r="B3075">
            <v>41023</v>
          </cell>
          <cell r="C3075">
            <v>5215.8999999999996</v>
          </cell>
          <cell r="D3075">
            <v>5232.3500000000004</v>
          </cell>
          <cell r="E3075">
            <v>5180.3500000000004</v>
          </cell>
          <cell r="F3075">
            <v>5222.6499999999996</v>
          </cell>
        </row>
        <row r="3076">
          <cell r="B3076">
            <v>41024</v>
          </cell>
          <cell r="C3076">
            <v>5222.2</v>
          </cell>
          <cell r="D3076">
            <v>5236.1000000000004</v>
          </cell>
          <cell r="E3076">
            <v>5160.6499999999996</v>
          </cell>
          <cell r="F3076">
            <v>5202</v>
          </cell>
        </row>
        <row r="3077">
          <cell r="B3077">
            <v>41025</v>
          </cell>
          <cell r="C3077">
            <v>5214.75</v>
          </cell>
          <cell r="D3077">
            <v>5215.6000000000004</v>
          </cell>
          <cell r="E3077">
            <v>5179.05</v>
          </cell>
          <cell r="F3077">
            <v>5189</v>
          </cell>
        </row>
        <row r="3078">
          <cell r="B3078">
            <v>41026</v>
          </cell>
          <cell r="C3078">
            <v>5189</v>
          </cell>
          <cell r="D3078">
            <v>5223.05</v>
          </cell>
          <cell r="E3078">
            <v>5154.3</v>
          </cell>
          <cell r="F3078">
            <v>5190.6000000000004</v>
          </cell>
        </row>
        <row r="3079">
          <cell r="B3079">
            <v>41027</v>
          </cell>
          <cell r="C3079">
            <v>5209.6000000000004</v>
          </cell>
          <cell r="D3079">
            <v>5216.3999999999996</v>
          </cell>
          <cell r="E3079">
            <v>5196.3500000000004</v>
          </cell>
          <cell r="F3079">
            <v>5209</v>
          </cell>
        </row>
        <row r="3080">
          <cell r="B3080">
            <v>41029</v>
          </cell>
          <cell r="C3080">
            <v>5201.45</v>
          </cell>
          <cell r="D3080">
            <v>5262.15</v>
          </cell>
          <cell r="E3080">
            <v>5201.45</v>
          </cell>
          <cell r="F3080">
            <v>5248.15</v>
          </cell>
        </row>
        <row r="3081">
          <cell r="B3081">
            <v>41031</v>
          </cell>
          <cell r="C3081">
            <v>5254.3</v>
          </cell>
          <cell r="D3081">
            <v>5279.6</v>
          </cell>
          <cell r="E3081">
            <v>5226.45</v>
          </cell>
          <cell r="F3081">
            <v>5239.1499999999996</v>
          </cell>
        </row>
        <row r="3082">
          <cell r="B3082">
            <v>41032</v>
          </cell>
          <cell r="C3082">
            <v>5211.2</v>
          </cell>
          <cell r="D3082">
            <v>5217.3</v>
          </cell>
          <cell r="E3082">
            <v>5180.6499999999996</v>
          </cell>
          <cell r="F3082">
            <v>5188.3999999999996</v>
          </cell>
        </row>
        <row r="3083">
          <cell r="B3083">
            <v>41033</v>
          </cell>
          <cell r="C3083">
            <v>5166.6499999999996</v>
          </cell>
          <cell r="D3083">
            <v>5177.2</v>
          </cell>
          <cell r="E3083">
            <v>5070.6000000000004</v>
          </cell>
          <cell r="F3083">
            <v>5086.8500000000004</v>
          </cell>
        </row>
        <row r="3084">
          <cell r="B3084">
            <v>41036</v>
          </cell>
          <cell r="C3084">
            <v>5017.8</v>
          </cell>
          <cell r="D3084">
            <v>5124.75</v>
          </cell>
          <cell r="E3084">
            <v>4988</v>
          </cell>
          <cell r="F3084">
            <v>5114.1499999999996</v>
          </cell>
        </row>
        <row r="3085">
          <cell r="B3085">
            <v>41037</v>
          </cell>
          <cell r="C3085">
            <v>5114.7</v>
          </cell>
          <cell r="D3085">
            <v>5119.95</v>
          </cell>
          <cell r="E3085">
            <v>4983.6000000000004</v>
          </cell>
          <cell r="F3085">
            <v>4999.95</v>
          </cell>
        </row>
        <row r="3086">
          <cell r="B3086">
            <v>41038</v>
          </cell>
          <cell r="C3086">
            <v>4967.8999999999996</v>
          </cell>
          <cell r="D3086">
            <v>5016.25</v>
          </cell>
          <cell r="E3086">
            <v>4956.45</v>
          </cell>
          <cell r="F3086">
            <v>4974.8</v>
          </cell>
        </row>
        <row r="3087">
          <cell r="B3087">
            <v>41039</v>
          </cell>
          <cell r="C3087">
            <v>4984.1499999999996</v>
          </cell>
          <cell r="D3087">
            <v>5039.3</v>
          </cell>
          <cell r="E3087">
            <v>4950.3</v>
          </cell>
          <cell r="F3087">
            <v>4965.7</v>
          </cell>
        </row>
        <row r="3088">
          <cell r="B3088">
            <v>41040</v>
          </cell>
          <cell r="C3088">
            <v>4938.8500000000004</v>
          </cell>
          <cell r="D3088">
            <v>4976.25</v>
          </cell>
          <cell r="E3088">
            <v>4906.1499999999996</v>
          </cell>
          <cell r="F3088">
            <v>4928.8999999999996</v>
          </cell>
        </row>
        <row r="3089">
          <cell r="B3089">
            <v>41043</v>
          </cell>
          <cell r="C3089">
            <v>4934.3500000000004</v>
          </cell>
          <cell r="D3089">
            <v>4957.2</v>
          </cell>
          <cell r="E3089">
            <v>4874.5</v>
          </cell>
          <cell r="F3089">
            <v>4907.8</v>
          </cell>
        </row>
        <row r="3090">
          <cell r="B3090">
            <v>41044</v>
          </cell>
          <cell r="C3090">
            <v>4869.8500000000004</v>
          </cell>
          <cell r="D3090">
            <v>4955.2</v>
          </cell>
          <cell r="E3090">
            <v>4868.55</v>
          </cell>
          <cell r="F3090">
            <v>4942.8</v>
          </cell>
        </row>
        <row r="3091">
          <cell r="B3091">
            <v>41045</v>
          </cell>
          <cell r="C3091">
            <v>4875.3</v>
          </cell>
          <cell r="D3091">
            <v>4882.25</v>
          </cell>
          <cell r="E3091">
            <v>4837.05</v>
          </cell>
          <cell r="F3091">
            <v>4858.25</v>
          </cell>
        </row>
        <row r="3092">
          <cell r="B3092">
            <v>41046</v>
          </cell>
          <cell r="C3092">
            <v>4878.6000000000004</v>
          </cell>
          <cell r="D3092">
            <v>4922.25</v>
          </cell>
          <cell r="E3092">
            <v>4850.2</v>
          </cell>
          <cell r="F3092">
            <v>4870.2</v>
          </cell>
        </row>
        <row r="3093">
          <cell r="B3093">
            <v>41047</v>
          </cell>
          <cell r="C3093">
            <v>4796.3999999999996</v>
          </cell>
          <cell r="D3093">
            <v>4908.5</v>
          </cell>
          <cell r="E3093">
            <v>4788.95</v>
          </cell>
          <cell r="F3093">
            <v>4891.45</v>
          </cell>
        </row>
        <row r="3094">
          <cell r="B3094">
            <v>41050</v>
          </cell>
          <cell r="C3094">
            <v>4888.5</v>
          </cell>
          <cell r="D3094">
            <v>4937.5</v>
          </cell>
          <cell r="E3094">
            <v>4888.5</v>
          </cell>
          <cell r="F3094">
            <v>4906.05</v>
          </cell>
        </row>
        <row r="3095">
          <cell r="B3095">
            <v>41051</v>
          </cell>
          <cell r="C3095">
            <v>4954.7</v>
          </cell>
          <cell r="D3095">
            <v>4956.3500000000004</v>
          </cell>
          <cell r="E3095">
            <v>4849.8999999999996</v>
          </cell>
          <cell r="F3095">
            <v>4860.5</v>
          </cell>
        </row>
        <row r="3096">
          <cell r="B3096">
            <v>41052</v>
          </cell>
          <cell r="C3096">
            <v>4843</v>
          </cell>
          <cell r="D3096">
            <v>4853.75</v>
          </cell>
          <cell r="E3096">
            <v>4803.95</v>
          </cell>
          <cell r="F3096">
            <v>4835.6499999999996</v>
          </cell>
        </row>
        <row r="3097">
          <cell r="B3097">
            <v>41053</v>
          </cell>
          <cell r="C3097">
            <v>4863.3999999999996</v>
          </cell>
          <cell r="D3097">
            <v>4931.8999999999996</v>
          </cell>
          <cell r="E3097">
            <v>4830.1499999999996</v>
          </cell>
          <cell r="F3097">
            <v>4921.3999999999996</v>
          </cell>
        </row>
        <row r="3098">
          <cell r="B3098">
            <v>41054</v>
          </cell>
          <cell r="C3098">
            <v>4905.95</v>
          </cell>
          <cell r="D3098">
            <v>4935.8</v>
          </cell>
          <cell r="E3098">
            <v>4889.3500000000004</v>
          </cell>
          <cell r="F3098">
            <v>4920.3999999999996</v>
          </cell>
        </row>
        <row r="3099">
          <cell r="B3099">
            <v>41057</v>
          </cell>
          <cell r="C3099">
            <v>4931.7</v>
          </cell>
          <cell r="D3099">
            <v>4994.95</v>
          </cell>
          <cell r="E3099">
            <v>4931.3</v>
          </cell>
          <cell r="F3099">
            <v>4985.6499999999996</v>
          </cell>
        </row>
        <row r="3100">
          <cell r="B3100">
            <v>41058</v>
          </cell>
          <cell r="C3100">
            <v>5005.3500000000004</v>
          </cell>
          <cell r="D3100">
            <v>5020.1499999999996</v>
          </cell>
          <cell r="E3100">
            <v>4982.1499999999996</v>
          </cell>
          <cell r="F3100">
            <v>4990.1000000000004</v>
          </cell>
        </row>
        <row r="3101">
          <cell r="B3101">
            <v>41059</v>
          </cell>
          <cell r="C3101">
            <v>4964.25</v>
          </cell>
          <cell r="D3101">
            <v>4982.25</v>
          </cell>
          <cell r="E3101">
            <v>4944.8999999999996</v>
          </cell>
          <cell r="F3101">
            <v>4950.75</v>
          </cell>
        </row>
        <row r="3102">
          <cell r="B3102">
            <v>41060</v>
          </cell>
          <cell r="C3102">
            <v>4896.1000000000004</v>
          </cell>
          <cell r="D3102">
            <v>4949.25</v>
          </cell>
          <cell r="E3102">
            <v>4883.55</v>
          </cell>
          <cell r="F3102">
            <v>4924.25</v>
          </cell>
        </row>
        <row r="3103">
          <cell r="B3103">
            <v>41061</v>
          </cell>
          <cell r="C3103">
            <v>4910.8500000000004</v>
          </cell>
          <cell r="D3103">
            <v>4925</v>
          </cell>
          <cell r="E3103">
            <v>4831.75</v>
          </cell>
          <cell r="F3103">
            <v>4841.6000000000004</v>
          </cell>
        </row>
        <row r="3104">
          <cell r="B3104">
            <v>41064</v>
          </cell>
          <cell r="C3104">
            <v>4797.3</v>
          </cell>
          <cell r="D3104">
            <v>4858.3</v>
          </cell>
          <cell r="E3104">
            <v>4770.3500000000004</v>
          </cell>
          <cell r="F3104">
            <v>4848.1499999999996</v>
          </cell>
        </row>
        <row r="3105">
          <cell r="B3105">
            <v>41065</v>
          </cell>
          <cell r="C3105">
            <v>4869.45</v>
          </cell>
          <cell r="D3105">
            <v>4898.95</v>
          </cell>
          <cell r="E3105">
            <v>4847.7</v>
          </cell>
          <cell r="F3105">
            <v>4863.3</v>
          </cell>
        </row>
        <row r="3106">
          <cell r="B3106">
            <v>41066</v>
          </cell>
          <cell r="C3106">
            <v>4886.6499999999996</v>
          </cell>
          <cell r="D3106">
            <v>5010.45</v>
          </cell>
          <cell r="E3106">
            <v>4886.1499999999996</v>
          </cell>
          <cell r="F3106">
            <v>4997.1000000000004</v>
          </cell>
        </row>
        <row r="3107">
          <cell r="B3107">
            <v>41067</v>
          </cell>
          <cell r="C3107">
            <v>5035.3500000000004</v>
          </cell>
          <cell r="D3107">
            <v>5059.6499999999996</v>
          </cell>
          <cell r="E3107">
            <v>5007.75</v>
          </cell>
          <cell r="F3107">
            <v>5049.6499999999996</v>
          </cell>
        </row>
        <row r="3108">
          <cell r="B3108">
            <v>41068</v>
          </cell>
          <cell r="C3108">
            <v>5044.25</v>
          </cell>
          <cell r="D3108">
            <v>5084.45</v>
          </cell>
          <cell r="E3108">
            <v>4994.8</v>
          </cell>
          <cell r="F3108">
            <v>5068.3500000000004</v>
          </cell>
        </row>
        <row r="3109">
          <cell r="B3109">
            <v>41071</v>
          </cell>
          <cell r="C3109">
            <v>5096.7</v>
          </cell>
          <cell r="D3109">
            <v>5124.45</v>
          </cell>
          <cell r="E3109">
            <v>5040.7</v>
          </cell>
          <cell r="F3109">
            <v>5054.1000000000004</v>
          </cell>
        </row>
        <row r="3110">
          <cell r="B3110">
            <v>41072</v>
          </cell>
          <cell r="C3110">
            <v>5015.5</v>
          </cell>
          <cell r="D3110">
            <v>5128.8999999999996</v>
          </cell>
          <cell r="E3110">
            <v>5015.1499999999996</v>
          </cell>
          <cell r="F3110">
            <v>5115.8999999999996</v>
          </cell>
        </row>
        <row r="3111">
          <cell r="B3111">
            <v>41073</v>
          </cell>
          <cell r="C3111">
            <v>5117.55</v>
          </cell>
          <cell r="D3111">
            <v>5144.8999999999996</v>
          </cell>
          <cell r="E3111">
            <v>5095.45</v>
          </cell>
          <cell r="F3111">
            <v>5121.45</v>
          </cell>
        </row>
        <row r="3112">
          <cell r="B3112">
            <v>41074</v>
          </cell>
          <cell r="C3112">
            <v>5105.1000000000004</v>
          </cell>
          <cell r="D3112">
            <v>5130</v>
          </cell>
          <cell r="E3112">
            <v>5047.6000000000004</v>
          </cell>
          <cell r="F3112">
            <v>5054.75</v>
          </cell>
        </row>
        <row r="3113">
          <cell r="B3113">
            <v>41075</v>
          </cell>
          <cell r="C3113">
            <v>5069.55</v>
          </cell>
          <cell r="D3113">
            <v>5146.2</v>
          </cell>
          <cell r="E3113">
            <v>5069.1499999999996</v>
          </cell>
          <cell r="F3113">
            <v>5139.05</v>
          </cell>
        </row>
        <row r="3114">
          <cell r="B3114">
            <v>41078</v>
          </cell>
          <cell r="C3114">
            <v>5174</v>
          </cell>
          <cell r="D3114">
            <v>5190.2</v>
          </cell>
          <cell r="E3114">
            <v>5041.7</v>
          </cell>
          <cell r="F3114">
            <v>5064.25</v>
          </cell>
        </row>
        <row r="3115">
          <cell r="B3115">
            <v>41079</v>
          </cell>
          <cell r="C3115">
            <v>5050.8</v>
          </cell>
          <cell r="D3115">
            <v>5113.6000000000004</v>
          </cell>
          <cell r="E3115">
            <v>5048.1000000000004</v>
          </cell>
          <cell r="F3115">
            <v>5103.8500000000004</v>
          </cell>
        </row>
        <row r="3116">
          <cell r="B3116">
            <v>41080</v>
          </cell>
          <cell r="C3116">
            <v>5114.55</v>
          </cell>
          <cell r="D3116">
            <v>5141.7</v>
          </cell>
          <cell r="E3116">
            <v>5100.7</v>
          </cell>
          <cell r="F3116">
            <v>5120.55</v>
          </cell>
        </row>
        <row r="3117">
          <cell r="B3117">
            <v>41081</v>
          </cell>
          <cell r="C3117">
            <v>5097.3500000000004</v>
          </cell>
          <cell r="D3117">
            <v>5170.3999999999996</v>
          </cell>
          <cell r="E3117">
            <v>5093.45</v>
          </cell>
          <cell r="F3117">
            <v>5165</v>
          </cell>
        </row>
        <row r="3118">
          <cell r="B3118">
            <v>41082</v>
          </cell>
          <cell r="C3118">
            <v>5101.75</v>
          </cell>
          <cell r="D3118">
            <v>5159.8</v>
          </cell>
          <cell r="E3118">
            <v>5094</v>
          </cell>
          <cell r="F3118">
            <v>5146.05</v>
          </cell>
        </row>
        <row r="3119">
          <cell r="B3119">
            <v>41085</v>
          </cell>
          <cell r="C3119">
            <v>5158.5</v>
          </cell>
          <cell r="D3119">
            <v>5194.6000000000004</v>
          </cell>
          <cell r="E3119">
            <v>5105.6499999999996</v>
          </cell>
          <cell r="F3119">
            <v>5114.6499999999996</v>
          </cell>
        </row>
        <row r="3120">
          <cell r="B3120">
            <v>41086</v>
          </cell>
          <cell r="C3120">
            <v>5107.45</v>
          </cell>
          <cell r="D3120">
            <v>5134.55</v>
          </cell>
          <cell r="E3120">
            <v>5095.5</v>
          </cell>
          <cell r="F3120">
            <v>5120.8</v>
          </cell>
        </row>
        <row r="3121">
          <cell r="B3121">
            <v>41087</v>
          </cell>
          <cell r="C3121">
            <v>5149.45</v>
          </cell>
          <cell r="D3121">
            <v>5160.1000000000004</v>
          </cell>
          <cell r="E3121">
            <v>5129.25</v>
          </cell>
          <cell r="F3121">
            <v>5141.8999999999996</v>
          </cell>
        </row>
        <row r="3122">
          <cell r="B3122">
            <v>41088</v>
          </cell>
          <cell r="C3122">
            <v>5148.95</v>
          </cell>
          <cell r="D3122">
            <v>5159.05</v>
          </cell>
          <cell r="E3122">
            <v>5125.3</v>
          </cell>
          <cell r="F3122">
            <v>5149.1499999999996</v>
          </cell>
        </row>
        <row r="3123">
          <cell r="B3123">
            <v>41089</v>
          </cell>
          <cell r="C3123">
            <v>5191.25</v>
          </cell>
          <cell r="D3123">
            <v>5286.25</v>
          </cell>
          <cell r="E3123">
            <v>5189</v>
          </cell>
          <cell r="F3123">
            <v>5278.9</v>
          </cell>
        </row>
        <row r="3124">
          <cell r="B3124">
            <v>41092</v>
          </cell>
          <cell r="C3124">
            <v>5283.85</v>
          </cell>
          <cell r="D3124">
            <v>5302.15</v>
          </cell>
          <cell r="E3124">
            <v>5263.35</v>
          </cell>
          <cell r="F3124">
            <v>5278.6</v>
          </cell>
        </row>
        <row r="3125">
          <cell r="B3125">
            <v>41093</v>
          </cell>
          <cell r="C3125">
            <v>5298.85</v>
          </cell>
          <cell r="D3125">
            <v>5317</v>
          </cell>
          <cell r="E3125">
            <v>5265.95</v>
          </cell>
          <cell r="F3125">
            <v>5287.95</v>
          </cell>
        </row>
        <row r="3126">
          <cell r="B3126">
            <v>41094</v>
          </cell>
          <cell r="C3126">
            <v>5310.4</v>
          </cell>
          <cell r="D3126">
            <v>5317.65</v>
          </cell>
          <cell r="E3126">
            <v>5273.3</v>
          </cell>
          <cell r="F3126">
            <v>5302.55</v>
          </cell>
        </row>
        <row r="3127">
          <cell r="B3127">
            <v>41095</v>
          </cell>
          <cell r="C3127">
            <v>5297.05</v>
          </cell>
          <cell r="D3127">
            <v>5333.65</v>
          </cell>
          <cell r="E3127">
            <v>5288.85</v>
          </cell>
          <cell r="F3127">
            <v>5327.3</v>
          </cell>
        </row>
        <row r="3128">
          <cell r="B3128">
            <v>41096</v>
          </cell>
          <cell r="C3128">
            <v>5324.7</v>
          </cell>
          <cell r="D3128">
            <v>5327.2</v>
          </cell>
          <cell r="E3128">
            <v>5287.75</v>
          </cell>
          <cell r="F3128">
            <v>5316.95</v>
          </cell>
        </row>
        <row r="3129">
          <cell r="B3129">
            <v>41099</v>
          </cell>
          <cell r="C3129">
            <v>5283.7</v>
          </cell>
          <cell r="D3129">
            <v>5300.6</v>
          </cell>
          <cell r="E3129">
            <v>5257.75</v>
          </cell>
          <cell r="F3129">
            <v>5275.15</v>
          </cell>
        </row>
        <row r="3130">
          <cell r="B3130">
            <v>41100</v>
          </cell>
          <cell r="C3130">
            <v>5286.6</v>
          </cell>
          <cell r="D3130">
            <v>5348.55</v>
          </cell>
          <cell r="E3130">
            <v>5284.55</v>
          </cell>
          <cell r="F3130">
            <v>5345.35</v>
          </cell>
        </row>
        <row r="3131">
          <cell r="B3131">
            <v>41101</v>
          </cell>
          <cell r="C3131">
            <v>5315.25</v>
          </cell>
          <cell r="D3131">
            <v>5336.45</v>
          </cell>
          <cell r="E3131">
            <v>5300.25</v>
          </cell>
          <cell r="F3131">
            <v>5306.3</v>
          </cell>
        </row>
        <row r="3132">
          <cell r="B3132">
            <v>41102</v>
          </cell>
          <cell r="C3132">
            <v>5240</v>
          </cell>
          <cell r="D3132">
            <v>5261.75</v>
          </cell>
          <cell r="E3132">
            <v>5217.7</v>
          </cell>
          <cell r="F3132">
            <v>5235.25</v>
          </cell>
        </row>
        <row r="3133">
          <cell r="B3133">
            <v>41103</v>
          </cell>
          <cell r="C3133">
            <v>5242.75</v>
          </cell>
          <cell r="D3133">
            <v>5267.15</v>
          </cell>
          <cell r="E3133">
            <v>5216.8500000000004</v>
          </cell>
          <cell r="F3133">
            <v>5227.25</v>
          </cell>
        </row>
        <row r="3134">
          <cell r="B3134">
            <v>41106</v>
          </cell>
          <cell r="C3134">
            <v>5232.3500000000004</v>
          </cell>
          <cell r="D3134">
            <v>5246.85</v>
          </cell>
          <cell r="E3134">
            <v>5190.45</v>
          </cell>
          <cell r="F3134">
            <v>5197.25</v>
          </cell>
        </row>
        <row r="3135">
          <cell r="B3135">
            <v>41107</v>
          </cell>
          <cell r="C3135">
            <v>5228.05</v>
          </cell>
          <cell r="D3135">
            <v>5236.7</v>
          </cell>
          <cell r="E3135">
            <v>5181.7</v>
          </cell>
          <cell r="F3135">
            <v>5192.8500000000004</v>
          </cell>
        </row>
        <row r="3136">
          <cell r="B3136">
            <v>41108</v>
          </cell>
          <cell r="C3136">
            <v>5199.1000000000004</v>
          </cell>
          <cell r="D3136">
            <v>5222.8500000000004</v>
          </cell>
          <cell r="E3136">
            <v>5169.05</v>
          </cell>
          <cell r="F3136">
            <v>5216.3</v>
          </cell>
        </row>
        <row r="3137">
          <cell r="B3137">
            <v>41109</v>
          </cell>
          <cell r="C3137">
            <v>5249.85</v>
          </cell>
          <cell r="D3137">
            <v>5257.75</v>
          </cell>
          <cell r="E3137">
            <v>5233.1499999999996</v>
          </cell>
          <cell r="F3137">
            <v>5242.7</v>
          </cell>
        </row>
        <row r="3138">
          <cell r="B3138">
            <v>41110</v>
          </cell>
          <cell r="C3138">
            <v>5233.55</v>
          </cell>
          <cell r="D3138">
            <v>5238.7</v>
          </cell>
          <cell r="E3138">
            <v>5197.5</v>
          </cell>
          <cell r="F3138">
            <v>5205.1000000000004</v>
          </cell>
        </row>
        <row r="3139">
          <cell r="B3139">
            <v>41113</v>
          </cell>
          <cell r="C3139">
            <v>5163.25</v>
          </cell>
          <cell r="D3139">
            <v>5164.2</v>
          </cell>
          <cell r="E3139">
            <v>5108.1000000000004</v>
          </cell>
          <cell r="F3139">
            <v>5117.95</v>
          </cell>
        </row>
        <row r="3140">
          <cell r="B3140">
            <v>41114</v>
          </cell>
          <cell r="C3140">
            <v>5128.8</v>
          </cell>
          <cell r="D3140">
            <v>5144</v>
          </cell>
          <cell r="E3140">
            <v>5103.25</v>
          </cell>
          <cell r="F3140">
            <v>5128.2</v>
          </cell>
        </row>
        <row r="3141">
          <cell r="B3141">
            <v>41115</v>
          </cell>
          <cell r="C3141">
            <v>5118.3999999999996</v>
          </cell>
          <cell r="D3141">
            <v>5121.6000000000004</v>
          </cell>
          <cell r="E3141">
            <v>5076.6000000000004</v>
          </cell>
          <cell r="F3141">
            <v>5109.6000000000004</v>
          </cell>
        </row>
        <row r="3142">
          <cell r="B3142">
            <v>41116</v>
          </cell>
          <cell r="C3142">
            <v>5126.3</v>
          </cell>
          <cell r="D3142">
            <v>5126.3</v>
          </cell>
          <cell r="E3142">
            <v>5032.3999999999996</v>
          </cell>
          <cell r="F3142">
            <v>5043</v>
          </cell>
        </row>
        <row r="3143">
          <cell r="B3143">
            <v>41117</v>
          </cell>
          <cell r="C3143">
            <v>5124.3</v>
          </cell>
          <cell r="D3143">
            <v>5149.95</v>
          </cell>
          <cell r="E3143">
            <v>5077.5</v>
          </cell>
          <cell r="F3143">
            <v>5099.8500000000004</v>
          </cell>
        </row>
        <row r="3144">
          <cell r="B3144">
            <v>41120</v>
          </cell>
          <cell r="C3144">
            <v>5129.75</v>
          </cell>
          <cell r="D3144">
            <v>5206.6000000000004</v>
          </cell>
          <cell r="E3144">
            <v>5129.75</v>
          </cell>
          <cell r="F3144">
            <v>5199.8</v>
          </cell>
        </row>
        <row r="3145">
          <cell r="B3145">
            <v>41121</v>
          </cell>
          <cell r="C3145">
            <v>5214.8500000000004</v>
          </cell>
          <cell r="D3145">
            <v>5234.55</v>
          </cell>
          <cell r="E3145">
            <v>5154.05</v>
          </cell>
          <cell r="F3145">
            <v>5229</v>
          </cell>
        </row>
        <row r="3146">
          <cell r="B3146">
            <v>41122</v>
          </cell>
          <cell r="C3146">
            <v>5220.7</v>
          </cell>
          <cell r="D3146">
            <v>5246.35</v>
          </cell>
          <cell r="E3146">
            <v>5212.6499999999996</v>
          </cell>
          <cell r="F3146">
            <v>5240.5</v>
          </cell>
        </row>
        <row r="3147">
          <cell r="B3147">
            <v>41123</v>
          </cell>
          <cell r="C3147">
            <v>5233.1000000000004</v>
          </cell>
          <cell r="D3147">
            <v>5236.8999999999996</v>
          </cell>
          <cell r="E3147">
            <v>5209.95</v>
          </cell>
          <cell r="F3147">
            <v>5227.75</v>
          </cell>
        </row>
        <row r="3148">
          <cell r="B3148">
            <v>41124</v>
          </cell>
          <cell r="C3148">
            <v>5195.6000000000004</v>
          </cell>
          <cell r="D3148">
            <v>5220.2</v>
          </cell>
          <cell r="E3148">
            <v>5164.6499999999996</v>
          </cell>
          <cell r="F3148">
            <v>5215.7</v>
          </cell>
        </row>
        <row r="3149">
          <cell r="B3149">
            <v>41127</v>
          </cell>
          <cell r="C3149">
            <v>5260.85</v>
          </cell>
          <cell r="D3149">
            <v>5293.2</v>
          </cell>
          <cell r="E3149">
            <v>5260.85</v>
          </cell>
          <cell r="F3149">
            <v>5282.55</v>
          </cell>
        </row>
        <row r="3150">
          <cell r="B3150">
            <v>41128</v>
          </cell>
          <cell r="C3150">
            <v>5295.4</v>
          </cell>
          <cell r="D3150">
            <v>5350.1</v>
          </cell>
          <cell r="E3150">
            <v>5281.65</v>
          </cell>
          <cell r="F3150">
            <v>5336.7</v>
          </cell>
        </row>
        <row r="3151">
          <cell r="B3151">
            <v>41129</v>
          </cell>
          <cell r="C3151">
            <v>5345.25</v>
          </cell>
          <cell r="D3151">
            <v>5377.6</v>
          </cell>
          <cell r="E3151">
            <v>5331.05</v>
          </cell>
          <cell r="F3151">
            <v>5338</v>
          </cell>
        </row>
        <row r="3152">
          <cell r="B3152">
            <v>41130</v>
          </cell>
          <cell r="C3152">
            <v>5348.3</v>
          </cell>
          <cell r="D3152">
            <v>5368.2</v>
          </cell>
          <cell r="E3152">
            <v>5312.1</v>
          </cell>
          <cell r="F3152">
            <v>5322.95</v>
          </cell>
        </row>
        <row r="3153">
          <cell r="B3153">
            <v>41131</v>
          </cell>
          <cell r="C3153">
            <v>5308.2</v>
          </cell>
          <cell r="D3153">
            <v>5330.1</v>
          </cell>
          <cell r="E3153">
            <v>5294.1</v>
          </cell>
          <cell r="F3153">
            <v>5320.4</v>
          </cell>
        </row>
        <row r="3154">
          <cell r="B3154">
            <v>41134</v>
          </cell>
          <cell r="C3154">
            <v>5316.35</v>
          </cell>
          <cell r="D3154">
            <v>5352.45</v>
          </cell>
          <cell r="E3154">
            <v>5309.05</v>
          </cell>
          <cell r="F3154">
            <v>5347.9</v>
          </cell>
        </row>
        <row r="3155">
          <cell r="B3155">
            <v>41135</v>
          </cell>
          <cell r="C3155">
            <v>5343.25</v>
          </cell>
          <cell r="D3155">
            <v>5387.05</v>
          </cell>
          <cell r="E3155">
            <v>5328.8</v>
          </cell>
          <cell r="F3155">
            <v>5380.35</v>
          </cell>
        </row>
        <row r="3156">
          <cell r="B3156">
            <v>41137</v>
          </cell>
          <cell r="C3156">
            <v>5385.95</v>
          </cell>
          <cell r="D3156">
            <v>5390.65</v>
          </cell>
          <cell r="E3156">
            <v>5356.65</v>
          </cell>
          <cell r="F3156">
            <v>5362.95</v>
          </cell>
        </row>
        <row r="3157">
          <cell r="B3157">
            <v>41138</v>
          </cell>
          <cell r="C3157">
            <v>5368.6</v>
          </cell>
          <cell r="D3157">
            <v>5399.95</v>
          </cell>
          <cell r="E3157">
            <v>5341.7</v>
          </cell>
          <cell r="F3157">
            <v>5366.3</v>
          </cell>
        </row>
        <row r="3158">
          <cell r="B3158">
            <v>41142</v>
          </cell>
          <cell r="C3158">
            <v>5368.7</v>
          </cell>
          <cell r="D3158">
            <v>5425.15</v>
          </cell>
          <cell r="E3158">
            <v>5368.7</v>
          </cell>
          <cell r="F3158">
            <v>5421</v>
          </cell>
        </row>
        <row r="3159">
          <cell r="B3159">
            <v>41143</v>
          </cell>
          <cell r="C3159">
            <v>5395.75</v>
          </cell>
          <cell r="D3159">
            <v>5433.35</v>
          </cell>
          <cell r="E3159">
            <v>5394.8</v>
          </cell>
          <cell r="F3159">
            <v>5412.85</v>
          </cell>
        </row>
        <row r="3160">
          <cell r="B3160">
            <v>41144</v>
          </cell>
          <cell r="C3160">
            <v>5426.15</v>
          </cell>
          <cell r="D3160">
            <v>5448.6</v>
          </cell>
          <cell r="E3160">
            <v>5393.85</v>
          </cell>
          <cell r="F3160">
            <v>5415.35</v>
          </cell>
        </row>
        <row r="3161">
          <cell r="B3161">
            <v>41145</v>
          </cell>
          <cell r="C3161">
            <v>5392.6</v>
          </cell>
          <cell r="D3161">
            <v>5399.65</v>
          </cell>
          <cell r="E3161">
            <v>5371</v>
          </cell>
          <cell r="F3161">
            <v>5386.7</v>
          </cell>
        </row>
        <row r="3162">
          <cell r="B3162">
            <v>41148</v>
          </cell>
          <cell r="C3162">
            <v>5387.85</v>
          </cell>
          <cell r="D3162">
            <v>5399.15</v>
          </cell>
          <cell r="E3162">
            <v>5346.65</v>
          </cell>
          <cell r="F3162">
            <v>5350.25</v>
          </cell>
        </row>
        <row r="3163">
          <cell r="B3163">
            <v>41149</v>
          </cell>
          <cell r="C3163">
            <v>5348.05</v>
          </cell>
          <cell r="D3163">
            <v>5359.25</v>
          </cell>
          <cell r="E3163">
            <v>5312.6</v>
          </cell>
          <cell r="F3163">
            <v>5334.6</v>
          </cell>
        </row>
        <row r="3164">
          <cell r="B3164">
            <v>41150</v>
          </cell>
          <cell r="C3164">
            <v>5343.85</v>
          </cell>
          <cell r="D3164">
            <v>5345.5</v>
          </cell>
          <cell r="E3164">
            <v>5282.7</v>
          </cell>
          <cell r="F3164">
            <v>5287.8</v>
          </cell>
        </row>
        <row r="3165">
          <cell r="B3165">
            <v>41151</v>
          </cell>
          <cell r="C3165">
            <v>5268.6</v>
          </cell>
          <cell r="D3165">
            <v>5342.8</v>
          </cell>
          <cell r="E3165">
            <v>5255.05</v>
          </cell>
          <cell r="F3165">
            <v>5315.05</v>
          </cell>
        </row>
        <row r="3166">
          <cell r="B3166">
            <v>41152</v>
          </cell>
          <cell r="C3166">
            <v>5298.2</v>
          </cell>
          <cell r="D3166">
            <v>5303.25</v>
          </cell>
          <cell r="E3166">
            <v>5238.8999999999996</v>
          </cell>
          <cell r="F3166">
            <v>5258.5</v>
          </cell>
        </row>
        <row r="3167">
          <cell r="B3167">
            <v>41155</v>
          </cell>
          <cell r="C3167">
            <v>5276.5</v>
          </cell>
          <cell r="D3167">
            <v>5295.8</v>
          </cell>
          <cell r="E3167">
            <v>5243.15</v>
          </cell>
          <cell r="F3167">
            <v>5253.75</v>
          </cell>
        </row>
        <row r="3168">
          <cell r="B3168">
            <v>41156</v>
          </cell>
          <cell r="C3168">
            <v>5249.15</v>
          </cell>
          <cell r="D3168">
            <v>5278.35</v>
          </cell>
          <cell r="E3168">
            <v>5233.2</v>
          </cell>
          <cell r="F3168">
            <v>5274</v>
          </cell>
        </row>
        <row r="3169">
          <cell r="B3169">
            <v>41157</v>
          </cell>
          <cell r="C3169">
            <v>5243.9</v>
          </cell>
          <cell r="D3169">
            <v>5259.5</v>
          </cell>
          <cell r="E3169">
            <v>5215.7</v>
          </cell>
          <cell r="F3169">
            <v>5225.7</v>
          </cell>
        </row>
        <row r="3170">
          <cell r="B3170">
            <v>41158</v>
          </cell>
          <cell r="C3170">
            <v>5217.6499999999996</v>
          </cell>
          <cell r="D3170">
            <v>5260.6</v>
          </cell>
          <cell r="E3170">
            <v>5217.6499999999996</v>
          </cell>
          <cell r="F3170">
            <v>5238.3999999999996</v>
          </cell>
        </row>
        <row r="3171">
          <cell r="B3171">
            <v>41159</v>
          </cell>
          <cell r="C3171">
            <v>5309.45</v>
          </cell>
          <cell r="D3171">
            <v>5347.15</v>
          </cell>
          <cell r="E3171">
            <v>5309.2</v>
          </cell>
          <cell r="F3171">
            <v>5342.1</v>
          </cell>
        </row>
        <row r="3172">
          <cell r="B3172">
            <v>41160</v>
          </cell>
          <cell r="C3172">
            <v>5343.65</v>
          </cell>
          <cell r="D3172">
            <v>5366.3</v>
          </cell>
          <cell r="E3172">
            <v>5343.45</v>
          </cell>
          <cell r="F3172">
            <v>5358.7</v>
          </cell>
        </row>
        <row r="3173">
          <cell r="B3173">
            <v>41162</v>
          </cell>
          <cell r="C3173">
            <v>5361.9</v>
          </cell>
          <cell r="D3173">
            <v>5375.45</v>
          </cell>
          <cell r="E3173">
            <v>5349.1</v>
          </cell>
          <cell r="F3173">
            <v>5363.45</v>
          </cell>
        </row>
        <row r="3174">
          <cell r="B3174">
            <v>41163</v>
          </cell>
          <cell r="C3174">
            <v>5336.1</v>
          </cell>
          <cell r="D3174">
            <v>5393.35</v>
          </cell>
          <cell r="E3174">
            <v>5332.1</v>
          </cell>
          <cell r="F3174">
            <v>5390</v>
          </cell>
        </row>
        <row r="3175">
          <cell r="B3175">
            <v>41164</v>
          </cell>
          <cell r="C3175">
            <v>5404.45</v>
          </cell>
          <cell r="D3175">
            <v>5435.55</v>
          </cell>
          <cell r="E3175">
            <v>5393.95</v>
          </cell>
          <cell r="F3175">
            <v>5431</v>
          </cell>
        </row>
        <row r="3176">
          <cell r="B3176">
            <v>41165</v>
          </cell>
          <cell r="C3176">
            <v>5435.2</v>
          </cell>
          <cell r="D3176">
            <v>5447.45</v>
          </cell>
          <cell r="E3176">
            <v>5421.85</v>
          </cell>
          <cell r="F3176">
            <v>5435.35</v>
          </cell>
        </row>
        <row r="3177">
          <cell r="B3177">
            <v>41166</v>
          </cell>
          <cell r="C3177">
            <v>5528.35</v>
          </cell>
          <cell r="D3177">
            <v>5586.65</v>
          </cell>
          <cell r="E3177">
            <v>5526.95</v>
          </cell>
          <cell r="F3177">
            <v>5577.65</v>
          </cell>
        </row>
        <row r="3178">
          <cell r="B3178">
            <v>41169</v>
          </cell>
          <cell r="C3178">
            <v>5631.75</v>
          </cell>
          <cell r="D3178">
            <v>5652.2</v>
          </cell>
          <cell r="E3178">
            <v>5585.15</v>
          </cell>
          <cell r="F3178">
            <v>5610</v>
          </cell>
        </row>
        <row r="3179">
          <cell r="B3179">
            <v>41170</v>
          </cell>
          <cell r="C3179">
            <v>5602.4</v>
          </cell>
          <cell r="D3179">
            <v>5620.55</v>
          </cell>
          <cell r="E3179">
            <v>5586.45</v>
          </cell>
          <cell r="F3179">
            <v>5600.05</v>
          </cell>
        </row>
        <row r="3180">
          <cell r="B3180">
            <v>41172</v>
          </cell>
          <cell r="C3180">
            <v>5536.95</v>
          </cell>
          <cell r="D3180">
            <v>5581.35</v>
          </cell>
          <cell r="E3180">
            <v>5534.9</v>
          </cell>
          <cell r="F3180">
            <v>5554.25</v>
          </cell>
        </row>
        <row r="3181">
          <cell r="B3181">
            <v>41173</v>
          </cell>
          <cell r="C3181">
            <v>5577</v>
          </cell>
          <cell r="D3181">
            <v>5720</v>
          </cell>
          <cell r="E3181">
            <v>5575.45</v>
          </cell>
          <cell r="F3181">
            <v>5691.15</v>
          </cell>
        </row>
        <row r="3182">
          <cell r="B3182">
            <v>41176</v>
          </cell>
          <cell r="C3182">
            <v>5691.95</v>
          </cell>
          <cell r="D3182">
            <v>5709.85</v>
          </cell>
          <cell r="E3182">
            <v>5662.75</v>
          </cell>
          <cell r="F3182">
            <v>5669.6</v>
          </cell>
        </row>
        <row r="3183">
          <cell r="B3183">
            <v>41177</v>
          </cell>
          <cell r="C3183">
            <v>5674.9</v>
          </cell>
          <cell r="D3183">
            <v>5702.7</v>
          </cell>
          <cell r="E3183">
            <v>5652.45</v>
          </cell>
          <cell r="F3183">
            <v>5673.9</v>
          </cell>
        </row>
        <row r="3184">
          <cell r="B3184">
            <v>41178</v>
          </cell>
          <cell r="C3184">
            <v>5653.4</v>
          </cell>
          <cell r="D3184">
            <v>5672.8</v>
          </cell>
          <cell r="E3184">
            <v>5638.65</v>
          </cell>
          <cell r="F3184">
            <v>5663.45</v>
          </cell>
        </row>
        <row r="3185">
          <cell r="B3185">
            <v>41179</v>
          </cell>
          <cell r="C3185">
            <v>5673.75</v>
          </cell>
          <cell r="D3185">
            <v>5693.7</v>
          </cell>
          <cell r="E3185">
            <v>5639.7</v>
          </cell>
          <cell r="F3185">
            <v>5649.5</v>
          </cell>
        </row>
        <row r="3186">
          <cell r="B3186">
            <v>41180</v>
          </cell>
          <cell r="C3186">
            <v>5684.8</v>
          </cell>
          <cell r="D3186">
            <v>5735.15</v>
          </cell>
          <cell r="E3186">
            <v>5683.45</v>
          </cell>
          <cell r="F3186">
            <v>5703.3</v>
          </cell>
        </row>
        <row r="3187">
          <cell r="B3187">
            <v>41183</v>
          </cell>
          <cell r="C3187">
            <v>5704.75</v>
          </cell>
          <cell r="D3187">
            <v>5722.95</v>
          </cell>
          <cell r="E3187">
            <v>5694</v>
          </cell>
          <cell r="F3187">
            <v>5718.8</v>
          </cell>
        </row>
        <row r="3188">
          <cell r="B3188">
            <v>41185</v>
          </cell>
          <cell r="C3188">
            <v>5727.7</v>
          </cell>
          <cell r="D3188">
            <v>5743.25</v>
          </cell>
          <cell r="E3188">
            <v>5715.8</v>
          </cell>
          <cell r="F3188">
            <v>5731.25</v>
          </cell>
        </row>
        <row r="3189">
          <cell r="B3189">
            <v>41186</v>
          </cell>
          <cell r="C3189">
            <v>5751.55</v>
          </cell>
          <cell r="D3189">
            <v>5807.25</v>
          </cell>
          <cell r="E3189">
            <v>5751.35</v>
          </cell>
          <cell r="F3189">
            <v>5787.6</v>
          </cell>
        </row>
        <row r="3190">
          <cell r="B3190">
            <v>41187</v>
          </cell>
          <cell r="C3190">
            <v>5815</v>
          </cell>
          <cell r="D3190">
            <v>5815.35</v>
          </cell>
          <cell r="E3190">
            <v>4888.2</v>
          </cell>
          <cell r="F3190">
            <v>5746.95</v>
          </cell>
        </row>
        <row r="3191">
          <cell r="B3191">
            <v>41190</v>
          </cell>
          <cell r="C3191">
            <v>5751.85</v>
          </cell>
          <cell r="D3191">
            <v>5751.85</v>
          </cell>
          <cell r="E3191">
            <v>5666.2</v>
          </cell>
          <cell r="F3191">
            <v>5676</v>
          </cell>
        </row>
        <row r="3192">
          <cell r="B3192">
            <v>41191</v>
          </cell>
          <cell r="C3192">
            <v>5708.15</v>
          </cell>
          <cell r="D3192">
            <v>5728.65</v>
          </cell>
          <cell r="E3192">
            <v>5677.9</v>
          </cell>
          <cell r="F3192">
            <v>5704.6</v>
          </cell>
        </row>
        <row r="3193">
          <cell r="B3193">
            <v>41192</v>
          </cell>
          <cell r="C3193">
            <v>5671.15</v>
          </cell>
          <cell r="D3193">
            <v>5686.5</v>
          </cell>
          <cell r="E3193">
            <v>5647.05</v>
          </cell>
          <cell r="F3193">
            <v>5652.15</v>
          </cell>
        </row>
        <row r="3194">
          <cell r="B3194">
            <v>41193</v>
          </cell>
          <cell r="C3194">
            <v>5663.5</v>
          </cell>
          <cell r="D3194">
            <v>5721.1</v>
          </cell>
          <cell r="E3194">
            <v>5636.95</v>
          </cell>
          <cell r="F3194">
            <v>5708.05</v>
          </cell>
        </row>
        <row r="3195">
          <cell r="B3195">
            <v>41194</v>
          </cell>
          <cell r="C3195">
            <v>5681.7</v>
          </cell>
          <cell r="D3195">
            <v>5725</v>
          </cell>
          <cell r="E3195">
            <v>5659.35</v>
          </cell>
          <cell r="F3195">
            <v>5676.05</v>
          </cell>
        </row>
        <row r="3196">
          <cell r="B3196">
            <v>41197</v>
          </cell>
          <cell r="C3196">
            <v>5674.25</v>
          </cell>
          <cell r="D3196">
            <v>5693.7</v>
          </cell>
          <cell r="E3196">
            <v>5651.05</v>
          </cell>
          <cell r="F3196">
            <v>5687.25</v>
          </cell>
        </row>
        <row r="3197">
          <cell r="B3197">
            <v>41198</v>
          </cell>
          <cell r="C3197">
            <v>5705.6</v>
          </cell>
          <cell r="D3197">
            <v>5714</v>
          </cell>
          <cell r="E3197">
            <v>5635.6</v>
          </cell>
          <cell r="F3197">
            <v>5648</v>
          </cell>
        </row>
        <row r="3198">
          <cell r="B3198">
            <v>41199</v>
          </cell>
          <cell r="C3198">
            <v>5681.1</v>
          </cell>
          <cell r="D3198">
            <v>5684.35</v>
          </cell>
          <cell r="E3198">
            <v>5633.9</v>
          </cell>
          <cell r="F3198">
            <v>5660.25</v>
          </cell>
        </row>
        <row r="3199">
          <cell r="B3199">
            <v>41200</v>
          </cell>
          <cell r="C3199">
            <v>5675.3</v>
          </cell>
          <cell r="D3199">
            <v>5722.5</v>
          </cell>
          <cell r="E3199">
            <v>5650.55</v>
          </cell>
          <cell r="F3199">
            <v>5718.7</v>
          </cell>
        </row>
        <row r="3200">
          <cell r="B3200">
            <v>41201</v>
          </cell>
          <cell r="C3200">
            <v>5703.3</v>
          </cell>
          <cell r="D3200">
            <v>5711.7</v>
          </cell>
          <cell r="E3200">
            <v>5660</v>
          </cell>
          <cell r="F3200">
            <v>5684.25</v>
          </cell>
        </row>
        <row r="3201">
          <cell r="B3201">
            <v>41204</v>
          </cell>
          <cell r="C3201">
            <v>5667.6</v>
          </cell>
          <cell r="D3201">
            <v>5721.55</v>
          </cell>
          <cell r="E3201">
            <v>5658.05</v>
          </cell>
          <cell r="F3201">
            <v>5717.15</v>
          </cell>
        </row>
        <row r="3202">
          <cell r="B3202">
            <v>41205</v>
          </cell>
          <cell r="C3202">
            <v>5715.65</v>
          </cell>
          <cell r="D3202">
            <v>5720.8</v>
          </cell>
          <cell r="E3202">
            <v>5681.45</v>
          </cell>
          <cell r="F3202">
            <v>5691.4</v>
          </cell>
        </row>
        <row r="3203">
          <cell r="B3203">
            <v>41207</v>
          </cell>
          <cell r="C3203">
            <v>5688.8</v>
          </cell>
          <cell r="D3203">
            <v>5718.75</v>
          </cell>
          <cell r="E3203">
            <v>5685.7</v>
          </cell>
          <cell r="F3203">
            <v>5705.3</v>
          </cell>
        </row>
        <row r="3204">
          <cell r="B3204">
            <v>41208</v>
          </cell>
          <cell r="C3204">
            <v>5683.55</v>
          </cell>
          <cell r="D3204">
            <v>5697.2</v>
          </cell>
          <cell r="E3204">
            <v>5641.75</v>
          </cell>
          <cell r="F3204">
            <v>5664.3</v>
          </cell>
        </row>
        <row r="3205">
          <cell r="B3205">
            <v>41211</v>
          </cell>
          <cell r="C3205">
            <v>5665.2</v>
          </cell>
          <cell r="D3205">
            <v>5698.3</v>
          </cell>
          <cell r="E3205">
            <v>5645.1</v>
          </cell>
          <cell r="F3205">
            <v>5665.6</v>
          </cell>
        </row>
        <row r="3206">
          <cell r="B3206">
            <v>41212</v>
          </cell>
          <cell r="C3206">
            <v>5656.35</v>
          </cell>
          <cell r="D3206">
            <v>5689.9</v>
          </cell>
          <cell r="E3206">
            <v>5589.9</v>
          </cell>
          <cell r="F3206">
            <v>5597.9</v>
          </cell>
        </row>
        <row r="3207">
          <cell r="B3207">
            <v>41213</v>
          </cell>
          <cell r="C3207">
            <v>5596.75</v>
          </cell>
          <cell r="D3207">
            <v>5624.4</v>
          </cell>
          <cell r="E3207">
            <v>5583.05</v>
          </cell>
          <cell r="F3207">
            <v>5619.7</v>
          </cell>
        </row>
        <row r="3208">
          <cell r="B3208">
            <v>41214</v>
          </cell>
          <cell r="C3208">
            <v>5609.85</v>
          </cell>
          <cell r="D3208">
            <v>5649.75</v>
          </cell>
          <cell r="E3208">
            <v>5601.95</v>
          </cell>
          <cell r="F3208">
            <v>5645.05</v>
          </cell>
        </row>
        <row r="3209">
          <cell r="B3209">
            <v>41215</v>
          </cell>
          <cell r="C3209">
            <v>5696.35</v>
          </cell>
          <cell r="D3209">
            <v>5711.3</v>
          </cell>
          <cell r="E3209">
            <v>5682.55</v>
          </cell>
          <cell r="F3209">
            <v>5697.7</v>
          </cell>
        </row>
        <row r="3210">
          <cell r="B3210">
            <v>41218</v>
          </cell>
          <cell r="C3210">
            <v>5693.05</v>
          </cell>
          <cell r="D3210">
            <v>5709.2</v>
          </cell>
          <cell r="E3210">
            <v>5679.5</v>
          </cell>
          <cell r="F3210">
            <v>5704.2</v>
          </cell>
        </row>
        <row r="3211">
          <cell r="B3211">
            <v>41219</v>
          </cell>
          <cell r="C3211">
            <v>5694.1</v>
          </cell>
          <cell r="D3211">
            <v>5730.8</v>
          </cell>
          <cell r="E3211">
            <v>5693.65</v>
          </cell>
          <cell r="F3211">
            <v>5724.4</v>
          </cell>
        </row>
        <row r="3212">
          <cell r="B3212">
            <v>41220</v>
          </cell>
          <cell r="C3212">
            <v>5718.6</v>
          </cell>
          <cell r="D3212">
            <v>5777.3</v>
          </cell>
          <cell r="E3212">
            <v>5711.4</v>
          </cell>
          <cell r="F3212">
            <v>5760.1</v>
          </cell>
        </row>
        <row r="3213">
          <cell r="B3213">
            <v>41221</v>
          </cell>
          <cell r="C3213">
            <v>5709</v>
          </cell>
          <cell r="D3213">
            <v>5744.5</v>
          </cell>
          <cell r="E3213">
            <v>5693.95</v>
          </cell>
          <cell r="F3213">
            <v>5738.75</v>
          </cell>
        </row>
        <row r="3214">
          <cell r="B3214">
            <v>41222</v>
          </cell>
          <cell r="C3214">
            <v>5731.1</v>
          </cell>
          <cell r="D3214">
            <v>5751.7</v>
          </cell>
          <cell r="E3214">
            <v>5677.75</v>
          </cell>
          <cell r="F3214">
            <v>5686.25</v>
          </cell>
        </row>
        <row r="3215">
          <cell r="B3215">
            <v>41225</v>
          </cell>
          <cell r="C3215">
            <v>5688.45</v>
          </cell>
          <cell r="D3215">
            <v>5718.9</v>
          </cell>
          <cell r="E3215">
            <v>5665.75</v>
          </cell>
          <cell r="F3215">
            <v>5683.7</v>
          </cell>
        </row>
        <row r="3216">
          <cell r="B3216">
            <v>41226</v>
          </cell>
          <cell r="C3216">
            <v>5689.7</v>
          </cell>
          <cell r="D3216">
            <v>5698.25</v>
          </cell>
          <cell r="E3216">
            <v>5660.35</v>
          </cell>
          <cell r="F3216">
            <v>5666.95</v>
          </cell>
        </row>
        <row r="3217">
          <cell r="B3217">
            <v>41228</v>
          </cell>
          <cell r="C3217">
            <v>5650.35</v>
          </cell>
          <cell r="D3217">
            <v>5651.65</v>
          </cell>
          <cell r="E3217">
            <v>5603.55</v>
          </cell>
          <cell r="F3217">
            <v>5631</v>
          </cell>
        </row>
        <row r="3218">
          <cell r="B3218">
            <v>41229</v>
          </cell>
          <cell r="C3218">
            <v>5624.8</v>
          </cell>
          <cell r="D3218">
            <v>5650.15</v>
          </cell>
          <cell r="E3218">
            <v>5559.8</v>
          </cell>
          <cell r="F3218">
            <v>5574.05</v>
          </cell>
        </row>
        <row r="3219">
          <cell r="B3219">
            <v>41232</v>
          </cell>
          <cell r="C3219">
            <v>5577.3</v>
          </cell>
          <cell r="D3219">
            <v>5592.75</v>
          </cell>
          <cell r="E3219">
            <v>5549.25</v>
          </cell>
          <cell r="F3219">
            <v>5571.4</v>
          </cell>
        </row>
        <row r="3220">
          <cell r="B3220">
            <v>41233</v>
          </cell>
          <cell r="C3220">
            <v>5604.8</v>
          </cell>
          <cell r="D3220">
            <v>5613.7</v>
          </cell>
          <cell r="E3220">
            <v>5548.35</v>
          </cell>
          <cell r="F3220">
            <v>5571.55</v>
          </cell>
        </row>
        <row r="3221">
          <cell r="B3221">
            <v>41234</v>
          </cell>
          <cell r="C3221">
            <v>5582.5</v>
          </cell>
          <cell r="D3221">
            <v>5620.2</v>
          </cell>
          <cell r="E3221">
            <v>5561.4</v>
          </cell>
          <cell r="F3221">
            <v>5614.8</v>
          </cell>
        </row>
        <row r="3222">
          <cell r="B3222">
            <v>41235</v>
          </cell>
          <cell r="C3222">
            <v>5628.6</v>
          </cell>
          <cell r="D3222">
            <v>5643.35</v>
          </cell>
          <cell r="E3222">
            <v>5608</v>
          </cell>
          <cell r="F3222">
            <v>5627.75</v>
          </cell>
        </row>
        <row r="3223">
          <cell r="B3223">
            <v>41236</v>
          </cell>
          <cell r="C3223">
            <v>5635.45</v>
          </cell>
          <cell r="D3223">
            <v>5637.75</v>
          </cell>
          <cell r="E3223">
            <v>5593.55</v>
          </cell>
          <cell r="F3223">
            <v>5626.6</v>
          </cell>
        </row>
        <row r="3224">
          <cell r="B3224">
            <v>41239</v>
          </cell>
          <cell r="C3224">
            <v>5648.65</v>
          </cell>
          <cell r="D3224">
            <v>5649.2</v>
          </cell>
          <cell r="E3224">
            <v>5623.45</v>
          </cell>
          <cell r="F3224">
            <v>5635.9</v>
          </cell>
        </row>
        <row r="3225">
          <cell r="B3225">
            <v>41240</v>
          </cell>
          <cell r="C3225">
            <v>5658.5</v>
          </cell>
          <cell r="D3225">
            <v>5733.2</v>
          </cell>
          <cell r="E3225">
            <v>5658</v>
          </cell>
          <cell r="F3225">
            <v>5727.45</v>
          </cell>
        </row>
        <row r="3226">
          <cell r="B3226">
            <v>41242</v>
          </cell>
          <cell r="C3226">
            <v>5736.7</v>
          </cell>
          <cell r="D3226">
            <v>5833.5</v>
          </cell>
          <cell r="E3226">
            <v>5736.1</v>
          </cell>
          <cell r="F3226">
            <v>5825</v>
          </cell>
        </row>
        <row r="3227">
          <cell r="B3227">
            <v>41243</v>
          </cell>
          <cell r="C3227">
            <v>5836</v>
          </cell>
          <cell r="D3227">
            <v>5885.25</v>
          </cell>
          <cell r="E3227">
            <v>5827.85</v>
          </cell>
          <cell r="F3227">
            <v>5879.85</v>
          </cell>
        </row>
        <row r="3228">
          <cell r="B3228">
            <v>41246</v>
          </cell>
          <cell r="C3228">
            <v>5878.25</v>
          </cell>
          <cell r="D3228">
            <v>5899.15</v>
          </cell>
          <cell r="E3228">
            <v>5854.6</v>
          </cell>
          <cell r="F3228">
            <v>5870.95</v>
          </cell>
        </row>
        <row r="3229">
          <cell r="B3229">
            <v>41247</v>
          </cell>
          <cell r="C3229">
            <v>5866.8</v>
          </cell>
          <cell r="D3229">
            <v>5894.95</v>
          </cell>
          <cell r="E3229">
            <v>5859</v>
          </cell>
          <cell r="F3229">
            <v>5889.25</v>
          </cell>
        </row>
        <row r="3230">
          <cell r="B3230">
            <v>41248</v>
          </cell>
          <cell r="C3230">
            <v>5906.6</v>
          </cell>
          <cell r="D3230">
            <v>5917.8</v>
          </cell>
          <cell r="E3230">
            <v>5891.35</v>
          </cell>
          <cell r="F3230">
            <v>5900.5</v>
          </cell>
        </row>
        <row r="3231">
          <cell r="B3231">
            <v>41249</v>
          </cell>
          <cell r="C3231">
            <v>5926.3</v>
          </cell>
          <cell r="D3231">
            <v>5942.55</v>
          </cell>
          <cell r="E3231">
            <v>5838.9</v>
          </cell>
          <cell r="F3231">
            <v>5930.9</v>
          </cell>
        </row>
        <row r="3232">
          <cell r="B3232">
            <v>41250</v>
          </cell>
          <cell r="C3232">
            <v>5934</v>
          </cell>
          <cell r="D3232">
            <v>5949.85</v>
          </cell>
          <cell r="E3232">
            <v>5888.65</v>
          </cell>
          <cell r="F3232">
            <v>5907.4</v>
          </cell>
        </row>
        <row r="3233">
          <cell r="B3233">
            <v>41253</v>
          </cell>
          <cell r="C3233">
            <v>5916.05</v>
          </cell>
          <cell r="D3233">
            <v>5919.95</v>
          </cell>
          <cell r="E3233">
            <v>5888.1</v>
          </cell>
          <cell r="F3233">
            <v>5908.9</v>
          </cell>
        </row>
        <row r="3234">
          <cell r="B3234">
            <v>41254</v>
          </cell>
          <cell r="C3234">
            <v>5923.8</v>
          </cell>
          <cell r="D3234">
            <v>5965.15</v>
          </cell>
          <cell r="E3234">
            <v>5865.45</v>
          </cell>
          <cell r="F3234">
            <v>5898.8</v>
          </cell>
        </row>
        <row r="3235">
          <cell r="B3235">
            <v>41255</v>
          </cell>
          <cell r="C3235">
            <v>5917.8</v>
          </cell>
          <cell r="D3235">
            <v>5924.6</v>
          </cell>
          <cell r="E3235">
            <v>5874.25</v>
          </cell>
          <cell r="F3235">
            <v>5888</v>
          </cell>
        </row>
        <row r="3236">
          <cell r="B3236">
            <v>41256</v>
          </cell>
          <cell r="C3236">
            <v>5900.35</v>
          </cell>
          <cell r="D3236">
            <v>5907.45</v>
          </cell>
          <cell r="E3236">
            <v>5841.35</v>
          </cell>
          <cell r="F3236">
            <v>5851.5</v>
          </cell>
        </row>
        <row r="3237">
          <cell r="B3237">
            <v>41257</v>
          </cell>
          <cell r="C3237">
            <v>5846.9</v>
          </cell>
          <cell r="D3237">
            <v>5886.1</v>
          </cell>
          <cell r="E3237">
            <v>5839.15</v>
          </cell>
          <cell r="F3237">
            <v>5879.6</v>
          </cell>
        </row>
        <row r="3238">
          <cell r="B3238">
            <v>41260</v>
          </cell>
          <cell r="C3238">
            <v>5860.5</v>
          </cell>
          <cell r="D3238">
            <v>5886.05</v>
          </cell>
          <cell r="E3238">
            <v>5850.15</v>
          </cell>
          <cell r="F3238">
            <v>5857.9</v>
          </cell>
        </row>
        <row r="3239">
          <cell r="B3239">
            <v>41261</v>
          </cell>
          <cell r="C3239">
            <v>5873.6</v>
          </cell>
          <cell r="D3239">
            <v>5905.8</v>
          </cell>
          <cell r="E3239">
            <v>5823.15</v>
          </cell>
          <cell r="F3239">
            <v>5896.8</v>
          </cell>
        </row>
        <row r="3240">
          <cell r="B3240">
            <v>41262</v>
          </cell>
          <cell r="C3240">
            <v>5917.3</v>
          </cell>
          <cell r="D3240">
            <v>5939.4</v>
          </cell>
          <cell r="E3240">
            <v>5910.8</v>
          </cell>
          <cell r="F3240">
            <v>5929.6</v>
          </cell>
        </row>
        <row r="3241">
          <cell r="B3241">
            <v>41263</v>
          </cell>
          <cell r="C3241">
            <v>5934.45</v>
          </cell>
          <cell r="D3241">
            <v>5937.6</v>
          </cell>
          <cell r="E3241">
            <v>5881.45</v>
          </cell>
          <cell r="F3241">
            <v>5916.4</v>
          </cell>
        </row>
        <row r="3242">
          <cell r="B3242">
            <v>41264</v>
          </cell>
          <cell r="C3242">
            <v>5888</v>
          </cell>
          <cell r="D3242">
            <v>5888</v>
          </cell>
          <cell r="E3242">
            <v>5841.65</v>
          </cell>
          <cell r="F3242">
            <v>5847.7</v>
          </cell>
        </row>
        <row r="3243">
          <cell r="B3243">
            <v>41267</v>
          </cell>
          <cell r="C3243">
            <v>5869</v>
          </cell>
          <cell r="D3243">
            <v>5871.9</v>
          </cell>
          <cell r="E3243">
            <v>5844.7</v>
          </cell>
          <cell r="F3243">
            <v>5855.75</v>
          </cell>
        </row>
        <row r="3244">
          <cell r="B3244">
            <v>41269</v>
          </cell>
          <cell r="C3244">
            <v>5864.95</v>
          </cell>
          <cell r="D3244">
            <v>5917.3</v>
          </cell>
          <cell r="E3244">
            <v>5859.55</v>
          </cell>
          <cell r="F3244">
            <v>5905.6</v>
          </cell>
        </row>
        <row r="3245">
          <cell r="B3245">
            <v>41270</v>
          </cell>
          <cell r="C3245">
            <v>5930.2</v>
          </cell>
          <cell r="D3245">
            <v>5930.8</v>
          </cell>
          <cell r="E3245">
            <v>5864.7</v>
          </cell>
          <cell r="F3245">
            <v>5870.1</v>
          </cell>
        </row>
        <row r="3246">
          <cell r="B3246">
            <v>41271</v>
          </cell>
          <cell r="C3246">
            <v>5887.15</v>
          </cell>
          <cell r="D3246">
            <v>5915.75</v>
          </cell>
          <cell r="E3246">
            <v>5879.5</v>
          </cell>
          <cell r="F3246">
            <v>5908.35</v>
          </cell>
        </row>
        <row r="3247">
          <cell r="B3247">
            <v>41274</v>
          </cell>
          <cell r="C3247">
            <v>5901.2</v>
          </cell>
          <cell r="D3247">
            <v>5919</v>
          </cell>
          <cell r="E3247">
            <v>5897.15</v>
          </cell>
          <cell r="F3247">
            <v>5905.1</v>
          </cell>
        </row>
        <row r="3248">
          <cell r="B3248">
            <v>41275</v>
          </cell>
          <cell r="C3248">
            <v>5937.65</v>
          </cell>
          <cell r="D3248">
            <v>5963.9</v>
          </cell>
          <cell r="E3248">
            <v>5935.2</v>
          </cell>
          <cell r="F3248">
            <v>5950.85</v>
          </cell>
        </row>
        <row r="3249">
          <cell r="B3249">
            <v>41276</v>
          </cell>
          <cell r="C3249">
            <v>5982.6</v>
          </cell>
          <cell r="D3249">
            <v>6006.05</v>
          </cell>
          <cell r="E3249">
            <v>5982</v>
          </cell>
          <cell r="F3249">
            <v>5993.25</v>
          </cell>
        </row>
        <row r="3250">
          <cell r="B3250">
            <v>41277</v>
          </cell>
          <cell r="C3250">
            <v>6015.8</v>
          </cell>
          <cell r="D3250">
            <v>6017</v>
          </cell>
          <cell r="E3250">
            <v>5986.55</v>
          </cell>
          <cell r="F3250">
            <v>6009.5</v>
          </cell>
        </row>
        <row r="3251">
          <cell r="B3251">
            <v>41278</v>
          </cell>
          <cell r="C3251">
            <v>6011.95</v>
          </cell>
          <cell r="D3251">
            <v>6020.75</v>
          </cell>
          <cell r="E3251">
            <v>5981.55</v>
          </cell>
          <cell r="F3251">
            <v>6016.15</v>
          </cell>
        </row>
        <row r="3252">
          <cell r="B3252">
            <v>41281</v>
          </cell>
          <cell r="C3252">
            <v>6042.15</v>
          </cell>
          <cell r="D3252">
            <v>6042.15</v>
          </cell>
          <cell r="E3252">
            <v>5977.15</v>
          </cell>
          <cell r="F3252">
            <v>5988.4</v>
          </cell>
        </row>
        <row r="3253">
          <cell r="B3253">
            <v>41282</v>
          </cell>
          <cell r="C3253">
            <v>5983.45</v>
          </cell>
          <cell r="D3253">
            <v>6007.05</v>
          </cell>
          <cell r="E3253">
            <v>5964.4</v>
          </cell>
          <cell r="F3253">
            <v>6001.7</v>
          </cell>
        </row>
        <row r="3254">
          <cell r="B3254">
            <v>41283</v>
          </cell>
          <cell r="C3254">
            <v>6006.2</v>
          </cell>
          <cell r="D3254">
            <v>6020.1</v>
          </cell>
          <cell r="E3254">
            <v>5958.45</v>
          </cell>
          <cell r="F3254">
            <v>5971.5</v>
          </cell>
        </row>
        <row r="3255">
          <cell r="B3255">
            <v>41284</v>
          </cell>
          <cell r="C3255">
            <v>5998.8</v>
          </cell>
          <cell r="D3255">
            <v>6005.15</v>
          </cell>
          <cell r="E3255">
            <v>5947.3</v>
          </cell>
          <cell r="F3255">
            <v>5968.65</v>
          </cell>
        </row>
        <row r="3256">
          <cell r="B3256">
            <v>41285</v>
          </cell>
          <cell r="C3256">
            <v>6012.4</v>
          </cell>
          <cell r="D3256">
            <v>6018.85</v>
          </cell>
          <cell r="E3256">
            <v>5940.6</v>
          </cell>
          <cell r="F3256">
            <v>5951.3</v>
          </cell>
        </row>
        <row r="3257">
          <cell r="B3257">
            <v>41288</v>
          </cell>
          <cell r="C3257">
            <v>5967.2</v>
          </cell>
          <cell r="D3257">
            <v>6036.9</v>
          </cell>
          <cell r="E3257">
            <v>5962.15</v>
          </cell>
          <cell r="F3257">
            <v>6024.05</v>
          </cell>
        </row>
        <row r="3258">
          <cell r="B3258">
            <v>41289</v>
          </cell>
          <cell r="C3258">
            <v>6037.85</v>
          </cell>
          <cell r="D3258">
            <v>6068.5</v>
          </cell>
          <cell r="E3258">
            <v>6018.6</v>
          </cell>
          <cell r="F3258">
            <v>6056.6</v>
          </cell>
        </row>
        <row r="3259">
          <cell r="B3259">
            <v>41290</v>
          </cell>
          <cell r="C3259">
            <v>6049</v>
          </cell>
          <cell r="D3259">
            <v>6055.95</v>
          </cell>
          <cell r="E3259">
            <v>5992.05</v>
          </cell>
          <cell r="F3259">
            <v>6001.85</v>
          </cell>
        </row>
        <row r="3260">
          <cell r="B3260">
            <v>41291</v>
          </cell>
          <cell r="C3260">
            <v>6001.25</v>
          </cell>
          <cell r="D3260">
            <v>6053.2</v>
          </cell>
          <cell r="E3260">
            <v>5988.1</v>
          </cell>
          <cell r="F3260">
            <v>6039.2</v>
          </cell>
        </row>
        <row r="3261">
          <cell r="B3261">
            <v>41292</v>
          </cell>
          <cell r="C3261">
            <v>6059.85</v>
          </cell>
          <cell r="D3261">
            <v>6083.4</v>
          </cell>
          <cell r="E3261">
            <v>6048.3</v>
          </cell>
          <cell r="F3261">
            <v>6064.4</v>
          </cell>
        </row>
        <row r="3262">
          <cell r="B3262">
            <v>41295</v>
          </cell>
          <cell r="C3262">
            <v>6085.75</v>
          </cell>
          <cell r="D3262">
            <v>6094.35</v>
          </cell>
          <cell r="E3262">
            <v>6065.1</v>
          </cell>
          <cell r="F3262">
            <v>6082.3</v>
          </cell>
        </row>
        <row r="3263">
          <cell r="B3263">
            <v>41296</v>
          </cell>
          <cell r="C3263">
            <v>6080.15</v>
          </cell>
          <cell r="D3263">
            <v>6101.3</v>
          </cell>
          <cell r="E3263">
            <v>6040.5</v>
          </cell>
          <cell r="F3263">
            <v>6048.5</v>
          </cell>
        </row>
        <row r="3264">
          <cell r="B3264">
            <v>41297</v>
          </cell>
          <cell r="C3264">
            <v>6052.85</v>
          </cell>
          <cell r="D3264">
            <v>6069.8</v>
          </cell>
          <cell r="E3264">
            <v>6021.15</v>
          </cell>
          <cell r="F3264">
            <v>6054.3</v>
          </cell>
        </row>
        <row r="3265">
          <cell r="B3265">
            <v>41298</v>
          </cell>
          <cell r="C3265">
            <v>6046.2</v>
          </cell>
          <cell r="D3265">
            <v>6065.3</v>
          </cell>
          <cell r="E3265">
            <v>6007.85</v>
          </cell>
          <cell r="F3265">
            <v>6019.35</v>
          </cell>
        </row>
        <row r="3266">
          <cell r="B3266">
            <v>41299</v>
          </cell>
          <cell r="C3266">
            <v>6024.5</v>
          </cell>
          <cell r="D3266">
            <v>6080.55</v>
          </cell>
          <cell r="E3266">
            <v>6014.45</v>
          </cell>
          <cell r="F3266">
            <v>6074.65</v>
          </cell>
        </row>
        <row r="3267">
          <cell r="B3267">
            <v>41302</v>
          </cell>
          <cell r="C3267">
            <v>6082.1</v>
          </cell>
          <cell r="D3267">
            <v>6088.4</v>
          </cell>
          <cell r="E3267">
            <v>6061.4</v>
          </cell>
          <cell r="F3267">
            <v>6074.8</v>
          </cell>
        </row>
        <row r="3268">
          <cell r="B3268">
            <v>41303</v>
          </cell>
          <cell r="C3268">
            <v>6064.7</v>
          </cell>
          <cell r="D3268">
            <v>6111.8</v>
          </cell>
          <cell r="E3268">
            <v>6042.45</v>
          </cell>
          <cell r="F3268">
            <v>6049.9</v>
          </cell>
        </row>
        <row r="3269">
          <cell r="B3269">
            <v>41304</v>
          </cell>
          <cell r="C3269">
            <v>6065</v>
          </cell>
          <cell r="D3269">
            <v>6071.95</v>
          </cell>
          <cell r="E3269">
            <v>6044.15</v>
          </cell>
          <cell r="F3269">
            <v>6055.75</v>
          </cell>
        </row>
        <row r="3270">
          <cell r="B3270">
            <v>41305</v>
          </cell>
          <cell r="C3270">
            <v>6045.65</v>
          </cell>
          <cell r="D3270">
            <v>6058.05</v>
          </cell>
          <cell r="E3270">
            <v>6025.15</v>
          </cell>
          <cell r="F3270">
            <v>6034.75</v>
          </cell>
        </row>
        <row r="3271">
          <cell r="B3271">
            <v>41306</v>
          </cell>
          <cell r="C3271">
            <v>6040.95</v>
          </cell>
          <cell r="D3271">
            <v>6052.95</v>
          </cell>
          <cell r="E3271">
            <v>5983.2</v>
          </cell>
          <cell r="F3271">
            <v>5998.9</v>
          </cell>
        </row>
        <row r="3272">
          <cell r="B3272">
            <v>41309</v>
          </cell>
          <cell r="C3272">
            <v>6025.2</v>
          </cell>
          <cell r="D3272">
            <v>6038.5</v>
          </cell>
          <cell r="E3272">
            <v>5981.25</v>
          </cell>
          <cell r="F3272">
            <v>5987.25</v>
          </cell>
        </row>
        <row r="3273">
          <cell r="B3273">
            <v>41310</v>
          </cell>
          <cell r="C3273">
            <v>5948.2</v>
          </cell>
          <cell r="D3273">
            <v>5970.35</v>
          </cell>
          <cell r="E3273">
            <v>5946.9</v>
          </cell>
          <cell r="F3273">
            <v>5956.9</v>
          </cell>
        </row>
        <row r="3274">
          <cell r="B3274">
            <v>41311</v>
          </cell>
          <cell r="C3274">
            <v>5988.05</v>
          </cell>
          <cell r="D3274">
            <v>5990.9</v>
          </cell>
          <cell r="E3274">
            <v>5953.15</v>
          </cell>
          <cell r="F3274">
            <v>5959.2</v>
          </cell>
        </row>
        <row r="3275">
          <cell r="B3275">
            <v>41312</v>
          </cell>
          <cell r="C3275">
            <v>5936.45</v>
          </cell>
          <cell r="D3275">
            <v>5978.5</v>
          </cell>
          <cell r="E3275">
            <v>5927.6</v>
          </cell>
          <cell r="F3275">
            <v>5938.8</v>
          </cell>
        </row>
        <row r="3276">
          <cell r="B3276">
            <v>41313</v>
          </cell>
          <cell r="C3276">
            <v>5929.1</v>
          </cell>
          <cell r="D3276">
            <v>5953.7</v>
          </cell>
          <cell r="E3276">
            <v>5883.65</v>
          </cell>
          <cell r="F3276">
            <v>5903.5</v>
          </cell>
        </row>
        <row r="3277">
          <cell r="B3277">
            <v>41316</v>
          </cell>
          <cell r="C3277">
            <v>5920.05</v>
          </cell>
          <cell r="D3277">
            <v>5924.15</v>
          </cell>
          <cell r="E3277">
            <v>5879.1</v>
          </cell>
          <cell r="F3277">
            <v>5897.85</v>
          </cell>
        </row>
        <row r="3278">
          <cell r="B3278">
            <v>41317</v>
          </cell>
          <cell r="C3278">
            <v>5894.35</v>
          </cell>
          <cell r="D3278">
            <v>5927.65</v>
          </cell>
          <cell r="E3278">
            <v>5886.45</v>
          </cell>
          <cell r="F3278">
            <v>5922.5</v>
          </cell>
        </row>
        <row r="3279">
          <cell r="B3279">
            <v>41318</v>
          </cell>
          <cell r="C3279">
            <v>5943.15</v>
          </cell>
          <cell r="D3279">
            <v>5969.5</v>
          </cell>
          <cell r="E3279">
            <v>5922.95</v>
          </cell>
          <cell r="F3279">
            <v>5932.95</v>
          </cell>
        </row>
        <row r="3280">
          <cell r="B3280">
            <v>41319</v>
          </cell>
          <cell r="C3280">
            <v>5933.2</v>
          </cell>
          <cell r="D3280">
            <v>5940.2</v>
          </cell>
          <cell r="E3280">
            <v>5884.55</v>
          </cell>
          <cell r="F3280">
            <v>5896.95</v>
          </cell>
        </row>
        <row r="3281">
          <cell r="B3281">
            <v>41320</v>
          </cell>
          <cell r="C3281">
            <v>5869.95</v>
          </cell>
          <cell r="D3281">
            <v>5899.95</v>
          </cell>
          <cell r="E3281">
            <v>5853.9</v>
          </cell>
          <cell r="F3281">
            <v>5887.4</v>
          </cell>
        </row>
        <row r="3282">
          <cell r="B3282">
            <v>41323</v>
          </cell>
          <cell r="C3282">
            <v>5888.65</v>
          </cell>
          <cell r="D3282">
            <v>5911</v>
          </cell>
          <cell r="E3282">
            <v>5878.45</v>
          </cell>
          <cell r="F3282">
            <v>5898.2</v>
          </cell>
        </row>
        <row r="3283">
          <cell r="B3283">
            <v>41324</v>
          </cell>
          <cell r="C3283">
            <v>5900.2</v>
          </cell>
          <cell r="D3283">
            <v>5947.55</v>
          </cell>
          <cell r="E3283">
            <v>5883.15</v>
          </cell>
          <cell r="F3283">
            <v>5939.7</v>
          </cell>
        </row>
        <row r="3284">
          <cell r="B3284">
            <v>41325</v>
          </cell>
          <cell r="C3284">
            <v>5966.3</v>
          </cell>
          <cell r="D3284">
            <v>5971</v>
          </cell>
          <cell r="E3284">
            <v>5937.55</v>
          </cell>
          <cell r="F3284">
            <v>5943.05</v>
          </cell>
        </row>
        <row r="3285">
          <cell r="B3285">
            <v>41326</v>
          </cell>
          <cell r="C3285">
            <v>5909.65</v>
          </cell>
          <cell r="D3285">
            <v>5921.15</v>
          </cell>
          <cell r="E3285">
            <v>5844.4</v>
          </cell>
          <cell r="F3285">
            <v>5852.25</v>
          </cell>
        </row>
        <row r="3286">
          <cell r="B3286">
            <v>41327</v>
          </cell>
          <cell r="C3286">
            <v>5837.95</v>
          </cell>
          <cell r="D3286">
            <v>5873.8</v>
          </cell>
          <cell r="E3286">
            <v>5835.8</v>
          </cell>
          <cell r="F3286">
            <v>5850.3</v>
          </cell>
        </row>
        <row r="3287">
          <cell r="B3287">
            <v>41330</v>
          </cell>
          <cell r="C3287">
            <v>5870.55</v>
          </cell>
          <cell r="D3287">
            <v>5878.4</v>
          </cell>
          <cell r="E3287">
            <v>5825</v>
          </cell>
          <cell r="F3287">
            <v>5854.75</v>
          </cell>
        </row>
        <row r="3288">
          <cell r="B3288">
            <v>41331</v>
          </cell>
          <cell r="C3288">
            <v>5838.3</v>
          </cell>
          <cell r="D3288">
            <v>5838.85</v>
          </cell>
          <cell r="E3288">
            <v>5748.6</v>
          </cell>
          <cell r="F3288">
            <v>5761.35</v>
          </cell>
        </row>
        <row r="3289">
          <cell r="B3289">
            <v>41332</v>
          </cell>
          <cell r="C3289">
            <v>5784.9</v>
          </cell>
          <cell r="D3289">
            <v>5818.2</v>
          </cell>
          <cell r="E3289">
            <v>5749.7</v>
          </cell>
          <cell r="F3289">
            <v>5796.9</v>
          </cell>
        </row>
        <row r="3290">
          <cell r="B3290">
            <v>41333</v>
          </cell>
          <cell r="C3290">
            <v>5834.35</v>
          </cell>
          <cell r="D3290">
            <v>5849.9</v>
          </cell>
          <cell r="E3290">
            <v>5671.9</v>
          </cell>
          <cell r="F3290">
            <v>5693.05</v>
          </cell>
        </row>
        <row r="3291">
          <cell r="B3291">
            <v>41334</v>
          </cell>
          <cell r="C3291">
            <v>5702.45</v>
          </cell>
          <cell r="D3291">
            <v>5739.45</v>
          </cell>
          <cell r="E3291">
            <v>5679.9</v>
          </cell>
          <cell r="F3291">
            <v>5719.7</v>
          </cell>
        </row>
        <row r="3292">
          <cell r="B3292">
            <v>41337</v>
          </cell>
          <cell r="C3292">
            <v>5704.7</v>
          </cell>
          <cell r="D3292">
            <v>5712</v>
          </cell>
          <cell r="E3292">
            <v>5663.6</v>
          </cell>
          <cell r="F3292">
            <v>5698.5</v>
          </cell>
        </row>
        <row r="3293">
          <cell r="B3293">
            <v>41338</v>
          </cell>
          <cell r="C3293">
            <v>5722.45</v>
          </cell>
          <cell r="D3293">
            <v>5790.1</v>
          </cell>
          <cell r="E3293">
            <v>5722.4</v>
          </cell>
          <cell r="F3293">
            <v>5784.25</v>
          </cell>
        </row>
        <row r="3294">
          <cell r="B3294">
            <v>41339</v>
          </cell>
          <cell r="C3294">
            <v>5816.4</v>
          </cell>
          <cell r="D3294">
            <v>5828.7</v>
          </cell>
          <cell r="E3294">
            <v>5795.05</v>
          </cell>
          <cell r="F3294">
            <v>5818.6</v>
          </cell>
        </row>
        <row r="3295">
          <cell r="B3295">
            <v>41340</v>
          </cell>
          <cell r="C3295">
            <v>5801.3</v>
          </cell>
          <cell r="D3295">
            <v>5878</v>
          </cell>
          <cell r="E3295">
            <v>5801.3</v>
          </cell>
          <cell r="F3295">
            <v>5863.3</v>
          </cell>
        </row>
        <row r="3296">
          <cell r="B3296">
            <v>41341</v>
          </cell>
          <cell r="C3296">
            <v>5883.65</v>
          </cell>
          <cell r="D3296">
            <v>5952.85</v>
          </cell>
          <cell r="E3296">
            <v>5883</v>
          </cell>
          <cell r="F3296">
            <v>5945.7</v>
          </cell>
        </row>
        <row r="3297">
          <cell r="B3297">
            <v>41344</v>
          </cell>
          <cell r="C3297">
            <v>5946.1</v>
          </cell>
          <cell r="D3297">
            <v>5971.2</v>
          </cell>
          <cell r="E3297">
            <v>5930.35</v>
          </cell>
          <cell r="F3297">
            <v>5942.35</v>
          </cell>
        </row>
        <row r="3298">
          <cell r="B3298">
            <v>41345</v>
          </cell>
          <cell r="C3298">
            <v>5944.6</v>
          </cell>
          <cell r="D3298">
            <v>5952</v>
          </cell>
          <cell r="E3298">
            <v>5893.65</v>
          </cell>
          <cell r="F3298">
            <v>5914.1</v>
          </cell>
        </row>
        <row r="3299">
          <cell r="B3299">
            <v>41346</v>
          </cell>
          <cell r="C3299">
            <v>5884.8</v>
          </cell>
          <cell r="D3299">
            <v>5893.85</v>
          </cell>
          <cell r="E3299">
            <v>5842.25</v>
          </cell>
          <cell r="F3299">
            <v>5851.2</v>
          </cell>
        </row>
        <row r="3300">
          <cell r="B3300">
            <v>41347</v>
          </cell>
          <cell r="C3300">
            <v>5845.95</v>
          </cell>
          <cell r="D3300">
            <v>5920.15</v>
          </cell>
          <cell r="E3300">
            <v>5791.75</v>
          </cell>
          <cell r="F3300">
            <v>5908.95</v>
          </cell>
        </row>
        <row r="3301">
          <cell r="B3301">
            <v>41348</v>
          </cell>
          <cell r="C3301">
            <v>5914.9</v>
          </cell>
          <cell r="D3301">
            <v>5945.65</v>
          </cell>
          <cell r="E3301">
            <v>5861</v>
          </cell>
          <cell r="F3301">
            <v>5872.6</v>
          </cell>
        </row>
        <row r="3302">
          <cell r="B3302">
            <v>41351</v>
          </cell>
          <cell r="C3302">
            <v>5816.75</v>
          </cell>
          <cell r="D3302">
            <v>5850.2</v>
          </cell>
          <cell r="E3302">
            <v>5814.35</v>
          </cell>
          <cell r="F3302">
            <v>5835.25</v>
          </cell>
        </row>
        <row r="3303">
          <cell r="B3303">
            <v>41352</v>
          </cell>
          <cell r="C3303">
            <v>5859.5</v>
          </cell>
          <cell r="D3303">
            <v>5863.6</v>
          </cell>
          <cell r="E3303">
            <v>5724.3</v>
          </cell>
          <cell r="F3303">
            <v>5745.95</v>
          </cell>
        </row>
        <row r="3304">
          <cell r="B3304">
            <v>41353</v>
          </cell>
          <cell r="C3304">
            <v>5740.55</v>
          </cell>
          <cell r="D3304">
            <v>5745.3</v>
          </cell>
          <cell r="E3304">
            <v>5682.3</v>
          </cell>
          <cell r="F3304">
            <v>5694.4</v>
          </cell>
        </row>
        <row r="3305">
          <cell r="B3305">
            <v>41354</v>
          </cell>
          <cell r="C3305">
            <v>5705.9</v>
          </cell>
          <cell r="D3305">
            <v>5757.75</v>
          </cell>
          <cell r="E3305">
            <v>5647.95</v>
          </cell>
          <cell r="F3305">
            <v>5658.75</v>
          </cell>
        </row>
        <row r="3306">
          <cell r="B3306">
            <v>41355</v>
          </cell>
          <cell r="C3306">
            <v>5659.8</v>
          </cell>
          <cell r="D3306">
            <v>5691.45</v>
          </cell>
          <cell r="E3306">
            <v>5631.8</v>
          </cell>
          <cell r="F3306">
            <v>5651.35</v>
          </cell>
        </row>
        <row r="3307">
          <cell r="B3307">
            <v>41358</v>
          </cell>
          <cell r="C3307">
            <v>5707.3</v>
          </cell>
          <cell r="D3307">
            <v>5718.4</v>
          </cell>
          <cell r="E3307">
            <v>5624.4</v>
          </cell>
          <cell r="F3307">
            <v>5633.85</v>
          </cell>
        </row>
        <row r="3308">
          <cell r="B3308">
            <v>41359</v>
          </cell>
          <cell r="C3308">
            <v>5613.75</v>
          </cell>
          <cell r="D3308">
            <v>5655.3</v>
          </cell>
          <cell r="E3308">
            <v>5612.05</v>
          </cell>
          <cell r="F3308">
            <v>5641.6</v>
          </cell>
        </row>
        <row r="3309">
          <cell r="B3309">
            <v>41361</v>
          </cell>
          <cell r="C3309">
            <v>5647.75</v>
          </cell>
          <cell r="D3309">
            <v>5692.95</v>
          </cell>
          <cell r="E3309">
            <v>5604.85</v>
          </cell>
          <cell r="F3309">
            <v>5682.55</v>
          </cell>
        </row>
        <row r="3310">
          <cell r="B3310">
            <v>41365</v>
          </cell>
          <cell r="C3310">
            <v>5697.35</v>
          </cell>
          <cell r="D3310">
            <v>5720.95</v>
          </cell>
          <cell r="E3310">
            <v>5675.9</v>
          </cell>
          <cell r="F3310">
            <v>5704.4</v>
          </cell>
        </row>
        <row r="3311">
          <cell r="B3311">
            <v>41366</v>
          </cell>
          <cell r="C3311">
            <v>5701.7</v>
          </cell>
          <cell r="D3311">
            <v>5754.6</v>
          </cell>
          <cell r="E3311">
            <v>5687.15</v>
          </cell>
          <cell r="F3311">
            <v>5748.1</v>
          </cell>
        </row>
        <row r="3312">
          <cell r="B3312">
            <v>41367</v>
          </cell>
          <cell r="C3312">
            <v>5740.2</v>
          </cell>
          <cell r="D3312">
            <v>5744.95</v>
          </cell>
          <cell r="E3312">
            <v>5650.1</v>
          </cell>
          <cell r="F3312">
            <v>5672.9</v>
          </cell>
        </row>
        <row r="3313">
          <cell r="B3313">
            <v>41368</v>
          </cell>
          <cell r="C3313">
            <v>5640.65</v>
          </cell>
          <cell r="D3313">
            <v>5644.45</v>
          </cell>
          <cell r="E3313">
            <v>5565.65</v>
          </cell>
          <cell r="F3313">
            <v>5574.75</v>
          </cell>
        </row>
        <row r="3314">
          <cell r="B3314">
            <v>41369</v>
          </cell>
          <cell r="C3314">
            <v>5568.1</v>
          </cell>
          <cell r="D3314">
            <v>5577.3</v>
          </cell>
          <cell r="E3314">
            <v>5534.7</v>
          </cell>
          <cell r="F3314">
            <v>5553.25</v>
          </cell>
        </row>
        <row r="3315">
          <cell r="B3315">
            <v>41372</v>
          </cell>
          <cell r="C3315">
            <v>5550.5</v>
          </cell>
          <cell r="D3315">
            <v>5569.2</v>
          </cell>
          <cell r="E3315">
            <v>5537.05</v>
          </cell>
          <cell r="F3315">
            <v>5542.95</v>
          </cell>
        </row>
        <row r="3316">
          <cell r="B3316">
            <v>41373</v>
          </cell>
          <cell r="C3316">
            <v>5568.75</v>
          </cell>
          <cell r="D3316">
            <v>5603.05</v>
          </cell>
          <cell r="E3316">
            <v>5487</v>
          </cell>
          <cell r="F3316">
            <v>5495.1</v>
          </cell>
        </row>
        <row r="3317">
          <cell r="B3317">
            <v>41374</v>
          </cell>
          <cell r="C3317">
            <v>5536.25</v>
          </cell>
          <cell r="D3317">
            <v>5569.25</v>
          </cell>
          <cell r="E3317">
            <v>5477.2</v>
          </cell>
          <cell r="F3317">
            <v>5558.7</v>
          </cell>
        </row>
        <row r="3318">
          <cell r="B3318">
            <v>41375</v>
          </cell>
          <cell r="C3318">
            <v>5601.65</v>
          </cell>
          <cell r="D3318">
            <v>5610.65</v>
          </cell>
          <cell r="E3318">
            <v>5542.85</v>
          </cell>
          <cell r="F3318">
            <v>5594</v>
          </cell>
        </row>
        <row r="3319">
          <cell r="B3319">
            <v>41376</v>
          </cell>
          <cell r="C3319">
            <v>5520.7</v>
          </cell>
          <cell r="D3319">
            <v>5544.5</v>
          </cell>
          <cell r="E3319">
            <v>5494.9</v>
          </cell>
          <cell r="F3319">
            <v>5528.55</v>
          </cell>
        </row>
        <row r="3320">
          <cell r="B3320">
            <v>41379</v>
          </cell>
          <cell r="C3320">
            <v>5508.5</v>
          </cell>
          <cell r="D3320">
            <v>5592.85</v>
          </cell>
          <cell r="E3320">
            <v>5500.3</v>
          </cell>
          <cell r="F3320">
            <v>5568.4</v>
          </cell>
        </row>
        <row r="3321">
          <cell r="B3321">
            <v>41380</v>
          </cell>
          <cell r="C3321">
            <v>5562.45</v>
          </cell>
          <cell r="D3321">
            <v>5699.25</v>
          </cell>
          <cell r="E3321">
            <v>5555.85</v>
          </cell>
          <cell r="F3321">
            <v>5688.95</v>
          </cell>
        </row>
        <row r="3322">
          <cell r="B3322">
            <v>41381</v>
          </cell>
          <cell r="C3322">
            <v>5708.65</v>
          </cell>
          <cell r="D3322">
            <v>5732.15</v>
          </cell>
          <cell r="E3322">
            <v>5669</v>
          </cell>
          <cell r="F3322">
            <v>5688.7</v>
          </cell>
        </row>
        <row r="3323">
          <cell r="B3323">
            <v>41382</v>
          </cell>
          <cell r="C3323">
            <v>5682.7</v>
          </cell>
          <cell r="D3323">
            <v>5794.35</v>
          </cell>
          <cell r="E3323">
            <v>5681.85</v>
          </cell>
          <cell r="F3323">
            <v>5783.1</v>
          </cell>
        </row>
        <row r="3324">
          <cell r="B3324">
            <v>41386</v>
          </cell>
          <cell r="C3324">
            <v>5789.85</v>
          </cell>
          <cell r="D3324">
            <v>5844.85</v>
          </cell>
          <cell r="E3324">
            <v>5789.8</v>
          </cell>
          <cell r="F3324">
            <v>5834.4</v>
          </cell>
        </row>
        <row r="3325">
          <cell r="B3325">
            <v>41387</v>
          </cell>
          <cell r="C3325">
            <v>5843.1</v>
          </cell>
          <cell r="D3325">
            <v>5844.3</v>
          </cell>
          <cell r="E3325">
            <v>5791.55</v>
          </cell>
          <cell r="F3325">
            <v>5836.9</v>
          </cell>
        </row>
        <row r="3326">
          <cell r="B3326">
            <v>41389</v>
          </cell>
          <cell r="C3326">
            <v>5856.1</v>
          </cell>
          <cell r="D3326">
            <v>5924.6</v>
          </cell>
          <cell r="E3326">
            <v>5853.3</v>
          </cell>
          <cell r="F3326">
            <v>5916.3</v>
          </cell>
        </row>
        <row r="3327">
          <cell r="B3327">
            <v>41390</v>
          </cell>
          <cell r="C3327">
            <v>5899.75</v>
          </cell>
          <cell r="D3327">
            <v>5907.05</v>
          </cell>
          <cell r="E3327">
            <v>5860.5</v>
          </cell>
          <cell r="F3327">
            <v>5871.45</v>
          </cell>
        </row>
        <row r="3328">
          <cell r="B3328">
            <v>41393</v>
          </cell>
          <cell r="C3328">
            <v>5877.6</v>
          </cell>
          <cell r="D3328">
            <v>5918.65</v>
          </cell>
          <cell r="E3328">
            <v>5868.8</v>
          </cell>
          <cell r="F3328">
            <v>5904.1</v>
          </cell>
        </row>
        <row r="3329">
          <cell r="B3329">
            <v>41394</v>
          </cell>
          <cell r="C3329">
            <v>5932.6</v>
          </cell>
          <cell r="D3329">
            <v>5962.3</v>
          </cell>
          <cell r="E3329">
            <v>5867.8</v>
          </cell>
          <cell r="F3329">
            <v>5930.2</v>
          </cell>
        </row>
        <row r="3330">
          <cell r="B3330">
            <v>41396</v>
          </cell>
          <cell r="C3330">
            <v>5911.4</v>
          </cell>
          <cell r="D3330">
            <v>6019.45</v>
          </cell>
          <cell r="E3330">
            <v>5910.95</v>
          </cell>
          <cell r="F3330">
            <v>5999.35</v>
          </cell>
        </row>
        <row r="3331">
          <cell r="B3331">
            <v>41397</v>
          </cell>
          <cell r="C3331">
            <v>5993.5</v>
          </cell>
          <cell r="D3331">
            <v>6000.3</v>
          </cell>
          <cell r="E3331">
            <v>5930.15</v>
          </cell>
          <cell r="F3331">
            <v>5944</v>
          </cell>
        </row>
        <row r="3332">
          <cell r="B3332">
            <v>41400</v>
          </cell>
          <cell r="C3332">
            <v>5944.9</v>
          </cell>
          <cell r="D3332">
            <v>5976.5</v>
          </cell>
          <cell r="E3332">
            <v>5928.45</v>
          </cell>
          <cell r="F3332">
            <v>5971.05</v>
          </cell>
        </row>
        <row r="3333">
          <cell r="B3333">
            <v>41401</v>
          </cell>
          <cell r="C3333">
            <v>5983.45</v>
          </cell>
          <cell r="D3333">
            <v>6050.5</v>
          </cell>
          <cell r="E3333">
            <v>5982.95</v>
          </cell>
          <cell r="F3333">
            <v>6043.55</v>
          </cell>
        </row>
        <row r="3334">
          <cell r="B3334">
            <v>41402</v>
          </cell>
          <cell r="C3334">
            <v>6064.15</v>
          </cell>
          <cell r="D3334">
            <v>6083.55</v>
          </cell>
          <cell r="E3334">
            <v>6024.95</v>
          </cell>
          <cell r="F3334">
            <v>6069.3</v>
          </cell>
        </row>
        <row r="3335">
          <cell r="B3335">
            <v>41403</v>
          </cell>
          <cell r="C3335">
            <v>6078.35</v>
          </cell>
          <cell r="D3335">
            <v>6084.7</v>
          </cell>
          <cell r="E3335">
            <v>6040.45</v>
          </cell>
          <cell r="F3335">
            <v>6050.15</v>
          </cell>
        </row>
        <row r="3336">
          <cell r="B3336">
            <v>41404</v>
          </cell>
          <cell r="C3336">
            <v>6046.25</v>
          </cell>
          <cell r="D3336">
            <v>6105.3</v>
          </cell>
          <cell r="E3336">
            <v>6045.6</v>
          </cell>
          <cell r="F3336">
            <v>6094.75</v>
          </cell>
        </row>
        <row r="3337">
          <cell r="B3337">
            <v>41405</v>
          </cell>
          <cell r="C3337">
            <v>6088.2</v>
          </cell>
          <cell r="D3337">
            <v>6114.55</v>
          </cell>
          <cell r="E3337">
            <v>6084.15</v>
          </cell>
          <cell r="F3337">
            <v>6107.25</v>
          </cell>
        </row>
        <row r="3338">
          <cell r="B3338">
            <v>41407</v>
          </cell>
          <cell r="C3338">
            <v>6098.2</v>
          </cell>
          <cell r="D3338">
            <v>6104.95</v>
          </cell>
          <cell r="E3338">
            <v>5972.9</v>
          </cell>
          <cell r="F3338">
            <v>5980.45</v>
          </cell>
        </row>
        <row r="3339">
          <cell r="B3339">
            <v>41408</v>
          </cell>
          <cell r="C3339">
            <v>5989.7</v>
          </cell>
          <cell r="D3339">
            <v>6026.2</v>
          </cell>
          <cell r="E3339">
            <v>5970.05</v>
          </cell>
          <cell r="F3339">
            <v>5995.4</v>
          </cell>
        </row>
        <row r="3340">
          <cell r="B3340">
            <v>41409</v>
          </cell>
          <cell r="C3340">
            <v>6018.85</v>
          </cell>
          <cell r="D3340">
            <v>6157.1</v>
          </cell>
          <cell r="E3340">
            <v>6018.85</v>
          </cell>
          <cell r="F3340">
            <v>6146.75</v>
          </cell>
        </row>
        <row r="3341">
          <cell r="B3341">
            <v>41410</v>
          </cell>
          <cell r="C3341">
            <v>6128.25</v>
          </cell>
          <cell r="D3341">
            <v>6187.3</v>
          </cell>
          <cell r="E3341">
            <v>6128.25</v>
          </cell>
          <cell r="F3341">
            <v>6169.9</v>
          </cell>
        </row>
        <row r="3342">
          <cell r="B3342">
            <v>41411</v>
          </cell>
          <cell r="C3342">
            <v>6172.95</v>
          </cell>
          <cell r="D3342">
            <v>6199.95</v>
          </cell>
          <cell r="E3342">
            <v>6146.15</v>
          </cell>
          <cell r="F3342">
            <v>6187.3</v>
          </cell>
        </row>
        <row r="3343">
          <cell r="B3343">
            <v>41414</v>
          </cell>
          <cell r="C3343">
            <v>6198</v>
          </cell>
          <cell r="D3343">
            <v>6229.45</v>
          </cell>
          <cell r="E3343">
            <v>6146.05</v>
          </cell>
          <cell r="F3343">
            <v>6156.9</v>
          </cell>
        </row>
        <row r="3344">
          <cell r="B3344">
            <v>41415</v>
          </cell>
          <cell r="C3344">
            <v>6152.35</v>
          </cell>
          <cell r="D3344">
            <v>6180.25</v>
          </cell>
          <cell r="E3344">
            <v>6102.35</v>
          </cell>
          <cell r="F3344">
            <v>6114.1</v>
          </cell>
        </row>
        <row r="3345">
          <cell r="B3345">
            <v>41416</v>
          </cell>
          <cell r="C3345">
            <v>6127.05</v>
          </cell>
          <cell r="D3345">
            <v>6147.6</v>
          </cell>
          <cell r="E3345">
            <v>6074.45</v>
          </cell>
          <cell r="F3345">
            <v>6094.5</v>
          </cell>
        </row>
        <row r="3346">
          <cell r="B3346">
            <v>41417</v>
          </cell>
          <cell r="C3346">
            <v>6050.4</v>
          </cell>
          <cell r="D3346">
            <v>6081.45</v>
          </cell>
          <cell r="E3346">
            <v>5955.7</v>
          </cell>
          <cell r="F3346">
            <v>5967.05</v>
          </cell>
        </row>
        <row r="3347">
          <cell r="B3347">
            <v>41418</v>
          </cell>
          <cell r="C3347">
            <v>6010.7</v>
          </cell>
          <cell r="D3347">
            <v>6015.3</v>
          </cell>
          <cell r="E3347">
            <v>5936.8</v>
          </cell>
          <cell r="F3347">
            <v>5983.55</v>
          </cell>
        </row>
        <row r="3348">
          <cell r="B3348">
            <v>41421</v>
          </cell>
          <cell r="C3348">
            <v>5989.4</v>
          </cell>
          <cell r="D3348">
            <v>6099.9</v>
          </cell>
          <cell r="E3348">
            <v>5975.55</v>
          </cell>
          <cell r="F3348">
            <v>6083.15</v>
          </cell>
        </row>
        <row r="3349">
          <cell r="B3349">
            <v>41422</v>
          </cell>
          <cell r="C3349">
            <v>6086.35</v>
          </cell>
          <cell r="D3349">
            <v>6127.65</v>
          </cell>
          <cell r="E3349">
            <v>6055.4</v>
          </cell>
          <cell r="F3349">
            <v>6111.25</v>
          </cell>
        </row>
        <row r="3350">
          <cell r="B3350">
            <v>41423</v>
          </cell>
          <cell r="C3350">
            <v>6120.45</v>
          </cell>
          <cell r="D3350">
            <v>6125.05</v>
          </cell>
          <cell r="E3350">
            <v>6069.8</v>
          </cell>
          <cell r="F3350">
            <v>6104.3</v>
          </cell>
        </row>
        <row r="3351">
          <cell r="B3351">
            <v>41424</v>
          </cell>
          <cell r="C3351">
            <v>6072.15</v>
          </cell>
          <cell r="D3351">
            <v>6133.75</v>
          </cell>
          <cell r="E3351">
            <v>6072.15</v>
          </cell>
          <cell r="F3351">
            <v>6124.05</v>
          </cell>
        </row>
        <row r="3352">
          <cell r="B3352">
            <v>41425</v>
          </cell>
          <cell r="C3352">
            <v>6098.7</v>
          </cell>
          <cell r="D3352">
            <v>6106.25</v>
          </cell>
          <cell r="E3352">
            <v>5975.55</v>
          </cell>
          <cell r="F3352">
            <v>5985.95</v>
          </cell>
        </row>
        <row r="3353">
          <cell r="B3353">
            <v>41428</v>
          </cell>
          <cell r="C3353">
            <v>5997.35</v>
          </cell>
          <cell r="D3353">
            <v>6011</v>
          </cell>
          <cell r="E3353">
            <v>5916.35</v>
          </cell>
          <cell r="F3353">
            <v>5939.3</v>
          </cell>
        </row>
        <row r="3354">
          <cell r="B3354">
            <v>41429</v>
          </cell>
          <cell r="C3354">
            <v>5941.1</v>
          </cell>
          <cell r="D3354">
            <v>5981.6</v>
          </cell>
          <cell r="E3354">
            <v>5910.25</v>
          </cell>
          <cell r="F3354">
            <v>5919.45</v>
          </cell>
        </row>
        <row r="3355">
          <cell r="B3355">
            <v>41430</v>
          </cell>
          <cell r="C3355">
            <v>5908.3</v>
          </cell>
          <cell r="D3355">
            <v>5935.2</v>
          </cell>
          <cell r="E3355">
            <v>5883.7</v>
          </cell>
          <cell r="F3355">
            <v>5923.85</v>
          </cell>
        </row>
        <row r="3356">
          <cell r="B3356">
            <v>41431</v>
          </cell>
          <cell r="C3356">
            <v>5895</v>
          </cell>
          <cell r="D3356">
            <v>5956.55</v>
          </cell>
          <cell r="E3356">
            <v>5869.5</v>
          </cell>
          <cell r="F3356">
            <v>5921.4</v>
          </cell>
        </row>
        <row r="3357">
          <cell r="B3357">
            <v>41432</v>
          </cell>
          <cell r="C3357">
            <v>5900.05</v>
          </cell>
          <cell r="D3357">
            <v>5972.7</v>
          </cell>
          <cell r="E3357">
            <v>5871.3</v>
          </cell>
          <cell r="F3357">
            <v>5881</v>
          </cell>
        </row>
        <row r="3358">
          <cell r="B3358">
            <v>41435</v>
          </cell>
          <cell r="C3358">
            <v>5907.9</v>
          </cell>
          <cell r="D3358">
            <v>5931.65</v>
          </cell>
          <cell r="E3358">
            <v>5857.4</v>
          </cell>
          <cell r="F3358">
            <v>5878</v>
          </cell>
        </row>
        <row r="3359">
          <cell r="B3359">
            <v>41436</v>
          </cell>
          <cell r="C3359">
            <v>5848.75</v>
          </cell>
          <cell r="D3359">
            <v>5868.05</v>
          </cell>
          <cell r="E3359">
            <v>5780.35</v>
          </cell>
          <cell r="F3359">
            <v>5788.8</v>
          </cell>
        </row>
        <row r="3360">
          <cell r="B3360">
            <v>41437</v>
          </cell>
          <cell r="C3360">
            <v>5771.75</v>
          </cell>
          <cell r="D3360">
            <v>5792.9</v>
          </cell>
          <cell r="E3360">
            <v>5738.6</v>
          </cell>
          <cell r="F3360">
            <v>5760.2</v>
          </cell>
        </row>
        <row r="3361">
          <cell r="B3361">
            <v>41438</v>
          </cell>
          <cell r="C3361">
            <v>5709.35</v>
          </cell>
          <cell r="D3361">
            <v>5729.85</v>
          </cell>
          <cell r="E3361">
            <v>5683.1</v>
          </cell>
          <cell r="F3361">
            <v>5699.1</v>
          </cell>
        </row>
        <row r="3362">
          <cell r="B3362">
            <v>41439</v>
          </cell>
          <cell r="C3362">
            <v>5748.95</v>
          </cell>
          <cell r="D3362">
            <v>5819.4</v>
          </cell>
          <cell r="E3362">
            <v>5739.4</v>
          </cell>
          <cell r="F3362">
            <v>5808.4</v>
          </cell>
        </row>
        <row r="3363">
          <cell r="B3363">
            <v>41442</v>
          </cell>
          <cell r="C3363">
            <v>5820.4</v>
          </cell>
          <cell r="D3363">
            <v>5854.9</v>
          </cell>
          <cell r="E3363">
            <v>5770.25</v>
          </cell>
          <cell r="F3363">
            <v>5850.05</v>
          </cell>
        </row>
        <row r="3364">
          <cell r="B3364">
            <v>41443</v>
          </cell>
          <cell r="C3364">
            <v>5841.9</v>
          </cell>
          <cell r="D3364">
            <v>5863.4</v>
          </cell>
          <cell r="E3364">
            <v>5804.3</v>
          </cell>
          <cell r="F3364">
            <v>5813.6</v>
          </cell>
        </row>
        <row r="3365">
          <cell r="B3365">
            <v>41444</v>
          </cell>
          <cell r="C3365">
            <v>5805.75</v>
          </cell>
          <cell r="D3365">
            <v>5828.4</v>
          </cell>
          <cell r="E3365">
            <v>5777.9</v>
          </cell>
          <cell r="F3365">
            <v>5822.25</v>
          </cell>
        </row>
        <row r="3366">
          <cell r="B3366">
            <v>41445</v>
          </cell>
          <cell r="C3366">
            <v>5754.15</v>
          </cell>
          <cell r="D3366">
            <v>5755</v>
          </cell>
          <cell r="E3366">
            <v>5645.65</v>
          </cell>
          <cell r="F3366">
            <v>5655.9</v>
          </cell>
        </row>
        <row r="3367">
          <cell r="B3367">
            <v>41446</v>
          </cell>
          <cell r="C3367">
            <v>5639.9</v>
          </cell>
          <cell r="D3367">
            <v>5686.15</v>
          </cell>
          <cell r="E3367">
            <v>5616.85</v>
          </cell>
          <cell r="F3367">
            <v>5667.65</v>
          </cell>
        </row>
        <row r="3368">
          <cell r="B3368">
            <v>41449</v>
          </cell>
          <cell r="C3368">
            <v>5638.05</v>
          </cell>
          <cell r="D3368">
            <v>5640</v>
          </cell>
          <cell r="E3368">
            <v>5566.25</v>
          </cell>
          <cell r="F3368">
            <v>5590.25</v>
          </cell>
        </row>
        <row r="3369">
          <cell r="B3369">
            <v>41450</v>
          </cell>
          <cell r="C3369">
            <v>5606.95</v>
          </cell>
          <cell r="D3369">
            <v>5666.25</v>
          </cell>
          <cell r="E3369">
            <v>5570.25</v>
          </cell>
          <cell r="F3369">
            <v>5609.1</v>
          </cell>
        </row>
        <row r="3370">
          <cell r="B3370">
            <v>41451</v>
          </cell>
          <cell r="C3370">
            <v>5627.95</v>
          </cell>
          <cell r="D3370">
            <v>5635.25</v>
          </cell>
          <cell r="E3370">
            <v>5579.35</v>
          </cell>
          <cell r="F3370">
            <v>5588.7</v>
          </cell>
        </row>
        <row r="3371">
          <cell r="B3371">
            <v>41452</v>
          </cell>
          <cell r="C3371">
            <v>5647.95</v>
          </cell>
          <cell r="D3371">
            <v>5699.35</v>
          </cell>
          <cell r="E3371">
            <v>5630.95</v>
          </cell>
          <cell r="F3371">
            <v>5682.35</v>
          </cell>
        </row>
        <row r="3372">
          <cell r="B3372">
            <v>41453</v>
          </cell>
          <cell r="C3372">
            <v>5749.5</v>
          </cell>
          <cell r="D3372">
            <v>5852.95</v>
          </cell>
          <cell r="E3372">
            <v>5749.5</v>
          </cell>
          <cell r="F3372">
            <v>5842.2</v>
          </cell>
        </row>
        <row r="3373">
          <cell r="B3373">
            <v>41456</v>
          </cell>
          <cell r="C3373">
            <v>5834.1</v>
          </cell>
          <cell r="D3373">
            <v>5904.35</v>
          </cell>
          <cell r="E3373">
            <v>5822.2</v>
          </cell>
          <cell r="F3373">
            <v>5898.85</v>
          </cell>
        </row>
        <row r="3374">
          <cell r="B3374">
            <v>41457</v>
          </cell>
          <cell r="C3374">
            <v>5885.5</v>
          </cell>
          <cell r="D3374">
            <v>5898.8</v>
          </cell>
          <cell r="E3374">
            <v>5852.3</v>
          </cell>
          <cell r="F3374">
            <v>5857.55</v>
          </cell>
        </row>
        <row r="3375">
          <cell r="B3375">
            <v>41458</v>
          </cell>
          <cell r="C3375">
            <v>5811.95</v>
          </cell>
          <cell r="D3375">
            <v>5815</v>
          </cell>
          <cell r="E3375">
            <v>5760.4</v>
          </cell>
          <cell r="F3375">
            <v>5770.9</v>
          </cell>
        </row>
        <row r="3376">
          <cell r="B3376">
            <v>41459</v>
          </cell>
          <cell r="C3376">
            <v>5794.75</v>
          </cell>
          <cell r="D3376">
            <v>5848.2</v>
          </cell>
          <cell r="E3376">
            <v>5786.05</v>
          </cell>
          <cell r="F3376">
            <v>5836.95</v>
          </cell>
        </row>
        <row r="3377">
          <cell r="B3377">
            <v>41460</v>
          </cell>
          <cell r="C3377">
            <v>5889.95</v>
          </cell>
          <cell r="D3377">
            <v>5900.45</v>
          </cell>
          <cell r="E3377">
            <v>5858.45</v>
          </cell>
          <cell r="F3377">
            <v>5867.9</v>
          </cell>
        </row>
        <row r="3378">
          <cell r="B3378">
            <v>41463</v>
          </cell>
          <cell r="C3378">
            <v>5833.15</v>
          </cell>
          <cell r="D3378">
            <v>5833.85</v>
          </cell>
          <cell r="E3378">
            <v>5775.55</v>
          </cell>
          <cell r="F3378">
            <v>5811.55</v>
          </cell>
        </row>
        <row r="3379">
          <cell r="B3379">
            <v>41464</v>
          </cell>
          <cell r="C3379">
            <v>5834.6</v>
          </cell>
          <cell r="D3379">
            <v>5864.95</v>
          </cell>
          <cell r="E3379">
            <v>5834.6</v>
          </cell>
          <cell r="F3379">
            <v>5859</v>
          </cell>
        </row>
        <row r="3380">
          <cell r="B3380">
            <v>41465</v>
          </cell>
          <cell r="C3380">
            <v>5869.9</v>
          </cell>
          <cell r="D3380">
            <v>5879.35</v>
          </cell>
          <cell r="E3380">
            <v>5802.85</v>
          </cell>
          <cell r="F3380">
            <v>5816.7</v>
          </cell>
        </row>
        <row r="3381">
          <cell r="B3381">
            <v>41466</v>
          </cell>
          <cell r="C3381">
            <v>5894.5</v>
          </cell>
          <cell r="D3381">
            <v>5948.85</v>
          </cell>
          <cell r="E3381">
            <v>5887.95</v>
          </cell>
          <cell r="F3381">
            <v>5935.1</v>
          </cell>
        </row>
        <row r="3382">
          <cell r="B3382">
            <v>41467</v>
          </cell>
          <cell r="C3382">
            <v>6000.5</v>
          </cell>
          <cell r="D3382">
            <v>6019</v>
          </cell>
          <cell r="E3382">
            <v>5951.15</v>
          </cell>
          <cell r="F3382">
            <v>6009</v>
          </cell>
        </row>
        <row r="3383">
          <cell r="B3383">
            <v>41470</v>
          </cell>
          <cell r="C3383">
            <v>5991.2</v>
          </cell>
          <cell r="D3383">
            <v>6038.2</v>
          </cell>
          <cell r="E3383">
            <v>5980.95</v>
          </cell>
          <cell r="F3383">
            <v>6030.8</v>
          </cell>
        </row>
        <row r="3384">
          <cell r="B3384">
            <v>41471</v>
          </cell>
          <cell r="C3384">
            <v>5930.8</v>
          </cell>
          <cell r="D3384">
            <v>5966.05</v>
          </cell>
          <cell r="E3384">
            <v>5910.95</v>
          </cell>
          <cell r="F3384">
            <v>5955.25</v>
          </cell>
        </row>
        <row r="3385">
          <cell r="B3385">
            <v>41472</v>
          </cell>
          <cell r="C3385">
            <v>5972.25</v>
          </cell>
          <cell r="D3385">
            <v>5989.8</v>
          </cell>
          <cell r="E3385">
            <v>5926.75</v>
          </cell>
          <cell r="F3385">
            <v>5973.3</v>
          </cell>
        </row>
        <row r="3386">
          <cell r="B3386">
            <v>41473</v>
          </cell>
          <cell r="C3386">
            <v>5984.7</v>
          </cell>
          <cell r="D3386">
            <v>6051.1</v>
          </cell>
          <cell r="E3386">
            <v>5974.55</v>
          </cell>
          <cell r="F3386">
            <v>6038.05</v>
          </cell>
        </row>
        <row r="3387">
          <cell r="B3387">
            <v>41474</v>
          </cell>
          <cell r="C3387">
            <v>6057.2</v>
          </cell>
          <cell r="D3387">
            <v>6066.85</v>
          </cell>
          <cell r="E3387">
            <v>6020.25</v>
          </cell>
          <cell r="F3387">
            <v>6029.2</v>
          </cell>
        </row>
        <row r="3388">
          <cell r="B3388">
            <v>41477</v>
          </cell>
          <cell r="C3388">
            <v>6009.75</v>
          </cell>
          <cell r="D3388">
            <v>6064.15</v>
          </cell>
          <cell r="E3388">
            <v>6004.25</v>
          </cell>
          <cell r="F3388">
            <v>6031.8</v>
          </cell>
        </row>
        <row r="3389">
          <cell r="B3389">
            <v>41478</v>
          </cell>
          <cell r="C3389">
            <v>6064.3</v>
          </cell>
          <cell r="D3389">
            <v>6093.35</v>
          </cell>
          <cell r="E3389">
            <v>6061.3</v>
          </cell>
          <cell r="F3389">
            <v>6077.8</v>
          </cell>
        </row>
        <row r="3390">
          <cell r="B3390">
            <v>41479</v>
          </cell>
          <cell r="C3390">
            <v>6032.2</v>
          </cell>
          <cell r="D3390">
            <v>6047.25</v>
          </cell>
          <cell r="E3390">
            <v>5962.6</v>
          </cell>
          <cell r="F3390">
            <v>5990.5</v>
          </cell>
        </row>
        <row r="3391">
          <cell r="B3391">
            <v>41480</v>
          </cell>
          <cell r="C3391">
            <v>5970.4</v>
          </cell>
          <cell r="D3391">
            <v>5990.65</v>
          </cell>
          <cell r="E3391">
            <v>5896.4</v>
          </cell>
          <cell r="F3391">
            <v>5907.5</v>
          </cell>
        </row>
        <row r="3392">
          <cell r="B3392">
            <v>41481</v>
          </cell>
          <cell r="C3392">
            <v>5937.95</v>
          </cell>
          <cell r="D3392">
            <v>5944.5</v>
          </cell>
          <cell r="E3392">
            <v>5869.5</v>
          </cell>
          <cell r="F3392">
            <v>5886.2</v>
          </cell>
        </row>
        <row r="3393">
          <cell r="B3393">
            <v>41484</v>
          </cell>
          <cell r="C3393">
            <v>5869.95</v>
          </cell>
          <cell r="D3393">
            <v>5886</v>
          </cell>
          <cell r="E3393">
            <v>5825.8</v>
          </cell>
          <cell r="F3393">
            <v>5831.65</v>
          </cell>
        </row>
        <row r="3394">
          <cell r="B3394">
            <v>41485</v>
          </cell>
          <cell r="C3394">
            <v>5836.05</v>
          </cell>
          <cell r="D3394">
            <v>5861.3</v>
          </cell>
          <cell r="E3394">
            <v>5747.6</v>
          </cell>
          <cell r="F3394">
            <v>5755.05</v>
          </cell>
        </row>
        <row r="3395">
          <cell r="B3395">
            <v>41486</v>
          </cell>
          <cell r="C3395">
            <v>5738.35</v>
          </cell>
          <cell r="D3395">
            <v>5752.1</v>
          </cell>
          <cell r="E3395">
            <v>5675.75</v>
          </cell>
          <cell r="F3395">
            <v>5742</v>
          </cell>
        </row>
        <row r="3396">
          <cell r="B3396">
            <v>41487</v>
          </cell>
          <cell r="C3396">
            <v>5776.9</v>
          </cell>
          <cell r="D3396">
            <v>5808.5</v>
          </cell>
          <cell r="E3396">
            <v>5676.85</v>
          </cell>
          <cell r="F3396">
            <v>5727.85</v>
          </cell>
        </row>
        <row r="3397">
          <cell r="B3397">
            <v>41488</v>
          </cell>
          <cell r="C3397">
            <v>5750.05</v>
          </cell>
          <cell r="D3397">
            <v>5761.85</v>
          </cell>
          <cell r="E3397">
            <v>5649</v>
          </cell>
          <cell r="F3397">
            <v>5677.9</v>
          </cell>
        </row>
        <row r="3398">
          <cell r="B3398">
            <v>41491</v>
          </cell>
          <cell r="C3398">
            <v>5682.4</v>
          </cell>
          <cell r="D3398">
            <v>5721</v>
          </cell>
          <cell r="E3398">
            <v>5661.5</v>
          </cell>
          <cell r="F3398">
            <v>5685.4</v>
          </cell>
        </row>
        <row r="3399">
          <cell r="B3399">
            <v>41492</v>
          </cell>
          <cell r="C3399">
            <v>5664.9</v>
          </cell>
          <cell r="D3399">
            <v>5664.9</v>
          </cell>
          <cell r="E3399">
            <v>5521.8</v>
          </cell>
          <cell r="F3399">
            <v>5542.25</v>
          </cell>
        </row>
        <row r="3400">
          <cell r="B3400">
            <v>41493</v>
          </cell>
          <cell r="C3400">
            <v>5549.3</v>
          </cell>
          <cell r="D3400">
            <v>5561.45</v>
          </cell>
          <cell r="E3400">
            <v>5486.85</v>
          </cell>
          <cell r="F3400">
            <v>5519.1</v>
          </cell>
        </row>
        <row r="3401">
          <cell r="B3401">
            <v>41494</v>
          </cell>
          <cell r="C3401">
            <v>5510.05</v>
          </cell>
          <cell r="D3401">
            <v>5577.6</v>
          </cell>
          <cell r="E3401">
            <v>5510.05</v>
          </cell>
          <cell r="F3401">
            <v>5565.65</v>
          </cell>
        </row>
        <row r="3402">
          <cell r="B3402">
            <v>41498</v>
          </cell>
          <cell r="C3402">
            <v>5606.7</v>
          </cell>
          <cell r="D3402">
            <v>5644.1</v>
          </cell>
          <cell r="E3402">
            <v>5557.1</v>
          </cell>
          <cell r="F3402">
            <v>5612.4</v>
          </cell>
        </row>
        <row r="3403">
          <cell r="B3403">
            <v>41499</v>
          </cell>
          <cell r="C3403">
            <v>5600.25</v>
          </cell>
          <cell r="D3403">
            <v>5704.75</v>
          </cell>
          <cell r="E3403">
            <v>5578.9</v>
          </cell>
          <cell r="F3403">
            <v>5699.3</v>
          </cell>
        </row>
        <row r="3404">
          <cell r="B3404">
            <v>41500</v>
          </cell>
          <cell r="C3404">
            <v>5715.4</v>
          </cell>
          <cell r="D3404">
            <v>5754.55</v>
          </cell>
          <cell r="E3404">
            <v>5690.2</v>
          </cell>
          <cell r="F3404">
            <v>5742.3</v>
          </cell>
        </row>
        <row r="3405">
          <cell r="B3405">
            <v>41502</v>
          </cell>
          <cell r="C3405">
            <v>5705.45</v>
          </cell>
          <cell r="D3405">
            <v>5716.6</v>
          </cell>
          <cell r="E3405">
            <v>5496.05</v>
          </cell>
          <cell r="F3405">
            <v>5507.85</v>
          </cell>
        </row>
        <row r="3406">
          <cell r="B3406">
            <v>41505</v>
          </cell>
          <cell r="C3406">
            <v>5497.55</v>
          </cell>
          <cell r="D3406">
            <v>5499.65</v>
          </cell>
          <cell r="E3406">
            <v>5360.65</v>
          </cell>
          <cell r="F3406">
            <v>5414.75</v>
          </cell>
        </row>
        <row r="3407">
          <cell r="B3407">
            <v>41506</v>
          </cell>
          <cell r="C3407">
            <v>5353.45</v>
          </cell>
          <cell r="D3407">
            <v>5417.8</v>
          </cell>
          <cell r="E3407">
            <v>5306.35</v>
          </cell>
          <cell r="F3407">
            <v>5401.45</v>
          </cell>
        </row>
        <row r="3408">
          <cell r="B3408">
            <v>41507</v>
          </cell>
          <cell r="C3408">
            <v>5494.45</v>
          </cell>
          <cell r="D3408">
            <v>5504.1</v>
          </cell>
          <cell r="E3408">
            <v>5268.45</v>
          </cell>
          <cell r="F3408">
            <v>5302.55</v>
          </cell>
        </row>
        <row r="3409">
          <cell r="B3409">
            <v>41508</v>
          </cell>
          <cell r="C3409">
            <v>5282.8</v>
          </cell>
          <cell r="D3409">
            <v>5418.95</v>
          </cell>
          <cell r="E3409">
            <v>5254.05</v>
          </cell>
          <cell r="F3409">
            <v>5408.45</v>
          </cell>
        </row>
        <row r="3410">
          <cell r="B3410">
            <v>41509</v>
          </cell>
          <cell r="C3410">
            <v>5428.75</v>
          </cell>
          <cell r="D3410">
            <v>5478.8</v>
          </cell>
          <cell r="E3410">
            <v>5377.8</v>
          </cell>
          <cell r="F3410">
            <v>5471.75</v>
          </cell>
        </row>
        <row r="3411">
          <cell r="B3411">
            <v>41512</v>
          </cell>
          <cell r="C3411">
            <v>5499.4</v>
          </cell>
          <cell r="D3411">
            <v>5528.7</v>
          </cell>
          <cell r="E3411">
            <v>5454.45</v>
          </cell>
          <cell r="F3411">
            <v>5476.5</v>
          </cell>
        </row>
        <row r="3412">
          <cell r="B3412">
            <v>41513</v>
          </cell>
          <cell r="C3412">
            <v>5426.5</v>
          </cell>
          <cell r="D3412">
            <v>5427.4</v>
          </cell>
          <cell r="E3412">
            <v>5274.25</v>
          </cell>
          <cell r="F3412">
            <v>5287.45</v>
          </cell>
        </row>
        <row r="3413">
          <cell r="B3413">
            <v>41514</v>
          </cell>
          <cell r="C3413">
            <v>5233.45</v>
          </cell>
          <cell r="D3413">
            <v>5317.7</v>
          </cell>
          <cell r="E3413">
            <v>5118.8500000000004</v>
          </cell>
          <cell r="F3413">
            <v>5285</v>
          </cell>
        </row>
        <row r="3414">
          <cell r="B3414">
            <v>41515</v>
          </cell>
          <cell r="C3414">
            <v>5316.5</v>
          </cell>
          <cell r="D3414">
            <v>5428.9</v>
          </cell>
          <cell r="E3414">
            <v>5303</v>
          </cell>
          <cell r="F3414">
            <v>5409.05</v>
          </cell>
        </row>
        <row r="3415">
          <cell r="B3415">
            <v>41516</v>
          </cell>
          <cell r="C3415">
            <v>5407.45</v>
          </cell>
          <cell r="D3415">
            <v>5493.3</v>
          </cell>
          <cell r="E3415">
            <v>5360.2</v>
          </cell>
          <cell r="F3415">
            <v>5471.8</v>
          </cell>
        </row>
        <row r="3416">
          <cell r="B3416">
            <v>41519</v>
          </cell>
          <cell r="C3416">
            <v>5480.25</v>
          </cell>
          <cell r="D3416">
            <v>5564.9</v>
          </cell>
          <cell r="E3416">
            <v>5478.85</v>
          </cell>
          <cell r="F3416">
            <v>5550.75</v>
          </cell>
        </row>
        <row r="3417">
          <cell r="B3417">
            <v>41520</v>
          </cell>
          <cell r="C3417">
            <v>5574.7</v>
          </cell>
          <cell r="D3417">
            <v>5580.95</v>
          </cell>
          <cell r="E3417">
            <v>5323.75</v>
          </cell>
          <cell r="F3417">
            <v>5341.45</v>
          </cell>
        </row>
        <row r="3418">
          <cell r="B3418">
            <v>41521</v>
          </cell>
          <cell r="C3418">
            <v>5358.65</v>
          </cell>
          <cell r="D3418">
            <v>5460.25</v>
          </cell>
          <cell r="E3418">
            <v>5318.9</v>
          </cell>
          <cell r="F3418">
            <v>5448.1</v>
          </cell>
        </row>
        <row r="3419">
          <cell r="B3419">
            <v>41522</v>
          </cell>
          <cell r="C3419">
            <v>5553.75</v>
          </cell>
          <cell r="D3419">
            <v>5625.75</v>
          </cell>
          <cell r="E3419">
            <v>5552.7</v>
          </cell>
          <cell r="F3419">
            <v>5592.95</v>
          </cell>
        </row>
        <row r="3420">
          <cell r="B3420">
            <v>41523</v>
          </cell>
          <cell r="C3420">
            <v>5617.45</v>
          </cell>
          <cell r="D3420">
            <v>5688.6</v>
          </cell>
          <cell r="E3420">
            <v>5566.15</v>
          </cell>
          <cell r="F3420">
            <v>5680.4</v>
          </cell>
        </row>
        <row r="3421">
          <cell r="B3421">
            <v>41527</v>
          </cell>
          <cell r="C3421">
            <v>5738.5</v>
          </cell>
          <cell r="D3421">
            <v>5904.85</v>
          </cell>
          <cell r="E3421">
            <v>5738.2</v>
          </cell>
          <cell r="F3421">
            <v>5896.75</v>
          </cell>
        </row>
        <row r="3422">
          <cell r="B3422">
            <v>41528</v>
          </cell>
          <cell r="C3422">
            <v>5887.25</v>
          </cell>
          <cell r="D3422">
            <v>5924.35</v>
          </cell>
          <cell r="E3422">
            <v>5832.7</v>
          </cell>
          <cell r="F3422">
            <v>5913.15</v>
          </cell>
        </row>
        <row r="3423">
          <cell r="B3423">
            <v>41529</v>
          </cell>
          <cell r="C3423">
            <v>5931.15</v>
          </cell>
          <cell r="D3423">
            <v>5932</v>
          </cell>
          <cell r="E3423">
            <v>5815.8</v>
          </cell>
          <cell r="F3423">
            <v>5850.7</v>
          </cell>
        </row>
        <row r="3424">
          <cell r="B3424">
            <v>41530</v>
          </cell>
          <cell r="C3424">
            <v>5828</v>
          </cell>
          <cell r="D3424">
            <v>5884.3</v>
          </cell>
          <cell r="E3424">
            <v>5822.9</v>
          </cell>
          <cell r="F3424">
            <v>5850.6</v>
          </cell>
        </row>
        <row r="3425">
          <cell r="B3425">
            <v>41533</v>
          </cell>
          <cell r="C3425">
            <v>5930.3</v>
          </cell>
          <cell r="D3425">
            <v>5957.25</v>
          </cell>
          <cell r="E3425">
            <v>5798.15</v>
          </cell>
          <cell r="F3425">
            <v>5840.55</v>
          </cell>
        </row>
        <row r="3426">
          <cell r="B3426">
            <v>41534</v>
          </cell>
          <cell r="C3426">
            <v>5824.2</v>
          </cell>
          <cell r="D3426">
            <v>5857.8</v>
          </cell>
          <cell r="E3426">
            <v>5804.9</v>
          </cell>
          <cell r="F3426">
            <v>5850.2</v>
          </cell>
        </row>
        <row r="3427">
          <cell r="B3427">
            <v>41535</v>
          </cell>
          <cell r="C3427">
            <v>5872.75</v>
          </cell>
          <cell r="D3427">
            <v>5916.9</v>
          </cell>
          <cell r="E3427">
            <v>5840.2</v>
          </cell>
          <cell r="F3427">
            <v>5899.45</v>
          </cell>
        </row>
        <row r="3428">
          <cell r="B3428">
            <v>41536</v>
          </cell>
          <cell r="C3428">
            <v>6044.15</v>
          </cell>
          <cell r="D3428">
            <v>6142.5</v>
          </cell>
          <cell r="E3428">
            <v>6040.15</v>
          </cell>
          <cell r="F3428">
            <v>6115.55</v>
          </cell>
        </row>
        <row r="3429">
          <cell r="B3429">
            <v>41537</v>
          </cell>
          <cell r="C3429">
            <v>6104.55</v>
          </cell>
          <cell r="D3429">
            <v>6130.95</v>
          </cell>
          <cell r="E3429">
            <v>5932.85</v>
          </cell>
          <cell r="F3429">
            <v>6012.1</v>
          </cell>
        </row>
        <row r="3430">
          <cell r="B3430">
            <v>41540</v>
          </cell>
          <cell r="C3430">
            <v>5945.8</v>
          </cell>
          <cell r="D3430">
            <v>5989.4</v>
          </cell>
          <cell r="E3430">
            <v>5871.4</v>
          </cell>
          <cell r="F3430">
            <v>5889.75</v>
          </cell>
        </row>
        <row r="3431">
          <cell r="B3431">
            <v>41541</v>
          </cell>
          <cell r="C3431">
            <v>5855</v>
          </cell>
          <cell r="D3431">
            <v>5938.4</v>
          </cell>
          <cell r="E3431">
            <v>5854.55</v>
          </cell>
          <cell r="F3431">
            <v>5892.45</v>
          </cell>
        </row>
        <row r="3432">
          <cell r="B3432">
            <v>41542</v>
          </cell>
          <cell r="C3432">
            <v>5901.55</v>
          </cell>
          <cell r="D3432">
            <v>5910.55</v>
          </cell>
          <cell r="E3432">
            <v>5811.1</v>
          </cell>
          <cell r="F3432">
            <v>5873.85</v>
          </cell>
        </row>
        <row r="3433">
          <cell r="B3433">
            <v>41543</v>
          </cell>
          <cell r="C3433">
            <v>5872.8</v>
          </cell>
          <cell r="D3433">
            <v>5917.65</v>
          </cell>
          <cell r="E3433">
            <v>5864.1</v>
          </cell>
          <cell r="F3433">
            <v>5882.25</v>
          </cell>
        </row>
        <row r="3434">
          <cell r="B3434">
            <v>41544</v>
          </cell>
          <cell r="C3434">
            <v>5905.55</v>
          </cell>
          <cell r="D3434">
            <v>5909.2</v>
          </cell>
          <cell r="E3434">
            <v>5819.3</v>
          </cell>
          <cell r="F3434">
            <v>5833.2</v>
          </cell>
        </row>
        <row r="3435">
          <cell r="B3435">
            <v>41547</v>
          </cell>
          <cell r="C3435">
            <v>5801.05</v>
          </cell>
          <cell r="D3435">
            <v>5810.2</v>
          </cell>
          <cell r="E3435">
            <v>5718.5</v>
          </cell>
          <cell r="F3435">
            <v>5735.3</v>
          </cell>
        </row>
        <row r="3436">
          <cell r="B3436">
            <v>41548</v>
          </cell>
          <cell r="C3436">
            <v>5756.1</v>
          </cell>
          <cell r="D3436">
            <v>5786.45</v>
          </cell>
          <cell r="E3436">
            <v>5700.95</v>
          </cell>
          <cell r="F3436">
            <v>5780.05</v>
          </cell>
        </row>
        <row r="3437">
          <cell r="B3437">
            <v>41550</v>
          </cell>
          <cell r="C3437">
            <v>5819.1</v>
          </cell>
          <cell r="D3437">
            <v>5917.6</v>
          </cell>
          <cell r="E3437">
            <v>5802.7</v>
          </cell>
          <cell r="F3437">
            <v>5909.7</v>
          </cell>
        </row>
        <row r="3438">
          <cell r="B3438">
            <v>41551</v>
          </cell>
          <cell r="C3438">
            <v>5891.3</v>
          </cell>
          <cell r="D3438">
            <v>5950.45</v>
          </cell>
          <cell r="E3438">
            <v>5885</v>
          </cell>
          <cell r="F3438">
            <v>5907.3</v>
          </cell>
        </row>
        <row r="3439">
          <cell r="B3439">
            <v>41554</v>
          </cell>
          <cell r="C3439">
            <v>5889.05</v>
          </cell>
          <cell r="D3439">
            <v>5912</v>
          </cell>
          <cell r="E3439">
            <v>5825.85</v>
          </cell>
          <cell r="F3439">
            <v>5906.15</v>
          </cell>
        </row>
        <row r="3440">
          <cell r="B3440">
            <v>41555</v>
          </cell>
          <cell r="C3440">
            <v>5975</v>
          </cell>
          <cell r="D3440">
            <v>5981.7</v>
          </cell>
          <cell r="E3440">
            <v>5913</v>
          </cell>
          <cell r="F3440">
            <v>5928.4</v>
          </cell>
        </row>
        <row r="3441">
          <cell r="B3441">
            <v>41556</v>
          </cell>
          <cell r="C3441">
            <v>5893.25</v>
          </cell>
          <cell r="D3441">
            <v>6015.5</v>
          </cell>
          <cell r="E3441">
            <v>5877.1</v>
          </cell>
          <cell r="F3441">
            <v>6007.45</v>
          </cell>
        </row>
        <row r="3442">
          <cell r="B3442">
            <v>41557</v>
          </cell>
          <cell r="C3442">
            <v>6001.05</v>
          </cell>
          <cell r="D3442">
            <v>6033.95</v>
          </cell>
          <cell r="E3442">
            <v>5979.8</v>
          </cell>
          <cell r="F3442">
            <v>6020.95</v>
          </cell>
        </row>
        <row r="3443">
          <cell r="B3443">
            <v>41558</v>
          </cell>
          <cell r="C3443">
            <v>6104.85</v>
          </cell>
          <cell r="D3443">
            <v>6107.6</v>
          </cell>
          <cell r="E3443">
            <v>6046.4</v>
          </cell>
          <cell r="F3443">
            <v>6096.2</v>
          </cell>
        </row>
        <row r="3444">
          <cell r="B3444">
            <v>41561</v>
          </cell>
          <cell r="C3444">
            <v>6093</v>
          </cell>
          <cell r="D3444">
            <v>6124.1</v>
          </cell>
          <cell r="E3444">
            <v>6082.9</v>
          </cell>
          <cell r="F3444">
            <v>6112.7</v>
          </cell>
        </row>
        <row r="3445">
          <cell r="B3445">
            <v>41562</v>
          </cell>
          <cell r="C3445">
            <v>6147.55</v>
          </cell>
          <cell r="D3445">
            <v>6156.3</v>
          </cell>
          <cell r="E3445">
            <v>6056.55</v>
          </cell>
          <cell r="F3445">
            <v>6089.05</v>
          </cell>
        </row>
        <row r="3446">
          <cell r="B3446">
            <v>41564</v>
          </cell>
          <cell r="C3446">
            <v>6098.5</v>
          </cell>
          <cell r="D3446">
            <v>6110.75</v>
          </cell>
          <cell r="E3446">
            <v>6032.55</v>
          </cell>
          <cell r="F3446">
            <v>6045.85</v>
          </cell>
        </row>
        <row r="3447">
          <cell r="B3447">
            <v>41565</v>
          </cell>
          <cell r="C3447">
            <v>6070.9</v>
          </cell>
          <cell r="D3447">
            <v>6201.45</v>
          </cell>
          <cell r="E3447">
            <v>6070.9</v>
          </cell>
          <cell r="F3447">
            <v>6189.35</v>
          </cell>
        </row>
        <row r="3448">
          <cell r="B3448">
            <v>41568</v>
          </cell>
          <cell r="C3448">
            <v>6202</v>
          </cell>
          <cell r="D3448">
            <v>6218.95</v>
          </cell>
          <cell r="E3448">
            <v>6163.3</v>
          </cell>
          <cell r="F3448">
            <v>6204.95</v>
          </cell>
        </row>
        <row r="3449">
          <cell r="B3449">
            <v>41569</v>
          </cell>
          <cell r="C3449">
            <v>6192.3</v>
          </cell>
          <cell r="D3449">
            <v>6220.1</v>
          </cell>
          <cell r="E3449">
            <v>6181.8</v>
          </cell>
          <cell r="F3449">
            <v>6202.8</v>
          </cell>
        </row>
        <row r="3450">
          <cell r="B3450">
            <v>41570</v>
          </cell>
          <cell r="C3450">
            <v>6209.55</v>
          </cell>
          <cell r="D3450">
            <v>6217.95</v>
          </cell>
          <cell r="E3450">
            <v>6116.6</v>
          </cell>
          <cell r="F3450">
            <v>6178.35</v>
          </cell>
        </row>
        <row r="3451">
          <cell r="B3451">
            <v>41571</v>
          </cell>
          <cell r="C3451">
            <v>6162.8</v>
          </cell>
          <cell r="D3451">
            <v>6252.45</v>
          </cell>
          <cell r="E3451">
            <v>6142.95</v>
          </cell>
          <cell r="F3451">
            <v>6164.35</v>
          </cell>
        </row>
        <row r="3452">
          <cell r="B3452">
            <v>41572</v>
          </cell>
          <cell r="C3452">
            <v>6154</v>
          </cell>
          <cell r="D3452">
            <v>6174.75</v>
          </cell>
          <cell r="E3452">
            <v>6125.95</v>
          </cell>
          <cell r="F3452">
            <v>6144.9</v>
          </cell>
        </row>
        <row r="3453">
          <cell r="B3453">
            <v>41575</v>
          </cell>
          <cell r="C3453">
            <v>6155.1</v>
          </cell>
          <cell r="D3453">
            <v>6168.75</v>
          </cell>
          <cell r="E3453">
            <v>6094.1</v>
          </cell>
          <cell r="F3453">
            <v>6101.1</v>
          </cell>
        </row>
        <row r="3454">
          <cell r="B3454">
            <v>41576</v>
          </cell>
          <cell r="C3454">
            <v>6107.55</v>
          </cell>
          <cell r="D3454">
            <v>6228.05</v>
          </cell>
          <cell r="E3454">
            <v>6079.2</v>
          </cell>
          <cell r="F3454">
            <v>6220.9</v>
          </cell>
        </row>
        <row r="3455">
          <cell r="B3455">
            <v>41577</v>
          </cell>
          <cell r="C3455">
            <v>6230.8</v>
          </cell>
          <cell r="D3455">
            <v>6269.2</v>
          </cell>
          <cell r="E3455">
            <v>6222.6</v>
          </cell>
          <cell r="F3455">
            <v>6251.7</v>
          </cell>
        </row>
        <row r="3456">
          <cell r="B3456">
            <v>41578</v>
          </cell>
          <cell r="C3456">
            <v>6237.15</v>
          </cell>
          <cell r="D3456">
            <v>6309.05</v>
          </cell>
          <cell r="E3456">
            <v>6235.9</v>
          </cell>
          <cell r="F3456">
            <v>6299.15</v>
          </cell>
        </row>
        <row r="3457">
          <cell r="B3457">
            <v>41579</v>
          </cell>
          <cell r="C3457">
            <v>6289.75</v>
          </cell>
          <cell r="D3457">
            <v>6332.6</v>
          </cell>
          <cell r="E3457">
            <v>6286.95</v>
          </cell>
          <cell r="F3457">
            <v>6307.2</v>
          </cell>
        </row>
        <row r="3458">
          <cell r="B3458">
            <v>41581</v>
          </cell>
          <cell r="C3458">
            <v>6332.05</v>
          </cell>
          <cell r="D3458">
            <v>6342.95</v>
          </cell>
          <cell r="E3458">
            <v>6311.15</v>
          </cell>
          <cell r="F3458">
            <v>6317.35</v>
          </cell>
        </row>
        <row r="3459">
          <cell r="B3459">
            <v>41583</v>
          </cell>
          <cell r="C3459">
            <v>6282.15</v>
          </cell>
          <cell r="D3459">
            <v>6304.75</v>
          </cell>
          <cell r="E3459">
            <v>6244.3</v>
          </cell>
          <cell r="F3459">
            <v>6253.15</v>
          </cell>
        </row>
        <row r="3460">
          <cell r="B3460">
            <v>41584</v>
          </cell>
          <cell r="C3460">
            <v>6260.55</v>
          </cell>
          <cell r="D3460">
            <v>6269.7</v>
          </cell>
          <cell r="E3460">
            <v>6208.7</v>
          </cell>
          <cell r="F3460">
            <v>6215.15</v>
          </cell>
        </row>
        <row r="3461">
          <cell r="B3461">
            <v>41585</v>
          </cell>
          <cell r="C3461">
            <v>6228.9</v>
          </cell>
          <cell r="D3461">
            <v>6288.95</v>
          </cell>
          <cell r="E3461">
            <v>6180.8</v>
          </cell>
          <cell r="F3461">
            <v>6187.25</v>
          </cell>
        </row>
        <row r="3462">
          <cell r="B3462">
            <v>41586</v>
          </cell>
          <cell r="C3462">
            <v>6170.15</v>
          </cell>
          <cell r="D3462">
            <v>6185.15</v>
          </cell>
          <cell r="E3462">
            <v>6120.95</v>
          </cell>
          <cell r="F3462">
            <v>6140.75</v>
          </cell>
        </row>
        <row r="3463">
          <cell r="B3463">
            <v>41589</v>
          </cell>
          <cell r="C3463">
            <v>6110.4</v>
          </cell>
          <cell r="D3463">
            <v>6141.65</v>
          </cell>
          <cell r="E3463">
            <v>6067.75</v>
          </cell>
          <cell r="F3463">
            <v>6078.8</v>
          </cell>
        </row>
        <row r="3464">
          <cell r="B3464">
            <v>41590</v>
          </cell>
          <cell r="C3464">
            <v>6087.25</v>
          </cell>
          <cell r="D3464">
            <v>6108.7</v>
          </cell>
          <cell r="E3464">
            <v>6011.75</v>
          </cell>
          <cell r="F3464">
            <v>6018.05</v>
          </cell>
        </row>
        <row r="3465">
          <cell r="B3465">
            <v>41591</v>
          </cell>
          <cell r="C3465">
            <v>5998.85</v>
          </cell>
          <cell r="D3465">
            <v>6042.25</v>
          </cell>
          <cell r="E3465">
            <v>5972.45</v>
          </cell>
          <cell r="F3465">
            <v>5989.6</v>
          </cell>
        </row>
        <row r="3466">
          <cell r="B3466">
            <v>41592</v>
          </cell>
          <cell r="C3466">
            <v>6037</v>
          </cell>
          <cell r="D3466">
            <v>6101.65</v>
          </cell>
          <cell r="E3466">
            <v>6036.65</v>
          </cell>
          <cell r="F3466">
            <v>6056.15</v>
          </cell>
        </row>
        <row r="3467">
          <cell r="B3467">
            <v>41596</v>
          </cell>
          <cell r="C3467">
            <v>6111.05</v>
          </cell>
          <cell r="D3467">
            <v>6196.8</v>
          </cell>
          <cell r="E3467">
            <v>6110.4</v>
          </cell>
          <cell r="F3467">
            <v>6189</v>
          </cell>
        </row>
        <row r="3468">
          <cell r="B3468">
            <v>41597</v>
          </cell>
          <cell r="C3468">
            <v>6197.25</v>
          </cell>
          <cell r="D3468">
            <v>6212.4</v>
          </cell>
          <cell r="E3468">
            <v>6180.2</v>
          </cell>
          <cell r="F3468">
            <v>6203.35</v>
          </cell>
        </row>
        <row r="3469">
          <cell r="B3469">
            <v>41598</v>
          </cell>
          <cell r="C3469">
            <v>6186.85</v>
          </cell>
          <cell r="D3469">
            <v>6204.35</v>
          </cell>
          <cell r="E3469">
            <v>6106.95</v>
          </cell>
          <cell r="F3469">
            <v>6122.9</v>
          </cell>
        </row>
        <row r="3470">
          <cell r="B3470">
            <v>41599</v>
          </cell>
          <cell r="C3470">
            <v>6096.5</v>
          </cell>
          <cell r="D3470">
            <v>6097.35</v>
          </cell>
          <cell r="E3470">
            <v>5985.4</v>
          </cell>
          <cell r="F3470">
            <v>5999.05</v>
          </cell>
        </row>
        <row r="3471">
          <cell r="B3471">
            <v>41600</v>
          </cell>
          <cell r="C3471">
            <v>6027.35</v>
          </cell>
          <cell r="D3471">
            <v>6049.6</v>
          </cell>
          <cell r="E3471">
            <v>5972.8</v>
          </cell>
          <cell r="F3471">
            <v>5995.45</v>
          </cell>
        </row>
        <row r="3472">
          <cell r="B3472">
            <v>41603</v>
          </cell>
          <cell r="C3472">
            <v>6035.95</v>
          </cell>
          <cell r="D3472">
            <v>6123.5</v>
          </cell>
          <cell r="E3472">
            <v>6035.95</v>
          </cell>
          <cell r="F3472">
            <v>6115.35</v>
          </cell>
        </row>
        <row r="3473">
          <cell r="B3473">
            <v>41604</v>
          </cell>
          <cell r="C3473">
            <v>6099.25</v>
          </cell>
          <cell r="D3473">
            <v>6112.7</v>
          </cell>
          <cell r="E3473">
            <v>6047.75</v>
          </cell>
          <cell r="F3473">
            <v>6059.1</v>
          </cell>
        </row>
        <row r="3474">
          <cell r="B3474">
            <v>41605</v>
          </cell>
          <cell r="C3474">
            <v>6062.7</v>
          </cell>
          <cell r="D3474">
            <v>6074</v>
          </cell>
          <cell r="E3474">
            <v>6030.3</v>
          </cell>
          <cell r="F3474">
            <v>6057.1</v>
          </cell>
        </row>
        <row r="3475">
          <cell r="B3475">
            <v>41606</v>
          </cell>
          <cell r="C3475">
            <v>6092</v>
          </cell>
          <cell r="D3475">
            <v>6112.95</v>
          </cell>
          <cell r="E3475">
            <v>6068.3</v>
          </cell>
          <cell r="F3475">
            <v>6091.85</v>
          </cell>
        </row>
        <row r="3476">
          <cell r="B3476">
            <v>41607</v>
          </cell>
          <cell r="C3476">
            <v>6103.9</v>
          </cell>
          <cell r="D3476">
            <v>6182.5</v>
          </cell>
          <cell r="E3476">
            <v>6103.8</v>
          </cell>
          <cell r="F3476">
            <v>6176.1</v>
          </cell>
        </row>
        <row r="3477">
          <cell r="B3477">
            <v>41610</v>
          </cell>
          <cell r="C3477">
            <v>6171.15</v>
          </cell>
          <cell r="D3477">
            <v>6228.7</v>
          </cell>
          <cell r="E3477">
            <v>6171.15</v>
          </cell>
          <cell r="F3477">
            <v>6217.85</v>
          </cell>
        </row>
        <row r="3478">
          <cell r="B3478">
            <v>41611</v>
          </cell>
          <cell r="C3478">
            <v>6204.25</v>
          </cell>
          <cell r="D3478">
            <v>6225.4</v>
          </cell>
          <cell r="E3478">
            <v>6191.4</v>
          </cell>
          <cell r="F3478">
            <v>6201.85</v>
          </cell>
        </row>
        <row r="3479">
          <cell r="B3479">
            <v>41612</v>
          </cell>
          <cell r="C3479">
            <v>6187.95</v>
          </cell>
          <cell r="D3479">
            <v>6209.15</v>
          </cell>
          <cell r="E3479">
            <v>6149.9</v>
          </cell>
          <cell r="F3479">
            <v>6160.95</v>
          </cell>
        </row>
        <row r="3480">
          <cell r="B3480">
            <v>41613</v>
          </cell>
          <cell r="C3480">
            <v>6262.45</v>
          </cell>
          <cell r="D3480">
            <v>6300.55</v>
          </cell>
          <cell r="E3480">
            <v>6232</v>
          </cell>
          <cell r="F3480">
            <v>6241.1</v>
          </cell>
        </row>
        <row r="3481">
          <cell r="B3481">
            <v>41614</v>
          </cell>
          <cell r="C3481">
            <v>6234.4</v>
          </cell>
          <cell r="D3481">
            <v>6275.35</v>
          </cell>
          <cell r="E3481">
            <v>6230.75</v>
          </cell>
          <cell r="F3481">
            <v>6259.9</v>
          </cell>
        </row>
        <row r="3482">
          <cell r="B3482">
            <v>41617</v>
          </cell>
          <cell r="C3482">
            <v>6415</v>
          </cell>
          <cell r="D3482">
            <v>6415.25</v>
          </cell>
          <cell r="E3482">
            <v>6345</v>
          </cell>
          <cell r="F3482">
            <v>6363.9</v>
          </cell>
        </row>
        <row r="3483">
          <cell r="B3483">
            <v>41618</v>
          </cell>
          <cell r="C3483">
            <v>6354.7</v>
          </cell>
          <cell r="D3483">
            <v>6362.25</v>
          </cell>
          <cell r="E3483">
            <v>6307.55</v>
          </cell>
          <cell r="F3483">
            <v>6332.85</v>
          </cell>
        </row>
        <row r="3484">
          <cell r="B3484">
            <v>41619</v>
          </cell>
          <cell r="C3484">
            <v>6307.2</v>
          </cell>
          <cell r="D3484">
            <v>6326.6</v>
          </cell>
          <cell r="E3484">
            <v>6280.25</v>
          </cell>
          <cell r="F3484">
            <v>6307.9</v>
          </cell>
        </row>
        <row r="3485">
          <cell r="B3485">
            <v>41620</v>
          </cell>
          <cell r="C3485">
            <v>6276.75</v>
          </cell>
          <cell r="D3485">
            <v>6286.85</v>
          </cell>
          <cell r="E3485">
            <v>6230.55</v>
          </cell>
          <cell r="F3485">
            <v>6237.05</v>
          </cell>
        </row>
        <row r="3486">
          <cell r="B3486">
            <v>41621</v>
          </cell>
          <cell r="C3486">
            <v>6201.3</v>
          </cell>
          <cell r="D3486">
            <v>6208.6</v>
          </cell>
          <cell r="E3486">
            <v>6161.4</v>
          </cell>
          <cell r="F3486">
            <v>6168.4</v>
          </cell>
        </row>
        <row r="3487">
          <cell r="B3487">
            <v>41624</v>
          </cell>
          <cell r="C3487">
            <v>6168.35</v>
          </cell>
          <cell r="D3487">
            <v>6183.25</v>
          </cell>
          <cell r="E3487">
            <v>6146.05</v>
          </cell>
          <cell r="F3487">
            <v>6154.7</v>
          </cell>
        </row>
        <row r="3488">
          <cell r="B3488">
            <v>41625</v>
          </cell>
          <cell r="C3488">
            <v>6178.2</v>
          </cell>
          <cell r="D3488">
            <v>6190.55</v>
          </cell>
          <cell r="E3488">
            <v>6133</v>
          </cell>
          <cell r="F3488">
            <v>6139.05</v>
          </cell>
        </row>
        <row r="3489">
          <cell r="B3489">
            <v>41626</v>
          </cell>
          <cell r="C3489">
            <v>6129.95</v>
          </cell>
          <cell r="D3489">
            <v>6236</v>
          </cell>
          <cell r="E3489">
            <v>6129.95</v>
          </cell>
          <cell r="F3489">
            <v>6217.15</v>
          </cell>
        </row>
        <row r="3490">
          <cell r="B3490">
            <v>41627</v>
          </cell>
          <cell r="C3490">
            <v>6253.9</v>
          </cell>
          <cell r="D3490">
            <v>6263.75</v>
          </cell>
          <cell r="E3490">
            <v>6150.7</v>
          </cell>
          <cell r="F3490">
            <v>6166.65</v>
          </cell>
        </row>
        <row r="3491">
          <cell r="B3491">
            <v>41628</v>
          </cell>
          <cell r="C3491">
            <v>6179.95</v>
          </cell>
          <cell r="D3491">
            <v>6284.5</v>
          </cell>
          <cell r="E3491">
            <v>6170.35</v>
          </cell>
          <cell r="F3491">
            <v>6274.25</v>
          </cell>
        </row>
        <row r="3492">
          <cell r="B3492">
            <v>41631</v>
          </cell>
          <cell r="C3492">
            <v>6267.2</v>
          </cell>
          <cell r="D3492">
            <v>6317.5</v>
          </cell>
          <cell r="E3492">
            <v>6266.95</v>
          </cell>
          <cell r="F3492">
            <v>6284.5</v>
          </cell>
        </row>
        <row r="3493">
          <cell r="B3493">
            <v>41632</v>
          </cell>
          <cell r="C3493">
            <v>6296.45</v>
          </cell>
          <cell r="D3493">
            <v>6301.5</v>
          </cell>
          <cell r="E3493">
            <v>6262</v>
          </cell>
          <cell r="F3493">
            <v>6268.4</v>
          </cell>
        </row>
        <row r="3494">
          <cell r="B3494">
            <v>41634</v>
          </cell>
          <cell r="C3494">
            <v>6270.1</v>
          </cell>
          <cell r="D3494">
            <v>6302.75</v>
          </cell>
          <cell r="E3494">
            <v>6259.45</v>
          </cell>
          <cell r="F3494">
            <v>6278.9</v>
          </cell>
        </row>
        <row r="3495">
          <cell r="B3495">
            <v>41635</v>
          </cell>
          <cell r="C3495">
            <v>6292.8</v>
          </cell>
          <cell r="D3495">
            <v>6324.9</v>
          </cell>
          <cell r="E3495">
            <v>6289.4</v>
          </cell>
          <cell r="F3495">
            <v>6313.8</v>
          </cell>
        </row>
        <row r="3496">
          <cell r="B3496">
            <v>41638</v>
          </cell>
          <cell r="C3496">
            <v>6336.4</v>
          </cell>
          <cell r="D3496">
            <v>6344.05</v>
          </cell>
          <cell r="E3496">
            <v>6273.15</v>
          </cell>
          <cell r="F3496">
            <v>6291.1</v>
          </cell>
        </row>
        <row r="3497">
          <cell r="B3497">
            <v>41639</v>
          </cell>
          <cell r="C3497">
            <v>6307.35</v>
          </cell>
          <cell r="D3497">
            <v>6317.3</v>
          </cell>
          <cell r="E3497">
            <v>6287.3</v>
          </cell>
          <cell r="F3497">
            <v>6304</v>
          </cell>
        </row>
        <row r="3498">
          <cell r="B3498">
            <v>41640</v>
          </cell>
          <cell r="C3498">
            <v>6323.8</v>
          </cell>
          <cell r="D3498">
            <v>6327.2</v>
          </cell>
          <cell r="E3498">
            <v>6298.25</v>
          </cell>
          <cell r="F3498">
            <v>6301.65</v>
          </cell>
        </row>
        <row r="3499">
          <cell r="B3499">
            <v>41641</v>
          </cell>
          <cell r="C3499">
            <v>6301.25</v>
          </cell>
          <cell r="D3499">
            <v>6358.3</v>
          </cell>
          <cell r="E3499">
            <v>6211.3</v>
          </cell>
          <cell r="F3499">
            <v>6221.15</v>
          </cell>
        </row>
        <row r="3500">
          <cell r="B3500">
            <v>41642</v>
          </cell>
          <cell r="C3500">
            <v>6194.55</v>
          </cell>
          <cell r="D3500">
            <v>6221.7</v>
          </cell>
          <cell r="E3500">
            <v>6171.25</v>
          </cell>
          <cell r="F3500">
            <v>6211.15</v>
          </cell>
        </row>
        <row r="3501">
          <cell r="B3501">
            <v>41645</v>
          </cell>
          <cell r="C3501">
            <v>6220.85</v>
          </cell>
          <cell r="D3501">
            <v>6224.7</v>
          </cell>
          <cell r="E3501">
            <v>6170.25</v>
          </cell>
          <cell r="F3501">
            <v>6191.45</v>
          </cell>
        </row>
        <row r="3502">
          <cell r="B3502">
            <v>41646</v>
          </cell>
          <cell r="C3502">
            <v>6203.9</v>
          </cell>
          <cell r="D3502">
            <v>6221.5</v>
          </cell>
          <cell r="E3502">
            <v>6144.75</v>
          </cell>
          <cell r="F3502">
            <v>6162.25</v>
          </cell>
        </row>
        <row r="3503">
          <cell r="B3503">
            <v>41647</v>
          </cell>
          <cell r="C3503">
            <v>6178.05</v>
          </cell>
          <cell r="D3503">
            <v>6192.1</v>
          </cell>
          <cell r="E3503">
            <v>6160.35</v>
          </cell>
          <cell r="F3503">
            <v>6174.6</v>
          </cell>
        </row>
        <row r="3504">
          <cell r="B3504">
            <v>41648</v>
          </cell>
          <cell r="C3504">
            <v>6181.7</v>
          </cell>
          <cell r="D3504">
            <v>6188.05</v>
          </cell>
          <cell r="E3504">
            <v>6148.25</v>
          </cell>
          <cell r="F3504">
            <v>6168.35</v>
          </cell>
        </row>
        <row r="3505">
          <cell r="B3505">
            <v>41649</v>
          </cell>
          <cell r="C3505">
            <v>6178.85</v>
          </cell>
          <cell r="D3505">
            <v>6239.1</v>
          </cell>
          <cell r="E3505">
            <v>6139.6</v>
          </cell>
          <cell r="F3505">
            <v>6171.45</v>
          </cell>
        </row>
        <row r="3506">
          <cell r="B3506">
            <v>41652</v>
          </cell>
          <cell r="C3506">
            <v>6189.55</v>
          </cell>
          <cell r="D3506">
            <v>6288.2</v>
          </cell>
          <cell r="E3506">
            <v>6189.55</v>
          </cell>
          <cell r="F3506">
            <v>6272.75</v>
          </cell>
        </row>
        <row r="3507">
          <cell r="B3507">
            <v>41653</v>
          </cell>
          <cell r="C3507">
            <v>6260.25</v>
          </cell>
          <cell r="D3507">
            <v>6280.35</v>
          </cell>
          <cell r="E3507">
            <v>6234.15</v>
          </cell>
          <cell r="F3507">
            <v>6241.85</v>
          </cell>
        </row>
        <row r="3508">
          <cell r="B3508">
            <v>41654</v>
          </cell>
          <cell r="C3508">
            <v>6265.95</v>
          </cell>
          <cell r="D3508">
            <v>6325.2</v>
          </cell>
          <cell r="E3508">
            <v>6265.3</v>
          </cell>
          <cell r="F3508">
            <v>6320.9</v>
          </cell>
        </row>
        <row r="3509">
          <cell r="B3509">
            <v>41655</v>
          </cell>
          <cell r="C3509">
            <v>6341.35</v>
          </cell>
          <cell r="D3509">
            <v>6346.5</v>
          </cell>
          <cell r="E3509">
            <v>6299.85</v>
          </cell>
          <cell r="F3509">
            <v>6318.9</v>
          </cell>
        </row>
        <row r="3510">
          <cell r="B3510">
            <v>41656</v>
          </cell>
          <cell r="C3510">
            <v>6306.25</v>
          </cell>
          <cell r="D3510">
            <v>6327.1</v>
          </cell>
          <cell r="E3510">
            <v>6246.35</v>
          </cell>
          <cell r="F3510">
            <v>6261.65</v>
          </cell>
        </row>
        <row r="3511">
          <cell r="B3511">
            <v>41659</v>
          </cell>
          <cell r="C3511">
            <v>6261.75</v>
          </cell>
          <cell r="D3511">
            <v>6307.45</v>
          </cell>
          <cell r="E3511">
            <v>6243.35</v>
          </cell>
          <cell r="F3511">
            <v>6303.95</v>
          </cell>
        </row>
        <row r="3512">
          <cell r="B3512">
            <v>41660</v>
          </cell>
          <cell r="C3512">
            <v>6320.15</v>
          </cell>
          <cell r="D3512">
            <v>6330.3</v>
          </cell>
          <cell r="E3512">
            <v>6297.9</v>
          </cell>
          <cell r="F3512">
            <v>6313.8</v>
          </cell>
        </row>
        <row r="3513">
          <cell r="B3513">
            <v>41661</v>
          </cell>
          <cell r="C3513">
            <v>6309.05</v>
          </cell>
          <cell r="D3513">
            <v>6349.95</v>
          </cell>
          <cell r="E3513">
            <v>6287.45</v>
          </cell>
          <cell r="F3513">
            <v>6338.95</v>
          </cell>
        </row>
        <row r="3514">
          <cell r="B3514">
            <v>41662</v>
          </cell>
          <cell r="C3514">
            <v>6325.95</v>
          </cell>
          <cell r="D3514">
            <v>6355.6</v>
          </cell>
          <cell r="E3514">
            <v>6316.4</v>
          </cell>
          <cell r="F3514">
            <v>6345.65</v>
          </cell>
        </row>
        <row r="3515">
          <cell r="B3515">
            <v>41663</v>
          </cell>
          <cell r="C3515">
            <v>6301.65</v>
          </cell>
          <cell r="D3515">
            <v>6331.45</v>
          </cell>
          <cell r="E3515">
            <v>6263.9</v>
          </cell>
          <cell r="F3515">
            <v>6266.75</v>
          </cell>
        </row>
        <row r="3516">
          <cell r="B3516">
            <v>41666</v>
          </cell>
          <cell r="C3516">
            <v>6186.3</v>
          </cell>
          <cell r="D3516">
            <v>6188.55</v>
          </cell>
          <cell r="E3516">
            <v>6130.25</v>
          </cell>
          <cell r="F3516">
            <v>6135.85</v>
          </cell>
        </row>
        <row r="3517">
          <cell r="B3517">
            <v>41667</v>
          </cell>
          <cell r="C3517">
            <v>6131.85</v>
          </cell>
          <cell r="D3517">
            <v>6163.6</v>
          </cell>
          <cell r="E3517">
            <v>6085.95</v>
          </cell>
          <cell r="F3517">
            <v>6126.25</v>
          </cell>
        </row>
        <row r="3518">
          <cell r="B3518">
            <v>41668</v>
          </cell>
          <cell r="C3518">
            <v>6161</v>
          </cell>
          <cell r="D3518">
            <v>6170.45</v>
          </cell>
          <cell r="E3518">
            <v>6109.8</v>
          </cell>
          <cell r="F3518">
            <v>6120.25</v>
          </cell>
        </row>
        <row r="3519">
          <cell r="B3519">
            <v>41669</v>
          </cell>
          <cell r="C3519">
            <v>6067</v>
          </cell>
          <cell r="D3519">
            <v>6082.85</v>
          </cell>
          <cell r="E3519">
            <v>6027.25</v>
          </cell>
          <cell r="F3519">
            <v>6073.7</v>
          </cell>
        </row>
        <row r="3520">
          <cell r="B3520">
            <v>41670</v>
          </cell>
          <cell r="C3520">
            <v>6082.75</v>
          </cell>
          <cell r="D3520">
            <v>6097.85</v>
          </cell>
          <cell r="E3520">
            <v>6067.35</v>
          </cell>
          <cell r="F3520">
            <v>6089.5</v>
          </cell>
        </row>
        <row r="3521">
          <cell r="B3521">
            <v>41673</v>
          </cell>
          <cell r="C3521">
            <v>6058.8</v>
          </cell>
          <cell r="D3521">
            <v>6074.85</v>
          </cell>
          <cell r="E3521">
            <v>5994.45</v>
          </cell>
          <cell r="F3521">
            <v>6001.8</v>
          </cell>
        </row>
        <row r="3522">
          <cell r="B3522">
            <v>41674</v>
          </cell>
          <cell r="C3522">
            <v>5947.6</v>
          </cell>
          <cell r="D3522">
            <v>6017.8</v>
          </cell>
          <cell r="E3522">
            <v>5933.3</v>
          </cell>
          <cell r="F3522">
            <v>6000.9</v>
          </cell>
        </row>
        <row r="3523">
          <cell r="B3523">
            <v>41675</v>
          </cell>
          <cell r="C3523">
            <v>6004.25</v>
          </cell>
          <cell r="D3523">
            <v>6028.05</v>
          </cell>
          <cell r="E3523">
            <v>5962.05</v>
          </cell>
          <cell r="F3523">
            <v>6022.4</v>
          </cell>
        </row>
        <row r="3524">
          <cell r="B3524">
            <v>41676</v>
          </cell>
          <cell r="C3524">
            <v>6028.35</v>
          </cell>
          <cell r="D3524">
            <v>6048.35</v>
          </cell>
          <cell r="E3524">
            <v>5965.4</v>
          </cell>
          <cell r="F3524">
            <v>6036.3</v>
          </cell>
        </row>
        <row r="3525">
          <cell r="B3525">
            <v>41677</v>
          </cell>
          <cell r="C3525">
            <v>6077.65</v>
          </cell>
          <cell r="D3525">
            <v>6079.95</v>
          </cell>
          <cell r="E3525">
            <v>6030.9</v>
          </cell>
          <cell r="F3525">
            <v>6063.2</v>
          </cell>
        </row>
        <row r="3526">
          <cell r="B3526">
            <v>41680</v>
          </cell>
          <cell r="C3526">
            <v>6072.8</v>
          </cell>
          <cell r="D3526">
            <v>6083.05</v>
          </cell>
          <cell r="E3526">
            <v>6046.4</v>
          </cell>
          <cell r="F3526">
            <v>6053.45</v>
          </cell>
        </row>
        <row r="3527">
          <cell r="B3527">
            <v>41681</v>
          </cell>
          <cell r="C3527">
            <v>6072.45</v>
          </cell>
          <cell r="D3527">
            <v>6081.85</v>
          </cell>
          <cell r="E3527">
            <v>6053.25</v>
          </cell>
          <cell r="F3527">
            <v>6062.7</v>
          </cell>
        </row>
        <row r="3528">
          <cell r="B3528">
            <v>41682</v>
          </cell>
          <cell r="C3528">
            <v>6085.35</v>
          </cell>
          <cell r="D3528">
            <v>6106.6</v>
          </cell>
          <cell r="E3528">
            <v>6077.4</v>
          </cell>
          <cell r="F3528">
            <v>6084</v>
          </cell>
        </row>
        <row r="3529">
          <cell r="B3529">
            <v>41683</v>
          </cell>
          <cell r="C3529">
            <v>6087.55</v>
          </cell>
          <cell r="D3529">
            <v>6094.4</v>
          </cell>
          <cell r="E3529">
            <v>5991.1</v>
          </cell>
          <cell r="F3529">
            <v>6001.1</v>
          </cell>
        </row>
        <row r="3530">
          <cell r="B3530">
            <v>41684</v>
          </cell>
          <cell r="C3530">
            <v>6023.75</v>
          </cell>
          <cell r="D3530">
            <v>6056.4</v>
          </cell>
          <cell r="E3530">
            <v>5984.6</v>
          </cell>
          <cell r="F3530">
            <v>6048.35</v>
          </cell>
        </row>
        <row r="3531">
          <cell r="B3531">
            <v>41687</v>
          </cell>
          <cell r="C3531">
            <v>6057.1</v>
          </cell>
          <cell r="D3531">
            <v>6080.65</v>
          </cell>
          <cell r="E3531">
            <v>6038.3</v>
          </cell>
          <cell r="F3531">
            <v>6073.3</v>
          </cell>
        </row>
        <row r="3532">
          <cell r="B3532">
            <v>41688</v>
          </cell>
          <cell r="C3532">
            <v>6071.3</v>
          </cell>
          <cell r="D3532">
            <v>6141.7</v>
          </cell>
          <cell r="E3532">
            <v>6066.8</v>
          </cell>
          <cell r="F3532">
            <v>6127.1</v>
          </cell>
        </row>
        <row r="3533">
          <cell r="B3533">
            <v>41689</v>
          </cell>
          <cell r="C3533">
            <v>6132.05</v>
          </cell>
          <cell r="D3533">
            <v>6160.35</v>
          </cell>
          <cell r="E3533">
            <v>6125.75</v>
          </cell>
          <cell r="F3533">
            <v>6152.75</v>
          </cell>
        </row>
        <row r="3534">
          <cell r="B3534">
            <v>41690</v>
          </cell>
          <cell r="C3534">
            <v>6127.15</v>
          </cell>
          <cell r="D3534">
            <v>6129.1</v>
          </cell>
          <cell r="E3534">
            <v>6086.45</v>
          </cell>
          <cell r="F3534">
            <v>6091.45</v>
          </cell>
        </row>
        <row r="3535">
          <cell r="B3535">
            <v>41691</v>
          </cell>
          <cell r="C3535">
            <v>6108.3</v>
          </cell>
          <cell r="D3535">
            <v>6159.65</v>
          </cell>
          <cell r="E3535">
            <v>6108</v>
          </cell>
          <cell r="F3535">
            <v>6155.45</v>
          </cell>
        </row>
        <row r="3536">
          <cell r="B3536">
            <v>41694</v>
          </cell>
          <cell r="C3536">
            <v>6140.95</v>
          </cell>
          <cell r="D3536">
            <v>6191.85</v>
          </cell>
          <cell r="E3536">
            <v>6130.8</v>
          </cell>
          <cell r="F3536">
            <v>6186.1</v>
          </cell>
        </row>
        <row r="3537">
          <cell r="B3537">
            <v>41695</v>
          </cell>
          <cell r="C3537">
            <v>6205.7</v>
          </cell>
          <cell r="D3537">
            <v>6216.85</v>
          </cell>
          <cell r="E3537">
            <v>6176.6</v>
          </cell>
          <cell r="F3537">
            <v>6200.05</v>
          </cell>
        </row>
        <row r="3538">
          <cell r="B3538">
            <v>41696</v>
          </cell>
          <cell r="C3538">
            <v>6202.45</v>
          </cell>
          <cell r="D3538">
            <v>6245.95</v>
          </cell>
          <cell r="E3538">
            <v>6202.1</v>
          </cell>
          <cell r="F3538">
            <v>6238.8</v>
          </cell>
        </row>
        <row r="3539">
          <cell r="B3539">
            <v>41698</v>
          </cell>
          <cell r="C3539">
            <v>6228.45</v>
          </cell>
          <cell r="D3539">
            <v>6282.7</v>
          </cell>
          <cell r="E3539">
            <v>6228.1</v>
          </cell>
          <cell r="F3539">
            <v>6276.95</v>
          </cell>
        </row>
        <row r="3540">
          <cell r="B3540">
            <v>41701</v>
          </cell>
          <cell r="C3540">
            <v>6264.35</v>
          </cell>
          <cell r="D3540">
            <v>6277.75</v>
          </cell>
          <cell r="E3540">
            <v>6212.25</v>
          </cell>
          <cell r="F3540">
            <v>6221.45</v>
          </cell>
        </row>
        <row r="3541">
          <cell r="B3541">
            <v>41702</v>
          </cell>
          <cell r="C3541">
            <v>6216.75</v>
          </cell>
          <cell r="D3541">
            <v>6302.15</v>
          </cell>
          <cell r="E3541">
            <v>6215.7</v>
          </cell>
          <cell r="F3541">
            <v>6297.95</v>
          </cell>
        </row>
        <row r="3542">
          <cell r="B3542">
            <v>41703</v>
          </cell>
          <cell r="C3542">
            <v>6328.45</v>
          </cell>
          <cell r="D3542">
            <v>6336.25</v>
          </cell>
          <cell r="E3542">
            <v>6287.8</v>
          </cell>
          <cell r="F3542">
            <v>6328.65</v>
          </cell>
        </row>
        <row r="3543">
          <cell r="B3543">
            <v>41704</v>
          </cell>
          <cell r="C3543">
            <v>6344.75</v>
          </cell>
          <cell r="D3543">
            <v>6406.6</v>
          </cell>
          <cell r="E3543">
            <v>6339.7</v>
          </cell>
          <cell r="F3543">
            <v>6401.15</v>
          </cell>
        </row>
        <row r="3544">
          <cell r="B3544">
            <v>41705</v>
          </cell>
          <cell r="C3544">
            <v>6413.95</v>
          </cell>
          <cell r="D3544">
            <v>6537.8</v>
          </cell>
          <cell r="E3544">
            <v>6413.55</v>
          </cell>
          <cell r="F3544">
            <v>6526.65</v>
          </cell>
        </row>
        <row r="3545">
          <cell r="B3545">
            <v>41708</v>
          </cell>
          <cell r="C3545">
            <v>6491.7</v>
          </cell>
          <cell r="D3545">
            <v>6562.2</v>
          </cell>
          <cell r="E3545">
            <v>6487.35</v>
          </cell>
          <cell r="F3545">
            <v>6537.25</v>
          </cell>
        </row>
        <row r="3546">
          <cell r="B3546">
            <v>41709</v>
          </cell>
          <cell r="C3546">
            <v>6537.35</v>
          </cell>
          <cell r="D3546">
            <v>6562.85</v>
          </cell>
          <cell r="E3546">
            <v>6494.25</v>
          </cell>
          <cell r="F3546">
            <v>6511.9</v>
          </cell>
        </row>
        <row r="3547">
          <cell r="B3547">
            <v>41710</v>
          </cell>
          <cell r="C3547">
            <v>6497.5</v>
          </cell>
          <cell r="D3547">
            <v>6546.15</v>
          </cell>
          <cell r="E3547">
            <v>6487.3</v>
          </cell>
          <cell r="F3547">
            <v>6516.9</v>
          </cell>
        </row>
        <row r="3548">
          <cell r="B3548">
            <v>41711</v>
          </cell>
          <cell r="C3548">
            <v>6491.75</v>
          </cell>
          <cell r="D3548">
            <v>6561.45</v>
          </cell>
          <cell r="E3548">
            <v>6476.65</v>
          </cell>
          <cell r="F3548">
            <v>6493.1</v>
          </cell>
        </row>
        <row r="3549">
          <cell r="B3549">
            <v>41712</v>
          </cell>
          <cell r="C3549">
            <v>6447.25</v>
          </cell>
          <cell r="D3549">
            <v>6518.45</v>
          </cell>
          <cell r="E3549">
            <v>6432.7</v>
          </cell>
          <cell r="F3549">
            <v>6504.2</v>
          </cell>
        </row>
        <row r="3550">
          <cell r="B3550">
            <v>41716</v>
          </cell>
          <cell r="C3550">
            <v>6532.45</v>
          </cell>
          <cell r="D3550">
            <v>6574.95</v>
          </cell>
          <cell r="E3550">
            <v>6497.65</v>
          </cell>
          <cell r="F3550">
            <v>6516.65</v>
          </cell>
        </row>
        <row r="3551">
          <cell r="B3551">
            <v>41717</v>
          </cell>
          <cell r="C3551">
            <v>6530</v>
          </cell>
          <cell r="D3551">
            <v>6541.2</v>
          </cell>
          <cell r="E3551">
            <v>6506</v>
          </cell>
          <cell r="F3551">
            <v>6524.05</v>
          </cell>
        </row>
        <row r="3552">
          <cell r="B3552">
            <v>41718</v>
          </cell>
          <cell r="C3552">
            <v>6508.35</v>
          </cell>
          <cell r="D3552">
            <v>6523.65</v>
          </cell>
          <cell r="E3552">
            <v>6473.25</v>
          </cell>
          <cell r="F3552">
            <v>6483.1</v>
          </cell>
        </row>
        <row r="3553">
          <cell r="B3553">
            <v>41719</v>
          </cell>
          <cell r="C3553">
            <v>6515.2</v>
          </cell>
          <cell r="D3553">
            <v>6522.9</v>
          </cell>
          <cell r="E3553">
            <v>6485.7</v>
          </cell>
          <cell r="F3553">
            <v>6493.2</v>
          </cell>
        </row>
        <row r="3554">
          <cell r="B3554">
            <v>41720</v>
          </cell>
          <cell r="C3554">
            <v>6497.8</v>
          </cell>
          <cell r="D3554">
            <v>6502.65</v>
          </cell>
          <cell r="E3554">
            <v>6481.35</v>
          </cell>
          <cell r="F3554">
            <v>6494.9</v>
          </cell>
        </row>
        <row r="3555">
          <cell r="B3555">
            <v>41722</v>
          </cell>
          <cell r="C3555">
            <v>6510.5</v>
          </cell>
          <cell r="D3555">
            <v>6591.5</v>
          </cell>
          <cell r="E3555">
            <v>6510.5</v>
          </cell>
          <cell r="F3555">
            <v>6583.5</v>
          </cell>
        </row>
        <row r="3556">
          <cell r="B3556">
            <v>41723</v>
          </cell>
          <cell r="C3556">
            <v>6550.1</v>
          </cell>
          <cell r="D3556">
            <v>6595.55</v>
          </cell>
          <cell r="E3556">
            <v>6544.85</v>
          </cell>
          <cell r="F3556">
            <v>6589.75</v>
          </cell>
        </row>
        <row r="3557">
          <cell r="B3557">
            <v>41724</v>
          </cell>
          <cell r="C3557">
            <v>6615.65</v>
          </cell>
          <cell r="D3557">
            <v>6627.45</v>
          </cell>
          <cell r="E3557">
            <v>6580.6</v>
          </cell>
          <cell r="F3557">
            <v>6601.4</v>
          </cell>
        </row>
        <row r="3558">
          <cell r="B3558">
            <v>41725</v>
          </cell>
          <cell r="C3558">
            <v>6613.1</v>
          </cell>
          <cell r="D3558">
            <v>6673.95</v>
          </cell>
          <cell r="E3558">
            <v>6599.5</v>
          </cell>
          <cell r="F3558">
            <v>6641.75</v>
          </cell>
        </row>
        <row r="3559">
          <cell r="B3559">
            <v>41726</v>
          </cell>
          <cell r="C3559">
            <v>6673.05</v>
          </cell>
          <cell r="D3559">
            <v>6702.6</v>
          </cell>
          <cell r="E3559">
            <v>6643.8</v>
          </cell>
          <cell r="F3559">
            <v>6695.9</v>
          </cell>
        </row>
        <row r="3560">
          <cell r="B3560">
            <v>41729</v>
          </cell>
          <cell r="C3560">
            <v>6723.15</v>
          </cell>
          <cell r="D3560">
            <v>6730.05</v>
          </cell>
          <cell r="E3560">
            <v>6662.4</v>
          </cell>
          <cell r="F3560">
            <v>6704.2</v>
          </cell>
        </row>
        <row r="3561">
          <cell r="B3561">
            <v>41730</v>
          </cell>
          <cell r="C3561">
            <v>6729.5</v>
          </cell>
          <cell r="D3561">
            <v>6732.25</v>
          </cell>
          <cell r="E3561">
            <v>6675.45</v>
          </cell>
          <cell r="F3561">
            <v>6721.05</v>
          </cell>
        </row>
        <row r="3562">
          <cell r="B3562">
            <v>41731</v>
          </cell>
          <cell r="C3562">
            <v>6757.6</v>
          </cell>
          <cell r="D3562">
            <v>6763.5</v>
          </cell>
          <cell r="E3562">
            <v>6723.6</v>
          </cell>
          <cell r="F3562">
            <v>6752.55</v>
          </cell>
        </row>
        <row r="3563">
          <cell r="B3563">
            <v>41732</v>
          </cell>
          <cell r="C3563">
            <v>6772.05</v>
          </cell>
          <cell r="D3563">
            <v>6776.75</v>
          </cell>
          <cell r="E3563">
            <v>6696.9</v>
          </cell>
          <cell r="F3563">
            <v>6736.1</v>
          </cell>
        </row>
        <row r="3564">
          <cell r="B3564">
            <v>41733</v>
          </cell>
          <cell r="C3564">
            <v>6741.85</v>
          </cell>
          <cell r="D3564">
            <v>6741.85</v>
          </cell>
          <cell r="E3564">
            <v>6685.15</v>
          </cell>
          <cell r="F3564">
            <v>6694.35</v>
          </cell>
        </row>
        <row r="3565">
          <cell r="B3565">
            <v>41736</v>
          </cell>
          <cell r="C3565">
            <v>6694.25</v>
          </cell>
          <cell r="D3565">
            <v>6725.15</v>
          </cell>
          <cell r="E3565">
            <v>6650.4</v>
          </cell>
          <cell r="F3565">
            <v>6695.05</v>
          </cell>
        </row>
        <row r="3566">
          <cell r="B3566">
            <v>41738</v>
          </cell>
          <cell r="C3566">
            <v>6722</v>
          </cell>
          <cell r="D3566">
            <v>6808.7</v>
          </cell>
          <cell r="E3566">
            <v>6705.1</v>
          </cell>
          <cell r="F3566">
            <v>6796.2</v>
          </cell>
        </row>
        <row r="3567">
          <cell r="B3567">
            <v>41739</v>
          </cell>
          <cell r="C3567">
            <v>6803.05</v>
          </cell>
          <cell r="D3567">
            <v>6819.05</v>
          </cell>
          <cell r="E3567">
            <v>6777.3</v>
          </cell>
          <cell r="F3567">
            <v>6796.4</v>
          </cell>
        </row>
        <row r="3568">
          <cell r="B3568">
            <v>41740</v>
          </cell>
          <cell r="C3568">
            <v>6758.35</v>
          </cell>
          <cell r="D3568">
            <v>6789.35</v>
          </cell>
          <cell r="E3568">
            <v>6743.15</v>
          </cell>
          <cell r="F3568">
            <v>6776.3</v>
          </cell>
        </row>
        <row r="3569">
          <cell r="B3569">
            <v>41744</v>
          </cell>
          <cell r="C3569">
            <v>6792.7</v>
          </cell>
          <cell r="D3569">
            <v>6813.4</v>
          </cell>
          <cell r="E3569">
            <v>6711.75</v>
          </cell>
          <cell r="F3569">
            <v>6733.1</v>
          </cell>
        </row>
        <row r="3570">
          <cell r="B3570">
            <v>41745</v>
          </cell>
          <cell r="C3570">
            <v>6727.25</v>
          </cell>
          <cell r="D3570">
            <v>6748.65</v>
          </cell>
          <cell r="E3570">
            <v>6665.15</v>
          </cell>
          <cell r="F3570">
            <v>6675.3</v>
          </cell>
        </row>
        <row r="3571">
          <cell r="B3571">
            <v>41746</v>
          </cell>
          <cell r="C3571">
            <v>6695.45</v>
          </cell>
          <cell r="D3571">
            <v>6783.05</v>
          </cell>
          <cell r="E3571">
            <v>6684.4</v>
          </cell>
          <cell r="F3571">
            <v>6779.4</v>
          </cell>
        </row>
        <row r="3572">
          <cell r="B3572">
            <v>41750</v>
          </cell>
          <cell r="C3572">
            <v>6789.25</v>
          </cell>
          <cell r="D3572">
            <v>6825.45</v>
          </cell>
          <cell r="E3572">
            <v>6786.9</v>
          </cell>
          <cell r="F3572">
            <v>6817.65</v>
          </cell>
        </row>
        <row r="3573">
          <cell r="B3573">
            <v>41751</v>
          </cell>
          <cell r="C3573">
            <v>6822.9</v>
          </cell>
          <cell r="D3573">
            <v>6838</v>
          </cell>
          <cell r="E3573">
            <v>6806.25</v>
          </cell>
          <cell r="F3573">
            <v>6815.35</v>
          </cell>
        </row>
        <row r="3574">
          <cell r="B3574">
            <v>41752</v>
          </cell>
          <cell r="C3574">
            <v>6823.25</v>
          </cell>
          <cell r="D3574">
            <v>6861.6</v>
          </cell>
          <cell r="E3574">
            <v>6820.75</v>
          </cell>
          <cell r="F3574">
            <v>6840.8</v>
          </cell>
        </row>
        <row r="3575">
          <cell r="B3575">
            <v>41754</v>
          </cell>
          <cell r="C3575">
            <v>6855.8</v>
          </cell>
          <cell r="D3575">
            <v>6869.85</v>
          </cell>
          <cell r="E3575">
            <v>6772.85</v>
          </cell>
          <cell r="F3575">
            <v>6782.75</v>
          </cell>
        </row>
        <row r="3576">
          <cell r="B3576">
            <v>41757</v>
          </cell>
          <cell r="C3576">
            <v>6778.55</v>
          </cell>
          <cell r="D3576">
            <v>6786.25</v>
          </cell>
          <cell r="E3576">
            <v>6750.3</v>
          </cell>
          <cell r="F3576">
            <v>6761.25</v>
          </cell>
        </row>
        <row r="3577">
          <cell r="B3577">
            <v>41758</v>
          </cell>
          <cell r="C3577">
            <v>6769</v>
          </cell>
          <cell r="D3577">
            <v>6779.7</v>
          </cell>
          <cell r="E3577">
            <v>6708.65</v>
          </cell>
          <cell r="F3577">
            <v>6715.25</v>
          </cell>
        </row>
        <row r="3578">
          <cell r="B3578">
            <v>41759</v>
          </cell>
          <cell r="C3578">
            <v>6724.95</v>
          </cell>
          <cell r="D3578">
            <v>6780.15</v>
          </cell>
          <cell r="E3578">
            <v>6656.8</v>
          </cell>
          <cell r="F3578">
            <v>6696.4</v>
          </cell>
        </row>
        <row r="3579">
          <cell r="B3579">
            <v>41761</v>
          </cell>
          <cell r="C3579">
            <v>6709.95</v>
          </cell>
          <cell r="D3579">
            <v>6737.65</v>
          </cell>
          <cell r="E3579">
            <v>6689.5</v>
          </cell>
          <cell r="F3579">
            <v>6694.8</v>
          </cell>
        </row>
        <row r="3580">
          <cell r="B3580">
            <v>41764</v>
          </cell>
          <cell r="C3580">
            <v>6681.65</v>
          </cell>
          <cell r="D3580">
            <v>6741.05</v>
          </cell>
          <cell r="E3580">
            <v>6680.45</v>
          </cell>
          <cell r="F3580">
            <v>6699.35</v>
          </cell>
        </row>
        <row r="3581">
          <cell r="B3581">
            <v>41765</v>
          </cell>
          <cell r="C3581">
            <v>6719.25</v>
          </cell>
          <cell r="D3581">
            <v>6743.45</v>
          </cell>
          <cell r="E3581">
            <v>6701.9</v>
          </cell>
          <cell r="F3581">
            <v>6715.3</v>
          </cell>
        </row>
        <row r="3582">
          <cell r="B3582">
            <v>41766</v>
          </cell>
          <cell r="C3582">
            <v>6708.6</v>
          </cell>
          <cell r="D3582">
            <v>6718.75</v>
          </cell>
          <cell r="E3582">
            <v>6642.9</v>
          </cell>
          <cell r="F3582">
            <v>6652.55</v>
          </cell>
        </row>
        <row r="3583">
          <cell r="B3583">
            <v>41767</v>
          </cell>
          <cell r="C3583">
            <v>6669.9</v>
          </cell>
          <cell r="D3583">
            <v>6688.4</v>
          </cell>
          <cell r="E3583">
            <v>6638.55</v>
          </cell>
          <cell r="F3583">
            <v>6659.85</v>
          </cell>
        </row>
        <row r="3584">
          <cell r="B3584">
            <v>41768</v>
          </cell>
          <cell r="C3584">
            <v>6654.15</v>
          </cell>
          <cell r="D3584">
            <v>6871.35</v>
          </cell>
          <cell r="E3584">
            <v>6652.15</v>
          </cell>
          <cell r="F3584">
            <v>6858.8</v>
          </cell>
        </row>
        <row r="3585">
          <cell r="B3585">
            <v>41771</v>
          </cell>
          <cell r="C3585">
            <v>6863.4</v>
          </cell>
          <cell r="D3585">
            <v>7020.05</v>
          </cell>
          <cell r="E3585">
            <v>6862.9</v>
          </cell>
          <cell r="F3585">
            <v>7014.25</v>
          </cell>
        </row>
        <row r="3586">
          <cell r="B3586">
            <v>41772</v>
          </cell>
          <cell r="C3586">
            <v>7080</v>
          </cell>
          <cell r="D3586">
            <v>7172.35</v>
          </cell>
          <cell r="E3586">
            <v>7067.15</v>
          </cell>
          <cell r="F3586">
            <v>7108.75</v>
          </cell>
        </row>
        <row r="3587">
          <cell r="B3587">
            <v>41773</v>
          </cell>
          <cell r="C3587">
            <v>7112</v>
          </cell>
          <cell r="D3587">
            <v>7142.25</v>
          </cell>
          <cell r="E3587">
            <v>7080.9</v>
          </cell>
          <cell r="F3587">
            <v>7108.75</v>
          </cell>
        </row>
        <row r="3588">
          <cell r="B3588">
            <v>41774</v>
          </cell>
          <cell r="C3588">
            <v>7111.3</v>
          </cell>
          <cell r="D3588">
            <v>7152.55</v>
          </cell>
          <cell r="E3588">
            <v>7082.55</v>
          </cell>
          <cell r="F3588">
            <v>7123.15</v>
          </cell>
        </row>
        <row r="3589">
          <cell r="B3589">
            <v>41775</v>
          </cell>
          <cell r="C3589">
            <v>7270.2</v>
          </cell>
          <cell r="D3589">
            <v>7563.5</v>
          </cell>
          <cell r="E3589">
            <v>7130.65</v>
          </cell>
          <cell r="F3589">
            <v>7203</v>
          </cell>
        </row>
        <row r="3590">
          <cell r="B3590">
            <v>41778</v>
          </cell>
          <cell r="C3590">
            <v>7276.85</v>
          </cell>
          <cell r="D3590">
            <v>7291.1</v>
          </cell>
          <cell r="E3590">
            <v>7193.55</v>
          </cell>
          <cell r="F3590">
            <v>7263.55</v>
          </cell>
        </row>
        <row r="3591">
          <cell r="B3591">
            <v>41779</v>
          </cell>
          <cell r="C3591">
            <v>7309.95</v>
          </cell>
          <cell r="D3591">
            <v>7353.65</v>
          </cell>
          <cell r="E3591">
            <v>7247.7</v>
          </cell>
          <cell r="F3591">
            <v>7275.5</v>
          </cell>
        </row>
        <row r="3592">
          <cell r="B3592">
            <v>41780</v>
          </cell>
          <cell r="C3592">
            <v>7274.85</v>
          </cell>
          <cell r="D3592">
            <v>7287.15</v>
          </cell>
          <cell r="E3592">
            <v>7206.7</v>
          </cell>
          <cell r="F3592">
            <v>7252.9</v>
          </cell>
        </row>
        <row r="3593">
          <cell r="B3593">
            <v>41781</v>
          </cell>
          <cell r="C3593">
            <v>7289.95</v>
          </cell>
          <cell r="D3593">
            <v>7319.55</v>
          </cell>
          <cell r="E3593">
            <v>7258.15</v>
          </cell>
          <cell r="F3593">
            <v>7276.4</v>
          </cell>
        </row>
        <row r="3594">
          <cell r="B3594">
            <v>41782</v>
          </cell>
          <cell r="C3594">
            <v>7306.5</v>
          </cell>
          <cell r="D3594">
            <v>7381</v>
          </cell>
          <cell r="E3594">
            <v>7293.9</v>
          </cell>
          <cell r="F3594">
            <v>7367.1</v>
          </cell>
        </row>
        <row r="3595">
          <cell r="B3595">
            <v>41785</v>
          </cell>
          <cell r="C3595">
            <v>7428.75</v>
          </cell>
          <cell r="D3595">
            <v>7504</v>
          </cell>
          <cell r="E3595">
            <v>7269.05</v>
          </cell>
          <cell r="F3595">
            <v>7359.05</v>
          </cell>
        </row>
        <row r="3596">
          <cell r="B3596">
            <v>41786</v>
          </cell>
          <cell r="C3596">
            <v>7363.1</v>
          </cell>
          <cell r="D3596">
            <v>7372.95</v>
          </cell>
          <cell r="E3596">
            <v>7274.75</v>
          </cell>
          <cell r="F3596">
            <v>7318</v>
          </cell>
        </row>
        <row r="3597">
          <cell r="B3597">
            <v>41787</v>
          </cell>
          <cell r="C3597">
            <v>7324.95</v>
          </cell>
          <cell r="D3597">
            <v>7344.75</v>
          </cell>
          <cell r="E3597">
            <v>7302.6</v>
          </cell>
          <cell r="F3597">
            <v>7329.65</v>
          </cell>
        </row>
        <row r="3598">
          <cell r="B3598">
            <v>41788</v>
          </cell>
          <cell r="C3598">
            <v>7316.6</v>
          </cell>
          <cell r="D3598">
            <v>7325.4</v>
          </cell>
          <cell r="E3598">
            <v>7224.4</v>
          </cell>
          <cell r="F3598">
            <v>7235.65</v>
          </cell>
        </row>
        <row r="3599">
          <cell r="B3599">
            <v>41789</v>
          </cell>
          <cell r="C3599">
            <v>7254.85</v>
          </cell>
          <cell r="D3599">
            <v>7272.5</v>
          </cell>
          <cell r="E3599">
            <v>7118.45</v>
          </cell>
          <cell r="F3599">
            <v>7229.95</v>
          </cell>
        </row>
        <row r="3600">
          <cell r="B3600">
            <v>41792</v>
          </cell>
          <cell r="C3600">
            <v>7264.05</v>
          </cell>
          <cell r="D3600">
            <v>7368.6</v>
          </cell>
          <cell r="E3600">
            <v>7239.5</v>
          </cell>
          <cell r="F3600">
            <v>7362.5</v>
          </cell>
        </row>
        <row r="3601">
          <cell r="B3601">
            <v>41793</v>
          </cell>
          <cell r="C3601">
            <v>7375.35</v>
          </cell>
          <cell r="D3601">
            <v>7424.95</v>
          </cell>
          <cell r="E3601">
            <v>7342.15</v>
          </cell>
          <cell r="F3601">
            <v>7415.85</v>
          </cell>
        </row>
        <row r="3602">
          <cell r="B3602">
            <v>41794</v>
          </cell>
          <cell r="C3602">
            <v>7417.55</v>
          </cell>
          <cell r="D3602">
            <v>7433.3</v>
          </cell>
          <cell r="E3602">
            <v>7391.35</v>
          </cell>
          <cell r="F3602">
            <v>7402.25</v>
          </cell>
        </row>
        <row r="3603">
          <cell r="B3603">
            <v>41795</v>
          </cell>
          <cell r="C3603">
            <v>7399.75</v>
          </cell>
          <cell r="D3603">
            <v>7484.7</v>
          </cell>
          <cell r="E3603">
            <v>7360.5</v>
          </cell>
          <cell r="F3603">
            <v>7474.1</v>
          </cell>
        </row>
        <row r="3604">
          <cell r="B3604">
            <v>41796</v>
          </cell>
          <cell r="C3604">
            <v>7521.5</v>
          </cell>
          <cell r="D3604">
            <v>7592.7</v>
          </cell>
          <cell r="E3604">
            <v>7497.65</v>
          </cell>
          <cell r="F3604">
            <v>7583.4</v>
          </cell>
        </row>
        <row r="3605">
          <cell r="B3605">
            <v>41799</v>
          </cell>
          <cell r="C3605">
            <v>7621.65</v>
          </cell>
          <cell r="D3605">
            <v>7673.7</v>
          </cell>
          <cell r="E3605">
            <v>7580.25</v>
          </cell>
          <cell r="F3605">
            <v>7654.6</v>
          </cell>
        </row>
        <row r="3606">
          <cell r="B3606">
            <v>41800</v>
          </cell>
          <cell r="C3606">
            <v>7679.05</v>
          </cell>
          <cell r="D3606">
            <v>7683.2</v>
          </cell>
          <cell r="E3606">
            <v>7579.3</v>
          </cell>
          <cell r="F3606">
            <v>7656.4</v>
          </cell>
        </row>
        <row r="3607">
          <cell r="B3607">
            <v>41801</v>
          </cell>
          <cell r="C3607">
            <v>7672.4</v>
          </cell>
          <cell r="D3607">
            <v>7700.05</v>
          </cell>
          <cell r="E3607">
            <v>7589.05</v>
          </cell>
          <cell r="F3607">
            <v>7626.85</v>
          </cell>
        </row>
        <row r="3608">
          <cell r="B3608">
            <v>41802</v>
          </cell>
          <cell r="C3608">
            <v>7641.3</v>
          </cell>
          <cell r="D3608">
            <v>7658</v>
          </cell>
          <cell r="E3608">
            <v>7593.8</v>
          </cell>
          <cell r="F3608">
            <v>7649.9</v>
          </cell>
        </row>
        <row r="3609">
          <cell r="B3609">
            <v>41803</v>
          </cell>
          <cell r="C3609">
            <v>7668.2</v>
          </cell>
          <cell r="D3609">
            <v>7678.5</v>
          </cell>
          <cell r="E3609">
            <v>7525.35</v>
          </cell>
          <cell r="F3609">
            <v>7542.1</v>
          </cell>
        </row>
        <row r="3610">
          <cell r="B3610">
            <v>41806</v>
          </cell>
          <cell r="C3610">
            <v>7534.8</v>
          </cell>
          <cell r="D3610">
            <v>7548.6</v>
          </cell>
          <cell r="E3610">
            <v>7487.55</v>
          </cell>
          <cell r="F3610">
            <v>7533.55</v>
          </cell>
        </row>
        <row r="3611">
          <cell r="B3611">
            <v>41807</v>
          </cell>
          <cell r="C3611">
            <v>7525.05</v>
          </cell>
          <cell r="D3611">
            <v>7637.6</v>
          </cell>
          <cell r="E3611">
            <v>7509.25</v>
          </cell>
          <cell r="F3611">
            <v>7631.7</v>
          </cell>
        </row>
        <row r="3612">
          <cell r="B3612">
            <v>41808</v>
          </cell>
          <cell r="C3612">
            <v>7636.05</v>
          </cell>
          <cell r="D3612">
            <v>7663</v>
          </cell>
          <cell r="E3612">
            <v>7515.5</v>
          </cell>
          <cell r="F3612">
            <v>7558.2</v>
          </cell>
        </row>
        <row r="3613">
          <cell r="B3613">
            <v>41809</v>
          </cell>
          <cell r="C3613">
            <v>7580.05</v>
          </cell>
          <cell r="D3613">
            <v>7606.45</v>
          </cell>
          <cell r="E3613">
            <v>7502.55</v>
          </cell>
          <cell r="F3613">
            <v>7540.7</v>
          </cell>
        </row>
        <row r="3614">
          <cell r="B3614">
            <v>41810</v>
          </cell>
          <cell r="C3614">
            <v>7543.3</v>
          </cell>
          <cell r="D3614">
            <v>7560.55</v>
          </cell>
          <cell r="E3614">
            <v>7497.3</v>
          </cell>
          <cell r="F3614">
            <v>7511.45</v>
          </cell>
        </row>
        <row r="3615">
          <cell r="B3615">
            <v>41813</v>
          </cell>
          <cell r="C3615">
            <v>7514</v>
          </cell>
          <cell r="D3615">
            <v>7534.8</v>
          </cell>
          <cell r="E3615">
            <v>7441.6</v>
          </cell>
          <cell r="F3615">
            <v>7493.35</v>
          </cell>
        </row>
        <row r="3616">
          <cell r="B3616">
            <v>41814</v>
          </cell>
          <cell r="C3616">
            <v>7515.2</v>
          </cell>
          <cell r="D3616">
            <v>7593.35</v>
          </cell>
          <cell r="E3616">
            <v>7515.2</v>
          </cell>
          <cell r="F3616">
            <v>7580.2</v>
          </cell>
        </row>
        <row r="3617">
          <cell r="B3617">
            <v>41815</v>
          </cell>
          <cell r="C3617">
            <v>7588.55</v>
          </cell>
          <cell r="D3617">
            <v>7589.25</v>
          </cell>
          <cell r="E3617">
            <v>7557.05</v>
          </cell>
          <cell r="F3617">
            <v>7569.25</v>
          </cell>
        </row>
        <row r="3618">
          <cell r="B3618">
            <v>41816</v>
          </cell>
          <cell r="C3618">
            <v>7554.1</v>
          </cell>
          <cell r="D3618">
            <v>7570.2</v>
          </cell>
          <cell r="E3618">
            <v>7481.3</v>
          </cell>
          <cell r="F3618">
            <v>7493.2</v>
          </cell>
        </row>
        <row r="3619">
          <cell r="B3619">
            <v>41817</v>
          </cell>
          <cell r="C3619">
            <v>7514.2</v>
          </cell>
          <cell r="D3619">
            <v>7538.75</v>
          </cell>
          <cell r="E3619">
            <v>7482.3</v>
          </cell>
          <cell r="F3619">
            <v>7508.8</v>
          </cell>
        </row>
        <row r="3620">
          <cell r="B3620">
            <v>41820</v>
          </cell>
          <cell r="C3620">
            <v>7534.05</v>
          </cell>
          <cell r="D3620">
            <v>7623.65</v>
          </cell>
          <cell r="E3620">
            <v>7531.6</v>
          </cell>
          <cell r="F3620">
            <v>7611.35</v>
          </cell>
        </row>
        <row r="3621">
          <cell r="B3621">
            <v>41821</v>
          </cell>
          <cell r="C3621">
            <v>7629</v>
          </cell>
          <cell r="D3621">
            <v>7649.5</v>
          </cell>
          <cell r="E3621">
            <v>7618.15</v>
          </cell>
          <cell r="F3621">
            <v>7634.7</v>
          </cell>
        </row>
        <row r="3622">
          <cell r="B3622">
            <v>41822</v>
          </cell>
          <cell r="C3622">
            <v>7683.05</v>
          </cell>
          <cell r="D3622">
            <v>7732.4</v>
          </cell>
          <cell r="E3622">
            <v>7677.3</v>
          </cell>
          <cell r="F3622">
            <v>7725.15</v>
          </cell>
        </row>
        <row r="3623">
          <cell r="B3623">
            <v>41823</v>
          </cell>
          <cell r="C3623">
            <v>7734.35</v>
          </cell>
          <cell r="D3623">
            <v>7754.65</v>
          </cell>
          <cell r="E3623">
            <v>7706.8</v>
          </cell>
          <cell r="F3623">
            <v>7714.8</v>
          </cell>
        </row>
        <row r="3624">
          <cell r="B3624">
            <v>41824</v>
          </cell>
          <cell r="C3624">
            <v>7718.1</v>
          </cell>
          <cell r="D3624">
            <v>7758</v>
          </cell>
          <cell r="E3624">
            <v>7661.3</v>
          </cell>
          <cell r="F3624">
            <v>7751.6</v>
          </cell>
        </row>
        <row r="3625">
          <cell r="B3625">
            <v>41827</v>
          </cell>
          <cell r="C3625">
            <v>7780.4</v>
          </cell>
          <cell r="D3625">
            <v>7792</v>
          </cell>
          <cell r="E3625">
            <v>7755.1</v>
          </cell>
          <cell r="F3625">
            <v>7787.15</v>
          </cell>
        </row>
        <row r="3626">
          <cell r="B3626">
            <v>41828</v>
          </cell>
          <cell r="C3626">
            <v>7804.05</v>
          </cell>
          <cell r="D3626">
            <v>7808.85</v>
          </cell>
          <cell r="E3626">
            <v>7595.9</v>
          </cell>
          <cell r="F3626">
            <v>7623.2</v>
          </cell>
        </row>
        <row r="3627">
          <cell r="B3627">
            <v>41829</v>
          </cell>
          <cell r="C3627">
            <v>7637.95</v>
          </cell>
          <cell r="D3627">
            <v>7650.1</v>
          </cell>
          <cell r="E3627">
            <v>7551.65</v>
          </cell>
          <cell r="F3627">
            <v>7585</v>
          </cell>
        </row>
        <row r="3628">
          <cell r="B3628">
            <v>41830</v>
          </cell>
          <cell r="C3628">
            <v>7589.5</v>
          </cell>
          <cell r="D3628">
            <v>7731.05</v>
          </cell>
          <cell r="E3628">
            <v>7479.05</v>
          </cell>
          <cell r="F3628">
            <v>7567.75</v>
          </cell>
        </row>
        <row r="3629">
          <cell r="B3629">
            <v>41831</v>
          </cell>
          <cell r="C3629">
            <v>7584.1</v>
          </cell>
          <cell r="D3629">
            <v>7625.85</v>
          </cell>
          <cell r="E3629">
            <v>7447.2</v>
          </cell>
          <cell r="F3629">
            <v>7459.6</v>
          </cell>
        </row>
        <row r="3630">
          <cell r="B3630">
            <v>41834</v>
          </cell>
          <cell r="C3630">
            <v>7469</v>
          </cell>
          <cell r="D3630">
            <v>7478.45</v>
          </cell>
          <cell r="E3630">
            <v>7422.15</v>
          </cell>
          <cell r="F3630">
            <v>7454.15</v>
          </cell>
        </row>
        <row r="3631">
          <cell r="B3631">
            <v>41835</v>
          </cell>
          <cell r="C3631">
            <v>7491.3</v>
          </cell>
          <cell r="D3631">
            <v>7534.9</v>
          </cell>
          <cell r="E3631">
            <v>7459.15</v>
          </cell>
          <cell r="F3631">
            <v>7526.65</v>
          </cell>
        </row>
        <row r="3632">
          <cell r="B3632">
            <v>41836</v>
          </cell>
          <cell r="C3632">
            <v>7564.15</v>
          </cell>
          <cell r="D3632">
            <v>7640.1</v>
          </cell>
          <cell r="E3632">
            <v>7532.45</v>
          </cell>
          <cell r="F3632">
            <v>7624.4</v>
          </cell>
        </row>
        <row r="3633">
          <cell r="B3633">
            <v>41837</v>
          </cell>
          <cell r="C3633">
            <v>7612.7</v>
          </cell>
          <cell r="D3633">
            <v>7655.65</v>
          </cell>
          <cell r="E3633">
            <v>7612.7</v>
          </cell>
          <cell r="F3633">
            <v>7640.45</v>
          </cell>
        </row>
        <row r="3634">
          <cell r="B3634">
            <v>41838</v>
          </cell>
          <cell r="C3634">
            <v>7630.25</v>
          </cell>
          <cell r="D3634">
            <v>7685</v>
          </cell>
          <cell r="E3634">
            <v>7595.5</v>
          </cell>
          <cell r="F3634">
            <v>7663.9</v>
          </cell>
        </row>
        <row r="3635">
          <cell r="B3635">
            <v>41841</v>
          </cell>
          <cell r="C3635">
            <v>7701.65</v>
          </cell>
          <cell r="D3635">
            <v>7722.1</v>
          </cell>
          <cell r="E3635">
            <v>7674</v>
          </cell>
          <cell r="F3635">
            <v>7684.2</v>
          </cell>
        </row>
        <row r="3636">
          <cell r="B3636">
            <v>41842</v>
          </cell>
          <cell r="C3636">
            <v>7708.2</v>
          </cell>
          <cell r="D3636">
            <v>7773.85</v>
          </cell>
          <cell r="E3636">
            <v>7704.8</v>
          </cell>
          <cell r="F3636">
            <v>7767.85</v>
          </cell>
        </row>
        <row r="3637">
          <cell r="B3637">
            <v>41843</v>
          </cell>
          <cell r="C3637">
            <v>7794.9</v>
          </cell>
          <cell r="D3637">
            <v>7809.2</v>
          </cell>
          <cell r="E3637">
            <v>7752.9</v>
          </cell>
          <cell r="F3637">
            <v>7795.75</v>
          </cell>
        </row>
        <row r="3638">
          <cell r="B3638">
            <v>41844</v>
          </cell>
          <cell r="C3638">
            <v>7796.25</v>
          </cell>
          <cell r="D3638">
            <v>7835.65</v>
          </cell>
          <cell r="E3638">
            <v>7771.65</v>
          </cell>
          <cell r="F3638">
            <v>7830.6</v>
          </cell>
        </row>
        <row r="3639">
          <cell r="B3639">
            <v>41845</v>
          </cell>
          <cell r="C3639">
            <v>7828.2</v>
          </cell>
          <cell r="D3639">
            <v>7840.95</v>
          </cell>
          <cell r="E3639">
            <v>7748.6</v>
          </cell>
          <cell r="F3639">
            <v>7790.45</v>
          </cell>
        </row>
        <row r="3640">
          <cell r="B3640">
            <v>41848</v>
          </cell>
          <cell r="C3640">
            <v>7792.9</v>
          </cell>
          <cell r="D3640">
            <v>7799.9</v>
          </cell>
          <cell r="E3640">
            <v>7722.65</v>
          </cell>
          <cell r="F3640">
            <v>7748.7</v>
          </cell>
        </row>
        <row r="3641">
          <cell r="B3641">
            <v>41850</v>
          </cell>
          <cell r="C3641">
            <v>7746.2</v>
          </cell>
          <cell r="D3641">
            <v>7798.7</v>
          </cell>
          <cell r="E3641">
            <v>7707.6</v>
          </cell>
          <cell r="F3641">
            <v>7791.4</v>
          </cell>
        </row>
        <row r="3642">
          <cell r="B3642">
            <v>41851</v>
          </cell>
          <cell r="C3642">
            <v>7784.65</v>
          </cell>
          <cell r="D3642">
            <v>7791.85</v>
          </cell>
          <cell r="E3642">
            <v>7711.15</v>
          </cell>
          <cell r="F3642">
            <v>7721.3</v>
          </cell>
        </row>
        <row r="3643">
          <cell r="B3643">
            <v>41852</v>
          </cell>
          <cell r="C3643">
            <v>7662.5</v>
          </cell>
          <cell r="D3643">
            <v>7716.7</v>
          </cell>
          <cell r="E3643">
            <v>7593.9</v>
          </cell>
          <cell r="F3643">
            <v>7602.6</v>
          </cell>
        </row>
        <row r="3644">
          <cell r="B3644">
            <v>41855</v>
          </cell>
          <cell r="C3644">
            <v>7639.55</v>
          </cell>
          <cell r="D3644">
            <v>7694.8</v>
          </cell>
          <cell r="E3644">
            <v>7622.05</v>
          </cell>
          <cell r="F3644">
            <v>7683.65</v>
          </cell>
        </row>
        <row r="3645">
          <cell r="B3645">
            <v>41856</v>
          </cell>
          <cell r="C3645">
            <v>7706.65</v>
          </cell>
          <cell r="D3645">
            <v>7752.45</v>
          </cell>
          <cell r="E3645">
            <v>7638.05</v>
          </cell>
          <cell r="F3645">
            <v>7746.55</v>
          </cell>
        </row>
        <row r="3646">
          <cell r="B3646">
            <v>41857</v>
          </cell>
          <cell r="C3646">
            <v>7726.15</v>
          </cell>
          <cell r="D3646">
            <v>7740.95</v>
          </cell>
          <cell r="E3646">
            <v>7658.95</v>
          </cell>
          <cell r="F3646">
            <v>7672.05</v>
          </cell>
        </row>
        <row r="3647">
          <cell r="B3647">
            <v>41858</v>
          </cell>
          <cell r="C3647">
            <v>7651.15</v>
          </cell>
          <cell r="D3647">
            <v>7708.95</v>
          </cell>
          <cell r="E3647">
            <v>7630.4</v>
          </cell>
          <cell r="F3647">
            <v>7649.25</v>
          </cell>
        </row>
        <row r="3648">
          <cell r="B3648">
            <v>41859</v>
          </cell>
          <cell r="C3648">
            <v>7588.7</v>
          </cell>
          <cell r="D3648">
            <v>7592.45</v>
          </cell>
          <cell r="E3648">
            <v>7540.1</v>
          </cell>
          <cell r="F3648">
            <v>7568.55</v>
          </cell>
        </row>
        <row r="3649">
          <cell r="B3649">
            <v>41862</v>
          </cell>
          <cell r="C3649">
            <v>7619.85</v>
          </cell>
          <cell r="D3649">
            <v>7635.55</v>
          </cell>
          <cell r="E3649">
            <v>7598.6</v>
          </cell>
          <cell r="F3649">
            <v>7625.95</v>
          </cell>
        </row>
        <row r="3650">
          <cell r="B3650">
            <v>41863</v>
          </cell>
          <cell r="C3650">
            <v>7688.8</v>
          </cell>
          <cell r="D3650">
            <v>7735.75</v>
          </cell>
          <cell r="E3650">
            <v>7654.8</v>
          </cell>
          <cell r="F3650">
            <v>7727.05</v>
          </cell>
        </row>
        <row r="3651">
          <cell r="B3651">
            <v>41864</v>
          </cell>
          <cell r="C3651">
            <v>7717.3</v>
          </cell>
          <cell r="D3651">
            <v>7757.1</v>
          </cell>
          <cell r="E3651">
            <v>7695.7</v>
          </cell>
          <cell r="F3651">
            <v>7739.55</v>
          </cell>
        </row>
        <row r="3652">
          <cell r="B3652">
            <v>41865</v>
          </cell>
          <cell r="C3652">
            <v>7756.15</v>
          </cell>
          <cell r="D3652">
            <v>7796.7</v>
          </cell>
          <cell r="E3652">
            <v>7739.1</v>
          </cell>
          <cell r="F3652">
            <v>7791.7</v>
          </cell>
        </row>
        <row r="3653">
          <cell r="B3653">
            <v>41869</v>
          </cell>
          <cell r="C3653">
            <v>7785.25</v>
          </cell>
          <cell r="D3653">
            <v>7880.5</v>
          </cell>
          <cell r="E3653">
            <v>7779.2</v>
          </cell>
          <cell r="F3653">
            <v>7874.25</v>
          </cell>
        </row>
        <row r="3654">
          <cell r="B3654">
            <v>41870</v>
          </cell>
          <cell r="C3654">
            <v>7901</v>
          </cell>
          <cell r="D3654">
            <v>7918.55</v>
          </cell>
          <cell r="E3654">
            <v>7881.15</v>
          </cell>
          <cell r="F3654">
            <v>7897.5</v>
          </cell>
        </row>
        <row r="3655">
          <cell r="B3655">
            <v>41871</v>
          </cell>
          <cell r="C3655">
            <v>7915.8</v>
          </cell>
          <cell r="D3655">
            <v>7922.7</v>
          </cell>
          <cell r="E3655">
            <v>7864.05</v>
          </cell>
          <cell r="F3655">
            <v>7875.3</v>
          </cell>
        </row>
        <row r="3656">
          <cell r="B3656">
            <v>41872</v>
          </cell>
          <cell r="C3656">
            <v>7875.35</v>
          </cell>
          <cell r="D3656">
            <v>7919.65</v>
          </cell>
          <cell r="E3656">
            <v>7855.95</v>
          </cell>
          <cell r="F3656">
            <v>7891.1</v>
          </cell>
        </row>
        <row r="3657">
          <cell r="B3657">
            <v>41873</v>
          </cell>
          <cell r="C3657">
            <v>7904.55</v>
          </cell>
          <cell r="D3657">
            <v>7929.05</v>
          </cell>
          <cell r="E3657">
            <v>7900.05</v>
          </cell>
          <cell r="F3657">
            <v>7913.2</v>
          </cell>
        </row>
        <row r="3658">
          <cell r="B3658">
            <v>41876</v>
          </cell>
          <cell r="C3658">
            <v>7931.75</v>
          </cell>
          <cell r="D3658">
            <v>7968.25</v>
          </cell>
          <cell r="E3658">
            <v>7897.95</v>
          </cell>
          <cell r="F3658">
            <v>7906.3</v>
          </cell>
        </row>
        <row r="3659">
          <cell r="B3659">
            <v>41877</v>
          </cell>
          <cell r="C3659">
            <v>7874.5</v>
          </cell>
          <cell r="D3659">
            <v>7915.45</v>
          </cell>
          <cell r="E3659">
            <v>7862.45</v>
          </cell>
          <cell r="F3659">
            <v>7904.75</v>
          </cell>
        </row>
        <row r="3660">
          <cell r="B3660">
            <v>41878</v>
          </cell>
          <cell r="C3660">
            <v>7933.9</v>
          </cell>
          <cell r="D3660">
            <v>7946.85</v>
          </cell>
          <cell r="E3660">
            <v>7916.55</v>
          </cell>
          <cell r="F3660">
            <v>7936.05</v>
          </cell>
        </row>
        <row r="3661">
          <cell r="B3661">
            <v>41879</v>
          </cell>
          <cell r="C3661">
            <v>7942.25</v>
          </cell>
          <cell r="D3661">
            <v>7967.8</v>
          </cell>
          <cell r="E3661">
            <v>7939.2</v>
          </cell>
          <cell r="F3661">
            <v>7954.35</v>
          </cell>
        </row>
        <row r="3662">
          <cell r="B3662">
            <v>41883</v>
          </cell>
          <cell r="C3662">
            <v>7990.35</v>
          </cell>
          <cell r="D3662">
            <v>8035</v>
          </cell>
          <cell r="E3662">
            <v>7984</v>
          </cell>
          <cell r="F3662">
            <v>8027.7</v>
          </cell>
        </row>
        <row r="3663">
          <cell r="B3663">
            <v>41884</v>
          </cell>
          <cell r="C3663">
            <v>8038.6</v>
          </cell>
          <cell r="D3663">
            <v>8101.95</v>
          </cell>
          <cell r="E3663">
            <v>8036.55</v>
          </cell>
          <cell r="F3663">
            <v>8083.05</v>
          </cell>
        </row>
        <row r="3664">
          <cell r="B3664">
            <v>41885</v>
          </cell>
          <cell r="C3664">
            <v>8110.85</v>
          </cell>
          <cell r="D3664">
            <v>8141.9</v>
          </cell>
          <cell r="E3664">
            <v>8092.25</v>
          </cell>
          <cell r="F3664">
            <v>8114.6</v>
          </cell>
        </row>
        <row r="3665">
          <cell r="B3665">
            <v>41886</v>
          </cell>
          <cell r="C3665">
            <v>8114.2</v>
          </cell>
          <cell r="D3665">
            <v>8114.8</v>
          </cell>
          <cell r="E3665">
            <v>8060.9</v>
          </cell>
          <cell r="F3665">
            <v>8095.95</v>
          </cell>
        </row>
        <row r="3666">
          <cell r="B3666">
            <v>41887</v>
          </cell>
          <cell r="C3666">
            <v>8099.9</v>
          </cell>
          <cell r="D3666">
            <v>8122.7</v>
          </cell>
          <cell r="E3666">
            <v>8049.85</v>
          </cell>
          <cell r="F3666">
            <v>8086.85</v>
          </cell>
        </row>
        <row r="3667">
          <cell r="B3667">
            <v>41890</v>
          </cell>
          <cell r="C3667">
            <v>8132.95</v>
          </cell>
          <cell r="D3667">
            <v>8180.2</v>
          </cell>
          <cell r="E3667">
            <v>8126.15</v>
          </cell>
          <cell r="F3667">
            <v>8173.9</v>
          </cell>
        </row>
        <row r="3668">
          <cell r="B3668">
            <v>41891</v>
          </cell>
          <cell r="C3668">
            <v>8161.9</v>
          </cell>
          <cell r="D3668">
            <v>8174.55</v>
          </cell>
          <cell r="E3668">
            <v>8126.5</v>
          </cell>
          <cell r="F3668">
            <v>8152.95</v>
          </cell>
        </row>
        <row r="3669">
          <cell r="B3669">
            <v>41892</v>
          </cell>
          <cell r="C3669">
            <v>8135.55</v>
          </cell>
          <cell r="D3669">
            <v>8135.75</v>
          </cell>
          <cell r="E3669">
            <v>8082.1</v>
          </cell>
          <cell r="F3669">
            <v>8094.1</v>
          </cell>
        </row>
        <row r="3670">
          <cell r="B3670">
            <v>41893</v>
          </cell>
          <cell r="C3670">
            <v>8115.15</v>
          </cell>
          <cell r="D3670">
            <v>8127.95</v>
          </cell>
          <cell r="E3670">
            <v>8057.3</v>
          </cell>
          <cell r="F3670">
            <v>8085.7</v>
          </cell>
        </row>
        <row r="3671">
          <cell r="B3671">
            <v>41894</v>
          </cell>
          <cell r="C3671">
            <v>8087.05</v>
          </cell>
          <cell r="D3671">
            <v>8114.3</v>
          </cell>
          <cell r="E3671">
            <v>8071.6</v>
          </cell>
          <cell r="F3671">
            <v>8105.5</v>
          </cell>
        </row>
        <row r="3672">
          <cell r="B3672">
            <v>41897</v>
          </cell>
          <cell r="C3672">
            <v>8070.35</v>
          </cell>
          <cell r="D3672">
            <v>8077.3</v>
          </cell>
          <cell r="E3672">
            <v>8030</v>
          </cell>
          <cell r="F3672">
            <v>8042</v>
          </cell>
        </row>
        <row r="3673">
          <cell r="B3673">
            <v>41898</v>
          </cell>
          <cell r="C3673">
            <v>8036.6</v>
          </cell>
          <cell r="D3673">
            <v>8044.9</v>
          </cell>
          <cell r="E3673">
            <v>7925.15</v>
          </cell>
          <cell r="F3673">
            <v>7932.9</v>
          </cell>
        </row>
        <row r="3674">
          <cell r="B3674">
            <v>41899</v>
          </cell>
          <cell r="C3674">
            <v>7971.5</v>
          </cell>
          <cell r="D3674">
            <v>7990.65</v>
          </cell>
          <cell r="E3674">
            <v>7936.95</v>
          </cell>
          <cell r="F3674">
            <v>7975.5</v>
          </cell>
        </row>
        <row r="3675">
          <cell r="B3675">
            <v>41900</v>
          </cell>
          <cell r="C3675">
            <v>7950.65</v>
          </cell>
          <cell r="D3675">
            <v>8120.85</v>
          </cell>
          <cell r="E3675">
            <v>7939.7</v>
          </cell>
          <cell r="F3675">
            <v>8114.75</v>
          </cell>
        </row>
        <row r="3676">
          <cell r="B3676">
            <v>41901</v>
          </cell>
          <cell r="C3676">
            <v>8129.4</v>
          </cell>
          <cell r="D3676">
            <v>8160.9</v>
          </cell>
          <cell r="E3676">
            <v>8105.35</v>
          </cell>
          <cell r="F3676">
            <v>8121.45</v>
          </cell>
        </row>
        <row r="3677">
          <cell r="B3677">
            <v>41904</v>
          </cell>
          <cell r="C3677">
            <v>8084.45</v>
          </cell>
          <cell r="D3677">
            <v>8159.9</v>
          </cell>
          <cell r="E3677">
            <v>8064.8</v>
          </cell>
          <cell r="F3677">
            <v>8146.3</v>
          </cell>
        </row>
        <row r="3678">
          <cell r="B3678">
            <v>41905</v>
          </cell>
          <cell r="C3678">
            <v>8144.4</v>
          </cell>
          <cell r="D3678">
            <v>8159.75</v>
          </cell>
          <cell r="E3678">
            <v>8008.1</v>
          </cell>
          <cell r="F3678">
            <v>8017.55</v>
          </cell>
        </row>
        <row r="3679">
          <cell r="B3679">
            <v>41906</v>
          </cell>
          <cell r="C3679">
            <v>8015.55</v>
          </cell>
          <cell r="D3679">
            <v>8042.05</v>
          </cell>
          <cell r="E3679">
            <v>7950.05</v>
          </cell>
          <cell r="F3679">
            <v>8002.4</v>
          </cell>
        </row>
        <row r="3680">
          <cell r="B3680">
            <v>41907</v>
          </cell>
          <cell r="C3680">
            <v>8003.3</v>
          </cell>
          <cell r="D3680">
            <v>8019.3</v>
          </cell>
          <cell r="E3680">
            <v>7877.35</v>
          </cell>
          <cell r="F3680">
            <v>7911.85</v>
          </cell>
        </row>
        <row r="3681">
          <cell r="B3681">
            <v>41908</v>
          </cell>
          <cell r="C3681">
            <v>7885.85</v>
          </cell>
          <cell r="D3681">
            <v>7993.3</v>
          </cell>
          <cell r="E3681">
            <v>7841.8</v>
          </cell>
          <cell r="F3681">
            <v>7968.85</v>
          </cell>
        </row>
        <row r="3682">
          <cell r="B3682">
            <v>41911</v>
          </cell>
          <cell r="C3682">
            <v>7978.45</v>
          </cell>
          <cell r="D3682">
            <v>7991.75</v>
          </cell>
          <cell r="E3682">
            <v>7934.7</v>
          </cell>
          <cell r="F3682">
            <v>7958.9</v>
          </cell>
        </row>
        <row r="3683">
          <cell r="B3683">
            <v>41912</v>
          </cell>
          <cell r="C3683">
            <v>7948.8</v>
          </cell>
          <cell r="D3683">
            <v>8030.9</v>
          </cell>
          <cell r="E3683">
            <v>7923.85</v>
          </cell>
          <cell r="F3683">
            <v>7964.8</v>
          </cell>
        </row>
        <row r="3684">
          <cell r="B3684">
            <v>41913</v>
          </cell>
          <cell r="C3684">
            <v>7960.5</v>
          </cell>
          <cell r="D3684">
            <v>7977.5</v>
          </cell>
          <cell r="E3684">
            <v>7936.7</v>
          </cell>
          <cell r="F3684">
            <v>7945.55</v>
          </cell>
        </row>
        <row r="3685">
          <cell r="B3685">
            <v>41919</v>
          </cell>
          <cell r="C3685">
            <v>7897.4</v>
          </cell>
          <cell r="D3685">
            <v>7943.05</v>
          </cell>
          <cell r="E3685">
            <v>7842.7</v>
          </cell>
          <cell r="F3685">
            <v>7852.4</v>
          </cell>
        </row>
        <row r="3686">
          <cell r="B3686">
            <v>41920</v>
          </cell>
          <cell r="C3686">
            <v>7828.75</v>
          </cell>
          <cell r="D3686">
            <v>7869.9</v>
          </cell>
          <cell r="E3686">
            <v>7815.75</v>
          </cell>
          <cell r="F3686">
            <v>7842.7</v>
          </cell>
        </row>
        <row r="3687">
          <cell r="B3687">
            <v>41921</v>
          </cell>
          <cell r="C3687">
            <v>7886.5</v>
          </cell>
          <cell r="D3687">
            <v>7972.35</v>
          </cell>
          <cell r="E3687">
            <v>7886.5</v>
          </cell>
          <cell r="F3687">
            <v>7960.55</v>
          </cell>
        </row>
        <row r="3688">
          <cell r="B3688">
            <v>41922</v>
          </cell>
          <cell r="C3688">
            <v>7911</v>
          </cell>
          <cell r="D3688">
            <v>7924.05</v>
          </cell>
          <cell r="E3688">
            <v>7848.45</v>
          </cell>
          <cell r="F3688">
            <v>7859.95</v>
          </cell>
        </row>
        <row r="3689">
          <cell r="B3689">
            <v>41925</v>
          </cell>
          <cell r="C3689">
            <v>7831</v>
          </cell>
          <cell r="D3689">
            <v>7901.15</v>
          </cell>
          <cell r="E3689">
            <v>7796</v>
          </cell>
          <cell r="F3689">
            <v>7884.25</v>
          </cell>
        </row>
        <row r="3690">
          <cell r="B3690">
            <v>41926</v>
          </cell>
          <cell r="C3690">
            <v>7923.25</v>
          </cell>
          <cell r="D3690">
            <v>7928</v>
          </cell>
          <cell r="E3690">
            <v>7825.45</v>
          </cell>
          <cell r="F3690">
            <v>7864</v>
          </cell>
        </row>
        <row r="3691">
          <cell r="B3691">
            <v>41928</v>
          </cell>
          <cell r="C3691">
            <v>7837.3</v>
          </cell>
          <cell r="D3691">
            <v>7893.9</v>
          </cell>
          <cell r="E3691">
            <v>7729.65</v>
          </cell>
          <cell r="F3691">
            <v>7748.2</v>
          </cell>
        </row>
        <row r="3692">
          <cell r="B3692">
            <v>41929</v>
          </cell>
          <cell r="C3692">
            <v>7733.75</v>
          </cell>
          <cell r="D3692">
            <v>7819.2</v>
          </cell>
          <cell r="E3692">
            <v>7723.85</v>
          </cell>
          <cell r="F3692">
            <v>7779.7</v>
          </cell>
        </row>
        <row r="3693">
          <cell r="B3693">
            <v>41932</v>
          </cell>
          <cell r="C3693">
            <v>7896.95</v>
          </cell>
          <cell r="D3693">
            <v>7905.95</v>
          </cell>
          <cell r="E3693">
            <v>7856.95</v>
          </cell>
          <cell r="F3693">
            <v>7879.4</v>
          </cell>
        </row>
        <row r="3694">
          <cell r="B3694">
            <v>41933</v>
          </cell>
          <cell r="C3694">
            <v>7906.15</v>
          </cell>
          <cell r="D3694">
            <v>7936.6</v>
          </cell>
          <cell r="E3694">
            <v>7874.35</v>
          </cell>
          <cell r="F3694">
            <v>7927.75</v>
          </cell>
        </row>
        <row r="3695">
          <cell r="B3695">
            <v>41934</v>
          </cell>
          <cell r="C3695">
            <v>7997.8</v>
          </cell>
          <cell r="D3695">
            <v>8005</v>
          </cell>
          <cell r="E3695">
            <v>7974.55</v>
          </cell>
          <cell r="F3695">
            <v>7995.9</v>
          </cell>
        </row>
        <row r="3696">
          <cell r="B3696">
            <v>41935</v>
          </cell>
          <cell r="C3696">
            <v>8027.7</v>
          </cell>
          <cell r="D3696">
            <v>8031.75</v>
          </cell>
          <cell r="E3696">
            <v>8008.85</v>
          </cell>
          <cell r="F3696">
            <v>8014.55</v>
          </cell>
        </row>
        <row r="3697">
          <cell r="B3697">
            <v>41939</v>
          </cell>
          <cell r="C3697">
            <v>8064.35</v>
          </cell>
          <cell r="D3697">
            <v>8064.4</v>
          </cell>
          <cell r="E3697">
            <v>7985.65</v>
          </cell>
          <cell r="F3697">
            <v>7991.7</v>
          </cell>
        </row>
        <row r="3698">
          <cell r="B3698">
            <v>41940</v>
          </cell>
          <cell r="C3698">
            <v>8002.4</v>
          </cell>
          <cell r="D3698">
            <v>8037.8</v>
          </cell>
          <cell r="E3698">
            <v>7995.05</v>
          </cell>
          <cell r="F3698">
            <v>8027.6</v>
          </cell>
        </row>
        <row r="3699">
          <cell r="B3699">
            <v>41941</v>
          </cell>
          <cell r="C3699">
            <v>8077.05</v>
          </cell>
          <cell r="D3699">
            <v>8097.95</v>
          </cell>
          <cell r="E3699">
            <v>8052.25</v>
          </cell>
          <cell r="F3699">
            <v>8090.45</v>
          </cell>
        </row>
        <row r="3700">
          <cell r="B3700">
            <v>41942</v>
          </cell>
          <cell r="C3700">
            <v>8085.2</v>
          </cell>
          <cell r="D3700">
            <v>8181.55</v>
          </cell>
          <cell r="E3700">
            <v>8085.2</v>
          </cell>
          <cell r="F3700">
            <v>8169.2</v>
          </cell>
        </row>
        <row r="3701">
          <cell r="B3701">
            <v>41943</v>
          </cell>
          <cell r="C3701">
            <v>8200.7999999999993</v>
          </cell>
          <cell r="D3701">
            <v>8330.75</v>
          </cell>
          <cell r="E3701">
            <v>8198.0499999999993</v>
          </cell>
          <cell r="F3701">
            <v>8322.2000000000007</v>
          </cell>
        </row>
        <row r="3702">
          <cell r="B3702">
            <v>41946</v>
          </cell>
          <cell r="C3702">
            <v>8348.15</v>
          </cell>
          <cell r="D3702">
            <v>8350.6</v>
          </cell>
          <cell r="E3702">
            <v>8297.65</v>
          </cell>
          <cell r="F3702">
            <v>8324.15</v>
          </cell>
        </row>
        <row r="3703">
          <cell r="B3703">
            <v>41948</v>
          </cell>
          <cell r="C3703">
            <v>8351.25</v>
          </cell>
          <cell r="D3703">
            <v>8365.5499999999993</v>
          </cell>
          <cell r="E3703">
            <v>8323.5</v>
          </cell>
          <cell r="F3703">
            <v>8338.2999999999993</v>
          </cell>
        </row>
        <row r="3704">
          <cell r="B3704">
            <v>41950</v>
          </cell>
          <cell r="C3704">
            <v>8331.85</v>
          </cell>
          <cell r="D3704">
            <v>8360.35</v>
          </cell>
          <cell r="E3704">
            <v>8290.25</v>
          </cell>
          <cell r="F3704">
            <v>8337</v>
          </cell>
        </row>
        <row r="3705">
          <cell r="B3705">
            <v>41953</v>
          </cell>
          <cell r="C3705">
            <v>8337.7999999999993</v>
          </cell>
          <cell r="D3705">
            <v>8383.0499999999993</v>
          </cell>
          <cell r="E3705">
            <v>8304.4500000000007</v>
          </cell>
          <cell r="F3705">
            <v>8344.25</v>
          </cell>
        </row>
        <row r="3706">
          <cell r="B3706">
            <v>41954</v>
          </cell>
          <cell r="C3706">
            <v>8354.1</v>
          </cell>
          <cell r="D3706">
            <v>8378.7000000000007</v>
          </cell>
          <cell r="E3706">
            <v>8321.85</v>
          </cell>
          <cell r="F3706">
            <v>8362.65</v>
          </cell>
        </row>
        <row r="3707">
          <cell r="B3707">
            <v>41955</v>
          </cell>
          <cell r="C3707">
            <v>8378.9</v>
          </cell>
          <cell r="D3707">
            <v>8415.0499999999993</v>
          </cell>
          <cell r="E3707">
            <v>8370.5</v>
          </cell>
          <cell r="F3707">
            <v>8383.2999999999993</v>
          </cell>
        </row>
        <row r="3708">
          <cell r="B3708">
            <v>41956</v>
          </cell>
          <cell r="C3708">
            <v>8405.25</v>
          </cell>
          <cell r="D3708">
            <v>8408</v>
          </cell>
          <cell r="E3708">
            <v>8320.35</v>
          </cell>
          <cell r="F3708">
            <v>8357.85</v>
          </cell>
        </row>
        <row r="3709">
          <cell r="B3709">
            <v>41957</v>
          </cell>
          <cell r="C3709">
            <v>8360.7000000000007</v>
          </cell>
          <cell r="D3709">
            <v>8400.65</v>
          </cell>
          <cell r="E3709">
            <v>8346.7999999999993</v>
          </cell>
          <cell r="F3709">
            <v>8389.9</v>
          </cell>
        </row>
        <row r="3710">
          <cell r="B3710">
            <v>41960</v>
          </cell>
          <cell r="C3710">
            <v>8378.4</v>
          </cell>
          <cell r="D3710">
            <v>8438.1</v>
          </cell>
          <cell r="E3710">
            <v>8349.1</v>
          </cell>
          <cell r="F3710">
            <v>8430.75</v>
          </cell>
        </row>
        <row r="3711">
          <cell r="B3711">
            <v>41961</v>
          </cell>
          <cell r="C3711">
            <v>8441.25</v>
          </cell>
          <cell r="D3711">
            <v>8454.5</v>
          </cell>
          <cell r="E3711">
            <v>8407.25</v>
          </cell>
          <cell r="F3711">
            <v>8425.9</v>
          </cell>
        </row>
        <row r="3712">
          <cell r="B3712">
            <v>41962</v>
          </cell>
          <cell r="C3712">
            <v>8440.65</v>
          </cell>
          <cell r="D3712">
            <v>8455.65</v>
          </cell>
          <cell r="E3712">
            <v>8360.5</v>
          </cell>
          <cell r="F3712">
            <v>8382.2999999999993</v>
          </cell>
        </row>
        <row r="3713">
          <cell r="B3713">
            <v>41963</v>
          </cell>
          <cell r="C3713">
            <v>8406.5</v>
          </cell>
          <cell r="D3713">
            <v>8410.85</v>
          </cell>
          <cell r="E3713">
            <v>8353.15</v>
          </cell>
          <cell r="F3713">
            <v>8401.9</v>
          </cell>
        </row>
        <row r="3714">
          <cell r="B3714">
            <v>41964</v>
          </cell>
          <cell r="C3714">
            <v>8408.2000000000007</v>
          </cell>
          <cell r="D3714">
            <v>8489.7999999999993</v>
          </cell>
          <cell r="E3714">
            <v>8398.6</v>
          </cell>
          <cell r="F3714">
            <v>8477.35</v>
          </cell>
        </row>
        <row r="3715">
          <cell r="B3715">
            <v>41967</v>
          </cell>
          <cell r="C3715">
            <v>8490.9500000000007</v>
          </cell>
          <cell r="D3715">
            <v>8534.65</v>
          </cell>
          <cell r="E3715">
            <v>8490.7999999999993</v>
          </cell>
          <cell r="F3715">
            <v>8530.15</v>
          </cell>
        </row>
        <row r="3716">
          <cell r="B3716">
            <v>41968</v>
          </cell>
          <cell r="C3716">
            <v>8530.7999999999993</v>
          </cell>
          <cell r="D3716">
            <v>8535.35</v>
          </cell>
          <cell r="E3716">
            <v>8429.4500000000007</v>
          </cell>
          <cell r="F3716">
            <v>8463.1</v>
          </cell>
        </row>
        <row r="3717">
          <cell r="B3717">
            <v>41969</v>
          </cell>
          <cell r="C3717">
            <v>8450.2999999999993</v>
          </cell>
          <cell r="D3717">
            <v>8500.2999999999993</v>
          </cell>
          <cell r="E3717">
            <v>8438.65</v>
          </cell>
          <cell r="F3717">
            <v>8475.75</v>
          </cell>
        </row>
        <row r="3718">
          <cell r="B3718">
            <v>41970</v>
          </cell>
          <cell r="C3718">
            <v>8477.7999999999993</v>
          </cell>
          <cell r="D3718">
            <v>8506.75</v>
          </cell>
          <cell r="E3718">
            <v>8456.35</v>
          </cell>
          <cell r="F3718">
            <v>8494.2000000000007</v>
          </cell>
        </row>
        <row r="3719">
          <cell r="B3719">
            <v>41971</v>
          </cell>
          <cell r="C3719">
            <v>8516.7999999999993</v>
          </cell>
          <cell r="D3719">
            <v>8617</v>
          </cell>
          <cell r="E3719">
            <v>8516.25</v>
          </cell>
          <cell r="F3719">
            <v>8588.25</v>
          </cell>
        </row>
        <row r="3720">
          <cell r="B3720">
            <v>41974</v>
          </cell>
          <cell r="C3720">
            <v>8605.1</v>
          </cell>
          <cell r="D3720">
            <v>8623</v>
          </cell>
          <cell r="E3720">
            <v>8545.15</v>
          </cell>
          <cell r="F3720">
            <v>8555.9</v>
          </cell>
        </row>
        <row r="3721">
          <cell r="B3721">
            <v>41975</v>
          </cell>
          <cell r="C3721">
            <v>8535.4500000000007</v>
          </cell>
          <cell r="D3721">
            <v>8560.2000000000007</v>
          </cell>
          <cell r="E3721">
            <v>8504.65</v>
          </cell>
          <cell r="F3721">
            <v>8524.7000000000007</v>
          </cell>
        </row>
        <row r="3722">
          <cell r="B3722">
            <v>41976</v>
          </cell>
          <cell r="C3722">
            <v>8528.7000000000007</v>
          </cell>
          <cell r="D3722">
            <v>8546.9500000000007</v>
          </cell>
          <cell r="E3722">
            <v>8508.35</v>
          </cell>
          <cell r="F3722">
            <v>8537.65</v>
          </cell>
        </row>
        <row r="3723">
          <cell r="B3723">
            <v>41977</v>
          </cell>
          <cell r="C3723">
            <v>8582.4</v>
          </cell>
          <cell r="D3723">
            <v>8626.9500000000007</v>
          </cell>
          <cell r="E3723">
            <v>8526.4</v>
          </cell>
          <cell r="F3723">
            <v>8564.4</v>
          </cell>
        </row>
        <row r="3724">
          <cell r="B3724">
            <v>41978</v>
          </cell>
          <cell r="C3724">
            <v>8584.25</v>
          </cell>
          <cell r="D3724">
            <v>8588.35</v>
          </cell>
          <cell r="E3724">
            <v>8523.9</v>
          </cell>
          <cell r="F3724">
            <v>8538.2999999999993</v>
          </cell>
        </row>
        <row r="3725">
          <cell r="B3725">
            <v>41981</v>
          </cell>
          <cell r="C3725">
            <v>8538.65</v>
          </cell>
          <cell r="D3725">
            <v>8546.35</v>
          </cell>
          <cell r="E3725">
            <v>8432.25</v>
          </cell>
          <cell r="F3725">
            <v>8438.25</v>
          </cell>
        </row>
        <row r="3726">
          <cell r="B3726">
            <v>41982</v>
          </cell>
          <cell r="C3726">
            <v>8439.2999999999993</v>
          </cell>
          <cell r="D3726">
            <v>8444.5</v>
          </cell>
          <cell r="E3726">
            <v>8330.5</v>
          </cell>
          <cell r="F3726">
            <v>8340.7000000000007</v>
          </cell>
        </row>
        <row r="3727">
          <cell r="B3727">
            <v>41983</v>
          </cell>
          <cell r="C3727">
            <v>8318.0499999999993</v>
          </cell>
          <cell r="D3727">
            <v>8376.7999999999993</v>
          </cell>
          <cell r="E3727">
            <v>8317</v>
          </cell>
          <cell r="F3727">
            <v>8355.65</v>
          </cell>
        </row>
        <row r="3728">
          <cell r="B3728">
            <v>41984</v>
          </cell>
          <cell r="C3728">
            <v>8338.85</v>
          </cell>
          <cell r="D3728">
            <v>8348.2999999999993</v>
          </cell>
          <cell r="E3728">
            <v>8272.4</v>
          </cell>
          <cell r="F3728">
            <v>8292.9</v>
          </cell>
        </row>
        <row r="3729">
          <cell r="B3729">
            <v>41985</v>
          </cell>
          <cell r="C3729">
            <v>8302</v>
          </cell>
          <cell r="D3729">
            <v>8321.9</v>
          </cell>
          <cell r="E3729">
            <v>8216.2999999999993</v>
          </cell>
          <cell r="F3729">
            <v>8224.1</v>
          </cell>
        </row>
        <row r="3730">
          <cell r="B3730">
            <v>41988</v>
          </cell>
          <cell r="C3730">
            <v>8160.75</v>
          </cell>
          <cell r="D3730">
            <v>8242.4</v>
          </cell>
          <cell r="E3730">
            <v>8152.5</v>
          </cell>
          <cell r="F3730">
            <v>8219.6</v>
          </cell>
        </row>
        <row r="3731">
          <cell r="B3731">
            <v>41989</v>
          </cell>
          <cell r="C3731">
            <v>8172.6</v>
          </cell>
          <cell r="D3731">
            <v>8189.35</v>
          </cell>
          <cell r="E3731">
            <v>8052.6</v>
          </cell>
          <cell r="F3731">
            <v>8067.6</v>
          </cell>
        </row>
        <row r="3732">
          <cell r="B3732">
            <v>41990</v>
          </cell>
          <cell r="C3732">
            <v>8041.2</v>
          </cell>
          <cell r="D3732">
            <v>8082</v>
          </cell>
          <cell r="E3732">
            <v>7961.35</v>
          </cell>
          <cell r="F3732">
            <v>8029.8</v>
          </cell>
        </row>
        <row r="3733">
          <cell r="B3733">
            <v>41991</v>
          </cell>
          <cell r="C3733">
            <v>8138.9</v>
          </cell>
          <cell r="D3733">
            <v>8174.3</v>
          </cell>
          <cell r="E3733">
            <v>8084.9</v>
          </cell>
          <cell r="F3733">
            <v>8159.3</v>
          </cell>
        </row>
        <row r="3734">
          <cell r="B3734">
            <v>41992</v>
          </cell>
          <cell r="C3734">
            <v>8230.4500000000007</v>
          </cell>
          <cell r="D3734">
            <v>8263.4500000000007</v>
          </cell>
          <cell r="E3734">
            <v>8208.6</v>
          </cell>
          <cell r="F3734">
            <v>8225.2000000000007</v>
          </cell>
        </row>
        <row r="3735">
          <cell r="B3735">
            <v>41995</v>
          </cell>
          <cell r="C3735">
            <v>8255</v>
          </cell>
          <cell r="D3735">
            <v>8330.9500000000007</v>
          </cell>
          <cell r="E3735">
            <v>8228.2000000000007</v>
          </cell>
          <cell r="F3735">
            <v>8324</v>
          </cell>
        </row>
        <row r="3736">
          <cell r="B3736">
            <v>41996</v>
          </cell>
          <cell r="C3736">
            <v>8324.6</v>
          </cell>
          <cell r="D3736">
            <v>8364.75</v>
          </cell>
          <cell r="E3736">
            <v>8252.85</v>
          </cell>
          <cell r="F3736">
            <v>8267</v>
          </cell>
        </row>
        <row r="3737">
          <cell r="B3737">
            <v>41997</v>
          </cell>
          <cell r="C3737">
            <v>8272.0499999999993</v>
          </cell>
          <cell r="D3737">
            <v>8286.4</v>
          </cell>
          <cell r="E3737">
            <v>8155.25</v>
          </cell>
          <cell r="F3737">
            <v>8174.1</v>
          </cell>
        </row>
        <row r="3738">
          <cell r="B3738">
            <v>41999</v>
          </cell>
          <cell r="C3738">
            <v>8204.7999999999993</v>
          </cell>
          <cell r="D3738">
            <v>8234.5499999999993</v>
          </cell>
          <cell r="E3738">
            <v>8147.95</v>
          </cell>
          <cell r="F3738">
            <v>8200.7000000000007</v>
          </cell>
        </row>
        <row r="3739">
          <cell r="B3739">
            <v>42002</v>
          </cell>
          <cell r="C3739">
            <v>8214.7000000000007</v>
          </cell>
          <cell r="D3739">
            <v>8279.15</v>
          </cell>
          <cell r="E3739">
            <v>8214.7000000000007</v>
          </cell>
          <cell r="F3739">
            <v>8246.2999999999993</v>
          </cell>
        </row>
        <row r="3740">
          <cell r="B3740">
            <v>42003</v>
          </cell>
          <cell r="C3740">
            <v>8260.2999999999993</v>
          </cell>
          <cell r="D3740">
            <v>8268.25</v>
          </cell>
          <cell r="E3740">
            <v>8220.5499999999993</v>
          </cell>
          <cell r="F3740">
            <v>8248.25</v>
          </cell>
        </row>
        <row r="3741">
          <cell r="B3741">
            <v>42004</v>
          </cell>
          <cell r="C3741">
            <v>8243.9</v>
          </cell>
          <cell r="D3741">
            <v>8291</v>
          </cell>
          <cell r="E3741">
            <v>8243.75</v>
          </cell>
          <cell r="F3741">
            <v>8282.7000000000007</v>
          </cell>
        </row>
        <row r="3742">
          <cell r="B3742">
            <v>42005</v>
          </cell>
          <cell r="C3742">
            <v>8272.7999999999993</v>
          </cell>
          <cell r="D3742">
            <v>8294.7000000000007</v>
          </cell>
          <cell r="E3742">
            <v>8248.75</v>
          </cell>
          <cell r="F3742">
            <v>8284</v>
          </cell>
        </row>
        <row r="3743">
          <cell r="B3743">
            <v>42006</v>
          </cell>
          <cell r="C3743">
            <v>8288.7000000000007</v>
          </cell>
          <cell r="D3743">
            <v>8410.6</v>
          </cell>
          <cell r="E3743">
            <v>8288.7000000000007</v>
          </cell>
          <cell r="F3743">
            <v>8395.4500000000007</v>
          </cell>
        </row>
        <row r="3744">
          <cell r="B3744">
            <v>42009</v>
          </cell>
          <cell r="C3744">
            <v>8407.9500000000007</v>
          </cell>
          <cell r="D3744">
            <v>8445.6</v>
          </cell>
          <cell r="E3744">
            <v>8363.9</v>
          </cell>
          <cell r="F3744">
            <v>8378.4</v>
          </cell>
        </row>
        <row r="3745">
          <cell r="B3745">
            <v>42010</v>
          </cell>
          <cell r="C3745">
            <v>8325.2999999999993</v>
          </cell>
          <cell r="D3745">
            <v>8327.85</v>
          </cell>
          <cell r="E3745">
            <v>8111.35</v>
          </cell>
          <cell r="F3745">
            <v>8127.35</v>
          </cell>
        </row>
        <row r="3746">
          <cell r="B3746">
            <v>42011</v>
          </cell>
          <cell r="C3746">
            <v>8118.65</v>
          </cell>
          <cell r="D3746">
            <v>8151.2</v>
          </cell>
          <cell r="E3746">
            <v>8065.45</v>
          </cell>
          <cell r="F3746">
            <v>8102.1</v>
          </cell>
        </row>
        <row r="3747">
          <cell r="B3747">
            <v>42012</v>
          </cell>
          <cell r="C3747">
            <v>8191.4</v>
          </cell>
          <cell r="D3747">
            <v>8243.5</v>
          </cell>
          <cell r="E3747">
            <v>8167.3</v>
          </cell>
          <cell r="F3747">
            <v>8234.6</v>
          </cell>
        </row>
        <row r="3748">
          <cell r="B3748">
            <v>42013</v>
          </cell>
          <cell r="C3748">
            <v>8285.4500000000007</v>
          </cell>
          <cell r="D3748">
            <v>8303.2999999999993</v>
          </cell>
          <cell r="E3748">
            <v>8190.8</v>
          </cell>
          <cell r="F3748">
            <v>8284.5</v>
          </cell>
        </row>
        <row r="3749">
          <cell r="B3749">
            <v>42016</v>
          </cell>
          <cell r="C3749">
            <v>8291.35</v>
          </cell>
          <cell r="D3749">
            <v>8332.6</v>
          </cell>
          <cell r="E3749">
            <v>8245.6</v>
          </cell>
          <cell r="F3749">
            <v>8323</v>
          </cell>
        </row>
        <row r="3750">
          <cell r="B3750">
            <v>42017</v>
          </cell>
          <cell r="C3750">
            <v>8346.15</v>
          </cell>
          <cell r="D3750">
            <v>8356.65</v>
          </cell>
          <cell r="E3750">
            <v>8267.9</v>
          </cell>
          <cell r="F3750">
            <v>8299.4</v>
          </cell>
        </row>
        <row r="3751">
          <cell r="B3751">
            <v>42018</v>
          </cell>
          <cell r="C3751">
            <v>8307.25</v>
          </cell>
          <cell r="D3751">
            <v>8326.4500000000007</v>
          </cell>
          <cell r="E3751">
            <v>8236.65</v>
          </cell>
          <cell r="F3751">
            <v>8277.5499999999993</v>
          </cell>
        </row>
        <row r="3752">
          <cell r="B3752">
            <v>42019</v>
          </cell>
          <cell r="C3752">
            <v>8424.5</v>
          </cell>
          <cell r="D3752">
            <v>8527.1</v>
          </cell>
          <cell r="E3752">
            <v>8380.5499999999993</v>
          </cell>
          <cell r="F3752">
            <v>8494.15</v>
          </cell>
        </row>
        <row r="3753">
          <cell r="B3753">
            <v>42020</v>
          </cell>
          <cell r="C3753">
            <v>8504.0499999999993</v>
          </cell>
          <cell r="D3753">
            <v>8530.75</v>
          </cell>
          <cell r="E3753">
            <v>8452.25</v>
          </cell>
          <cell r="F3753">
            <v>8513.7999999999993</v>
          </cell>
        </row>
        <row r="3754">
          <cell r="B3754">
            <v>42023</v>
          </cell>
          <cell r="C3754">
            <v>8550.0499999999993</v>
          </cell>
          <cell r="D3754">
            <v>8570.9500000000007</v>
          </cell>
          <cell r="E3754">
            <v>8531.5</v>
          </cell>
          <cell r="F3754">
            <v>8550.7000000000007</v>
          </cell>
        </row>
        <row r="3755">
          <cell r="B3755">
            <v>42024</v>
          </cell>
          <cell r="C3755">
            <v>8575.1</v>
          </cell>
          <cell r="D3755">
            <v>8707.9</v>
          </cell>
          <cell r="E3755">
            <v>8574.5</v>
          </cell>
          <cell r="F3755">
            <v>8695.6</v>
          </cell>
        </row>
        <row r="3756">
          <cell r="B3756">
            <v>42025</v>
          </cell>
          <cell r="C3756">
            <v>8719.65</v>
          </cell>
          <cell r="D3756">
            <v>8741.85</v>
          </cell>
          <cell r="E3756">
            <v>8689.6</v>
          </cell>
          <cell r="F3756">
            <v>8729.5</v>
          </cell>
        </row>
        <row r="3757">
          <cell r="B3757">
            <v>42026</v>
          </cell>
          <cell r="C3757">
            <v>8745.85</v>
          </cell>
          <cell r="D3757">
            <v>8774.15</v>
          </cell>
          <cell r="E3757">
            <v>8727</v>
          </cell>
          <cell r="F3757">
            <v>8761.4</v>
          </cell>
        </row>
        <row r="3758">
          <cell r="B3758">
            <v>42027</v>
          </cell>
          <cell r="C3758">
            <v>8827.9500000000007</v>
          </cell>
          <cell r="D3758">
            <v>8866.4</v>
          </cell>
          <cell r="E3758">
            <v>8795.4</v>
          </cell>
          <cell r="F3758">
            <v>8835.6</v>
          </cell>
        </row>
        <row r="3759">
          <cell r="B3759">
            <v>42031</v>
          </cell>
          <cell r="C3759">
            <v>8871.35</v>
          </cell>
          <cell r="D3759">
            <v>8925.0499999999993</v>
          </cell>
          <cell r="E3759">
            <v>8825.4500000000007</v>
          </cell>
          <cell r="F3759">
            <v>8910.5</v>
          </cell>
        </row>
        <row r="3760">
          <cell r="B3760">
            <v>42032</v>
          </cell>
          <cell r="C3760">
            <v>8902.75</v>
          </cell>
          <cell r="D3760">
            <v>8985.0499999999993</v>
          </cell>
          <cell r="E3760">
            <v>8874.0499999999993</v>
          </cell>
          <cell r="F3760">
            <v>8914.2999999999993</v>
          </cell>
        </row>
        <row r="3761">
          <cell r="B3761">
            <v>42033</v>
          </cell>
          <cell r="C3761">
            <v>8901.5</v>
          </cell>
          <cell r="D3761">
            <v>8966.65</v>
          </cell>
          <cell r="E3761">
            <v>8861.25</v>
          </cell>
          <cell r="F3761">
            <v>8952.35</v>
          </cell>
        </row>
        <row r="3762">
          <cell r="B3762">
            <v>42034</v>
          </cell>
          <cell r="C3762">
            <v>8996.6</v>
          </cell>
          <cell r="D3762">
            <v>8996.6</v>
          </cell>
          <cell r="E3762">
            <v>8775.1</v>
          </cell>
          <cell r="F3762">
            <v>8808.9</v>
          </cell>
        </row>
        <row r="3763">
          <cell r="B3763">
            <v>42037</v>
          </cell>
          <cell r="C3763">
            <v>8802.5</v>
          </cell>
          <cell r="D3763">
            <v>8840.7999999999993</v>
          </cell>
          <cell r="E3763">
            <v>8751.1</v>
          </cell>
          <cell r="F3763">
            <v>8797.4</v>
          </cell>
        </row>
        <row r="3764">
          <cell r="B3764">
            <v>42038</v>
          </cell>
          <cell r="C3764">
            <v>8823.15</v>
          </cell>
          <cell r="D3764">
            <v>8837.2999999999993</v>
          </cell>
          <cell r="E3764">
            <v>8726.65</v>
          </cell>
          <cell r="F3764">
            <v>8756.5499999999993</v>
          </cell>
        </row>
        <row r="3765">
          <cell r="B3765">
            <v>42039</v>
          </cell>
          <cell r="C3765">
            <v>8789.15</v>
          </cell>
          <cell r="D3765">
            <v>8792.85</v>
          </cell>
          <cell r="E3765">
            <v>8704.4</v>
          </cell>
          <cell r="F3765">
            <v>8723.7000000000007</v>
          </cell>
        </row>
        <row r="3766">
          <cell r="B3766">
            <v>42040</v>
          </cell>
          <cell r="C3766">
            <v>8733.1</v>
          </cell>
          <cell r="D3766">
            <v>8838.4500000000007</v>
          </cell>
          <cell r="E3766">
            <v>8683.65</v>
          </cell>
          <cell r="F3766">
            <v>8711.7000000000007</v>
          </cell>
        </row>
        <row r="3767">
          <cell r="B3767">
            <v>42041</v>
          </cell>
          <cell r="C3767">
            <v>8696.85</v>
          </cell>
          <cell r="D3767">
            <v>8726.2000000000007</v>
          </cell>
          <cell r="E3767">
            <v>8645.5499999999993</v>
          </cell>
          <cell r="F3767">
            <v>8661.0499999999993</v>
          </cell>
        </row>
        <row r="3768">
          <cell r="B3768">
            <v>42044</v>
          </cell>
          <cell r="C3768">
            <v>8584.4</v>
          </cell>
          <cell r="D3768">
            <v>8605.5499999999993</v>
          </cell>
          <cell r="E3768">
            <v>8516.35</v>
          </cell>
          <cell r="F3768">
            <v>8526.35</v>
          </cell>
        </row>
        <row r="3769">
          <cell r="B3769">
            <v>42045</v>
          </cell>
          <cell r="C3769">
            <v>8478.1</v>
          </cell>
          <cell r="D3769">
            <v>8646.25</v>
          </cell>
          <cell r="E3769">
            <v>8470.5</v>
          </cell>
          <cell r="F3769">
            <v>8565.5499999999993</v>
          </cell>
        </row>
        <row r="3770">
          <cell r="B3770">
            <v>42046</v>
          </cell>
          <cell r="C3770">
            <v>8603.2999999999993</v>
          </cell>
          <cell r="D3770">
            <v>8651.9500000000007</v>
          </cell>
          <cell r="E3770">
            <v>8593.65</v>
          </cell>
          <cell r="F3770">
            <v>8627.4</v>
          </cell>
        </row>
        <row r="3771">
          <cell r="B3771">
            <v>42047</v>
          </cell>
          <cell r="C3771">
            <v>8676.9500000000007</v>
          </cell>
          <cell r="D3771">
            <v>8732.5499999999993</v>
          </cell>
          <cell r="E3771">
            <v>8599.25</v>
          </cell>
          <cell r="F3771">
            <v>8711.5499999999993</v>
          </cell>
        </row>
        <row r="3772">
          <cell r="B3772">
            <v>42048</v>
          </cell>
          <cell r="C3772">
            <v>8741.5</v>
          </cell>
          <cell r="D3772">
            <v>8822.1</v>
          </cell>
          <cell r="E3772">
            <v>8729.65</v>
          </cell>
          <cell r="F3772">
            <v>8805.5</v>
          </cell>
        </row>
        <row r="3773">
          <cell r="B3773">
            <v>42051</v>
          </cell>
          <cell r="C3773">
            <v>8831.4</v>
          </cell>
          <cell r="D3773">
            <v>8870.1</v>
          </cell>
          <cell r="E3773">
            <v>8793.4</v>
          </cell>
          <cell r="F3773">
            <v>8809.35</v>
          </cell>
        </row>
        <row r="3774">
          <cell r="B3774">
            <v>42053</v>
          </cell>
          <cell r="C3774">
            <v>8811.5499999999993</v>
          </cell>
          <cell r="D3774">
            <v>8894.2999999999993</v>
          </cell>
          <cell r="E3774">
            <v>8808.9</v>
          </cell>
          <cell r="F3774">
            <v>8869.1</v>
          </cell>
        </row>
        <row r="3775">
          <cell r="B3775">
            <v>42054</v>
          </cell>
          <cell r="C3775">
            <v>8883.0499999999993</v>
          </cell>
          <cell r="D3775">
            <v>8913.4500000000007</v>
          </cell>
          <cell r="E3775">
            <v>8794.4500000000007</v>
          </cell>
          <cell r="F3775">
            <v>8895.2999999999993</v>
          </cell>
        </row>
        <row r="3776">
          <cell r="B3776">
            <v>42055</v>
          </cell>
          <cell r="C3776">
            <v>8895.5</v>
          </cell>
          <cell r="D3776">
            <v>8899.9500000000007</v>
          </cell>
          <cell r="E3776">
            <v>8816.2999999999993</v>
          </cell>
          <cell r="F3776">
            <v>8833.6</v>
          </cell>
        </row>
        <row r="3777">
          <cell r="B3777">
            <v>42058</v>
          </cell>
          <cell r="C3777">
            <v>8856.85</v>
          </cell>
          <cell r="D3777">
            <v>8869</v>
          </cell>
          <cell r="E3777">
            <v>8736.1</v>
          </cell>
          <cell r="F3777">
            <v>8754.9500000000007</v>
          </cell>
        </row>
        <row r="3778">
          <cell r="B3778">
            <v>42059</v>
          </cell>
          <cell r="C3778">
            <v>8772.9</v>
          </cell>
          <cell r="D3778">
            <v>8800.5</v>
          </cell>
          <cell r="E3778">
            <v>8726.75</v>
          </cell>
          <cell r="F3778">
            <v>8762.1</v>
          </cell>
        </row>
        <row r="3779">
          <cell r="B3779">
            <v>42060</v>
          </cell>
          <cell r="C3779">
            <v>8801.9</v>
          </cell>
          <cell r="D3779">
            <v>8840.65</v>
          </cell>
          <cell r="E3779">
            <v>8751.4</v>
          </cell>
          <cell r="F3779">
            <v>8767.25</v>
          </cell>
        </row>
        <row r="3780">
          <cell r="B3780">
            <v>42061</v>
          </cell>
          <cell r="C3780">
            <v>8779</v>
          </cell>
          <cell r="D3780">
            <v>8786.0499999999993</v>
          </cell>
          <cell r="E3780">
            <v>8669.4500000000007</v>
          </cell>
          <cell r="F3780">
            <v>8683.85</v>
          </cell>
        </row>
        <row r="3781">
          <cell r="B3781">
            <v>42062</v>
          </cell>
          <cell r="C3781">
            <v>8729.5</v>
          </cell>
          <cell r="D3781">
            <v>8856.9500000000007</v>
          </cell>
          <cell r="E3781">
            <v>8717.4500000000007</v>
          </cell>
          <cell r="F3781">
            <v>8844.6</v>
          </cell>
        </row>
        <row r="3782">
          <cell r="B3782">
            <v>42063</v>
          </cell>
          <cell r="C3782">
            <v>8913.0499999999993</v>
          </cell>
          <cell r="D3782">
            <v>8941.1</v>
          </cell>
          <cell r="E3782">
            <v>8751.35</v>
          </cell>
          <cell r="F3782">
            <v>8901.85</v>
          </cell>
        </row>
        <row r="3783">
          <cell r="B3783">
            <v>42065</v>
          </cell>
          <cell r="C3783">
            <v>8953.85</v>
          </cell>
          <cell r="D3783">
            <v>8972.35</v>
          </cell>
          <cell r="E3783">
            <v>8885.4500000000007</v>
          </cell>
          <cell r="F3783">
            <v>8956.75</v>
          </cell>
        </row>
        <row r="3784">
          <cell r="B3784">
            <v>42066</v>
          </cell>
          <cell r="C3784">
            <v>8962.85</v>
          </cell>
          <cell r="D3784">
            <v>9008.4</v>
          </cell>
          <cell r="E3784">
            <v>8925.5499999999993</v>
          </cell>
          <cell r="F3784">
            <v>8996.25</v>
          </cell>
        </row>
        <row r="3785">
          <cell r="B3785">
            <v>42067</v>
          </cell>
          <cell r="C3785">
            <v>9109.15</v>
          </cell>
          <cell r="D3785">
            <v>9119.2000000000007</v>
          </cell>
          <cell r="E3785">
            <v>8893.9500000000007</v>
          </cell>
          <cell r="F3785">
            <v>8922.65</v>
          </cell>
        </row>
        <row r="3786">
          <cell r="B3786">
            <v>42068</v>
          </cell>
          <cell r="C3786">
            <v>8929.4</v>
          </cell>
          <cell r="D3786">
            <v>8957.5499999999993</v>
          </cell>
          <cell r="E3786">
            <v>8849.35</v>
          </cell>
          <cell r="F3786">
            <v>8937.75</v>
          </cell>
        </row>
        <row r="3787">
          <cell r="B3787">
            <v>42072</v>
          </cell>
          <cell r="C3787">
            <v>8891.15</v>
          </cell>
          <cell r="D3787">
            <v>8891.2999999999993</v>
          </cell>
          <cell r="E3787">
            <v>8740.4500000000007</v>
          </cell>
          <cell r="F3787">
            <v>8756.75</v>
          </cell>
        </row>
        <row r="3788">
          <cell r="B3788">
            <v>42073</v>
          </cell>
          <cell r="C3788">
            <v>8769.75</v>
          </cell>
          <cell r="D3788">
            <v>8778</v>
          </cell>
          <cell r="E3788">
            <v>8677.35</v>
          </cell>
          <cell r="F3788">
            <v>8712.0499999999993</v>
          </cell>
        </row>
        <row r="3789">
          <cell r="B3789">
            <v>42074</v>
          </cell>
          <cell r="C3789">
            <v>8728.75</v>
          </cell>
          <cell r="D3789">
            <v>8755.6</v>
          </cell>
          <cell r="E3789">
            <v>8682.35</v>
          </cell>
          <cell r="F3789">
            <v>8699.9500000000007</v>
          </cell>
        </row>
        <row r="3790">
          <cell r="B3790">
            <v>42075</v>
          </cell>
          <cell r="C3790">
            <v>8740.65</v>
          </cell>
          <cell r="D3790">
            <v>8787.2000000000007</v>
          </cell>
          <cell r="E3790">
            <v>8732.9</v>
          </cell>
          <cell r="F3790">
            <v>8776</v>
          </cell>
        </row>
        <row r="3791">
          <cell r="B3791">
            <v>42076</v>
          </cell>
          <cell r="C3791">
            <v>8844.0499999999993</v>
          </cell>
          <cell r="D3791">
            <v>8849.75</v>
          </cell>
          <cell r="E3791">
            <v>8631.75</v>
          </cell>
          <cell r="F3791">
            <v>8647.75</v>
          </cell>
        </row>
        <row r="3792">
          <cell r="B3792">
            <v>42079</v>
          </cell>
          <cell r="C3792">
            <v>8656.75</v>
          </cell>
          <cell r="D3792">
            <v>8663.5499999999993</v>
          </cell>
          <cell r="E3792">
            <v>8612</v>
          </cell>
          <cell r="F3792">
            <v>8633.15</v>
          </cell>
        </row>
        <row r="3793">
          <cell r="B3793">
            <v>42080</v>
          </cell>
          <cell r="C3793">
            <v>8689.1</v>
          </cell>
          <cell r="D3793">
            <v>8742.5499999999993</v>
          </cell>
          <cell r="E3793">
            <v>8630.7999999999993</v>
          </cell>
          <cell r="F3793">
            <v>8723.2999999999993</v>
          </cell>
        </row>
        <row r="3794">
          <cell r="B3794">
            <v>42081</v>
          </cell>
          <cell r="C3794">
            <v>8742.9</v>
          </cell>
          <cell r="D3794">
            <v>8747.25</v>
          </cell>
          <cell r="E3794">
            <v>8664</v>
          </cell>
          <cell r="F3794">
            <v>8685.9</v>
          </cell>
        </row>
        <row r="3795">
          <cell r="B3795">
            <v>42082</v>
          </cell>
          <cell r="C3795">
            <v>8749.4500000000007</v>
          </cell>
          <cell r="D3795">
            <v>8788.2000000000007</v>
          </cell>
          <cell r="E3795">
            <v>8614.65</v>
          </cell>
          <cell r="F3795">
            <v>8634.65</v>
          </cell>
        </row>
        <row r="3796">
          <cell r="B3796">
            <v>42083</v>
          </cell>
          <cell r="C3796">
            <v>8627.9</v>
          </cell>
          <cell r="D3796">
            <v>8627.9</v>
          </cell>
          <cell r="E3796">
            <v>8553</v>
          </cell>
          <cell r="F3796">
            <v>8570.9</v>
          </cell>
        </row>
        <row r="3797">
          <cell r="B3797">
            <v>42086</v>
          </cell>
          <cell r="C3797">
            <v>8591.5499999999993</v>
          </cell>
          <cell r="D3797">
            <v>8608.35</v>
          </cell>
          <cell r="E3797">
            <v>8540.5499999999993</v>
          </cell>
          <cell r="F3797">
            <v>8550.9</v>
          </cell>
        </row>
        <row r="3798">
          <cell r="B3798">
            <v>42087</v>
          </cell>
          <cell r="C3798">
            <v>8537.0499999999993</v>
          </cell>
          <cell r="D3798">
            <v>8627.75</v>
          </cell>
          <cell r="E3798">
            <v>8535.85</v>
          </cell>
          <cell r="F3798">
            <v>8542.9500000000007</v>
          </cell>
        </row>
        <row r="3799">
          <cell r="B3799">
            <v>42088</v>
          </cell>
          <cell r="C3799">
            <v>8568.9</v>
          </cell>
          <cell r="D3799">
            <v>8573.75</v>
          </cell>
          <cell r="E3799">
            <v>8516.5499999999993</v>
          </cell>
          <cell r="F3799">
            <v>8530.7999999999993</v>
          </cell>
        </row>
        <row r="3800">
          <cell r="B3800">
            <v>42089</v>
          </cell>
          <cell r="C3800">
            <v>8474.9500000000007</v>
          </cell>
          <cell r="D3800">
            <v>8499.4500000000007</v>
          </cell>
          <cell r="E3800">
            <v>8325.35</v>
          </cell>
          <cell r="F3800">
            <v>8342.15</v>
          </cell>
        </row>
        <row r="3801">
          <cell r="B3801">
            <v>42090</v>
          </cell>
          <cell r="C3801">
            <v>8396</v>
          </cell>
          <cell r="D3801">
            <v>8413.2000000000007</v>
          </cell>
          <cell r="E3801">
            <v>8269.15</v>
          </cell>
          <cell r="F3801">
            <v>8341.4</v>
          </cell>
        </row>
        <row r="3802">
          <cell r="B3802">
            <v>42093</v>
          </cell>
          <cell r="C3802">
            <v>8390.9500000000007</v>
          </cell>
          <cell r="D3802">
            <v>8504.5499999999993</v>
          </cell>
          <cell r="E3802">
            <v>8380.75</v>
          </cell>
          <cell r="F3802">
            <v>8492.2999999999993</v>
          </cell>
        </row>
        <row r="3803">
          <cell r="B3803">
            <v>42094</v>
          </cell>
          <cell r="C3803">
            <v>8527.6</v>
          </cell>
          <cell r="D3803">
            <v>8550.4500000000007</v>
          </cell>
          <cell r="E3803">
            <v>8454.15</v>
          </cell>
          <cell r="F3803">
            <v>8491</v>
          </cell>
        </row>
        <row r="3804">
          <cell r="B3804">
            <v>42095</v>
          </cell>
          <cell r="C3804">
            <v>8483.7000000000007</v>
          </cell>
          <cell r="D3804">
            <v>8603.4</v>
          </cell>
          <cell r="E3804">
            <v>8464.75</v>
          </cell>
          <cell r="F3804">
            <v>8586.25</v>
          </cell>
        </row>
        <row r="3805">
          <cell r="B3805">
            <v>42100</v>
          </cell>
          <cell r="C3805">
            <v>8615.7999999999993</v>
          </cell>
          <cell r="D3805">
            <v>8667.5499999999993</v>
          </cell>
          <cell r="E3805">
            <v>8573.75</v>
          </cell>
          <cell r="F3805">
            <v>8659.9</v>
          </cell>
        </row>
        <row r="3806">
          <cell r="B3806">
            <v>42101</v>
          </cell>
          <cell r="C3806">
            <v>8684.4500000000007</v>
          </cell>
          <cell r="D3806">
            <v>8693.6</v>
          </cell>
          <cell r="E3806">
            <v>8586.85</v>
          </cell>
          <cell r="F3806">
            <v>8660.2999999999993</v>
          </cell>
        </row>
        <row r="3807">
          <cell r="B3807">
            <v>42102</v>
          </cell>
          <cell r="C3807">
            <v>8698.9500000000007</v>
          </cell>
          <cell r="D3807">
            <v>8730.5</v>
          </cell>
          <cell r="E3807">
            <v>8679.7999999999993</v>
          </cell>
          <cell r="F3807">
            <v>8714.4</v>
          </cell>
        </row>
        <row r="3808">
          <cell r="B3808">
            <v>42103</v>
          </cell>
          <cell r="C3808">
            <v>8756.2000000000007</v>
          </cell>
          <cell r="D3808">
            <v>8785.5</v>
          </cell>
          <cell r="E3808">
            <v>8682.4500000000007</v>
          </cell>
          <cell r="F3808">
            <v>8778.2999999999993</v>
          </cell>
        </row>
        <row r="3809">
          <cell r="B3809">
            <v>42104</v>
          </cell>
          <cell r="C3809">
            <v>8774.35</v>
          </cell>
          <cell r="D3809">
            <v>8787.4</v>
          </cell>
          <cell r="E3809">
            <v>8733.6</v>
          </cell>
          <cell r="F3809">
            <v>8780.35</v>
          </cell>
        </row>
        <row r="3810">
          <cell r="B3810">
            <v>42107</v>
          </cell>
          <cell r="C3810">
            <v>8801.75</v>
          </cell>
          <cell r="D3810">
            <v>8841.65</v>
          </cell>
          <cell r="E3810">
            <v>8762.1</v>
          </cell>
          <cell r="F3810">
            <v>8834</v>
          </cell>
        </row>
        <row r="3811">
          <cell r="B3811">
            <v>42109</v>
          </cell>
          <cell r="C3811">
            <v>8844.75</v>
          </cell>
          <cell r="D3811">
            <v>8844.7999999999993</v>
          </cell>
          <cell r="E3811">
            <v>8722.4</v>
          </cell>
          <cell r="F3811">
            <v>8750.2000000000007</v>
          </cell>
        </row>
        <row r="3812">
          <cell r="B3812">
            <v>42110</v>
          </cell>
          <cell r="C3812">
            <v>8757.0499999999993</v>
          </cell>
          <cell r="D3812">
            <v>8760</v>
          </cell>
          <cell r="E3812">
            <v>8645.65</v>
          </cell>
          <cell r="F3812">
            <v>8706.7000000000007</v>
          </cell>
        </row>
        <row r="3813">
          <cell r="B3813">
            <v>42111</v>
          </cell>
          <cell r="C3813">
            <v>8698.0499999999993</v>
          </cell>
          <cell r="D3813">
            <v>8699.85</v>
          </cell>
          <cell r="E3813">
            <v>8596.7000000000007</v>
          </cell>
          <cell r="F3813">
            <v>8606</v>
          </cell>
        </row>
        <row r="3814">
          <cell r="B3814">
            <v>42114</v>
          </cell>
          <cell r="C3814">
            <v>8618.7999999999993</v>
          </cell>
          <cell r="D3814">
            <v>8619.9500000000007</v>
          </cell>
          <cell r="E3814">
            <v>8422.75</v>
          </cell>
          <cell r="F3814">
            <v>8448.1</v>
          </cell>
        </row>
        <row r="3815">
          <cell r="B3815">
            <v>42115</v>
          </cell>
          <cell r="C3815">
            <v>8416.1</v>
          </cell>
          <cell r="D3815">
            <v>8469.35</v>
          </cell>
          <cell r="E3815">
            <v>8352.7000000000007</v>
          </cell>
          <cell r="F3815">
            <v>8377.75</v>
          </cell>
        </row>
        <row r="3816">
          <cell r="B3816">
            <v>42116</v>
          </cell>
          <cell r="C3816">
            <v>8400.4</v>
          </cell>
          <cell r="D3816">
            <v>8449.9500000000007</v>
          </cell>
          <cell r="E3816">
            <v>8284.7000000000007</v>
          </cell>
          <cell r="F3816">
            <v>8429.7000000000007</v>
          </cell>
        </row>
        <row r="3817">
          <cell r="B3817">
            <v>42117</v>
          </cell>
          <cell r="C3817">
            <v>8478.2000000000007</v>
          </cell>
          <cell r="D3817">
            <v>8504.9500000000007</v>
          </cell>
          <cell r="E3817">
            <v>8361.85</v>
          </cell>
          <cell r="F3817">
            <v>8398.2999999999993</v>
          </cell>
        </row>
        <row r="3818">
          <cell r="B3818">
            <v>42118</v>
          </cell>
          <cell r="C3818">
            <v>8405.7000000000007</v>
          </cell>
          <cell r="D3818">
            <v>8413.2999999999993</v>
          </cell>
          <cell r="E3818">
            <v>8273.35</v>
          </cell>
          <cell r="F3818">
            <v>8305.25</v>
          </cell>
        </row>
        <row r="3819">
          <cell r="B3819">
            <v>42121</v>
          </cell>
          <cell r="C3819">
            <v>8330.5499999999993</v>
          </cell>
          <cell r="D3819">
            <v>8334.4500000000007</v>
          </cell>
          <cell r="E3819">
            <v>8202.35</v>
          </cell>
          <cell r="F3819">
            <v>8213.7999999999993</v>
          </cell>
        </row>
        <row r="3820">
          <cell r="B3820">
            <v>42122</v>
          </cell>
          <cell r="C3820">
            <v>8215.5499999999993</v>
          </cell>
          <cell r="D3820">
            <v>8308</v>
          </cell>
          <cell r="E3820">
            <v>8185.15</v>
          </cell>
          <cell r="F3820">
            <v>8285.6</v>
          </cell>
        </row>
        <row r="3821">
          <cell r="B3821">
            <v>42123</v>
          </cell>
          <cell r="C3821">
            <v>8274.7999999999993</v>
          </cell>
          <cell r="D3821">
            <v>8308.2000000000007</v>
          </cell>
          <cell r="E3821">
            <v>8219.2000000000007</v>
          </cell>
          <cell r="F3821">
            <v>8239.75</v>
          </cell>
        </row>
        <row r="3822">
          <cell r="B3822">
            <v>42124</v>
          </cell>
          <cell r="C3822">
            <v>8224.5</v>
          </cell>
          <cell r="D3822">
            <v>8229.4</v>
          </cell>
          <cell r="E3822">
            <v>8144.75</v>
          </cell>
          <cell r="F3822">
            <v>8181.5</v>
          </cell>
        </row>
        <row r="3823">
          <cell r="B3823">
            <v>42128</v>
          </cell>
          <cell r="C3823">
            <v>8230.0499999999993</v>
          </cell>
          <cell r="D3823">
            <v>8346</v>
          </cell>
          <cell r="E3823">
            <v>8220.4500000000007</v>
          </cell>
          <cell r="F3823">
            <v>8331.9500000000007</v>
          </cell>
        </row>
        <row r="3824">
          <cell r="B3824">
            <v>42129</v>
          </cell>
          <cell r="C3824">
            <v>8338.4</v>
          </cell>
          <cell r="D3824">
            <v>8355.65</v>
          </cell>
          <cell r="E3824">
            <v>8280.6</v>
          </cell>
          <cell r="F3824">
            <v>8324.7999999999993</v>
          </cell>
        </row>
        <row r="3825">
          <cell r="B3825">
            <v>42130</v>
          </cell>
          <cell r="C3825">
            <v>8316.6</v>
          </cell>
          <cell r="D3825">
            <v>8331.9500000000007</v>
          </cell>
          <cell r="E3825">
            <v>8083</v>
          </cell>
          <cell r="F3825">
            <v>8097</v>
          </cell>
        </row>
        <row r="3826">
          <cell r="B3826">
            <v>42131</v>
          </cell>
          <cell r="C3826">
            <v>8077</v>
          </cell>
          <cell r="D3826">
            <v>8122.6</v>
          </cell>
          <cell r="E3826">
            <v>7997.15</v>
          </cell>
          <cell r="F3826">
            <v>8057.3</v>
          </cell>
        </row>
        <row r="3827">
          <cell r="B3827">
            <v>42132</v>
          </cell>
          <cell r="C3827">
            <v>8131.5</v>
          </cell>
          <cell r="D3827">
            <v>8224.9500000000007</v>
          </cell>
          <cell r="E3827">
            <v>8123.45</v>
          </cell>
          <cell r="F3827">
            <v>8191.5</v>
          </cell>
        </row>
        <row r="3828">
          <cell r="B3828">
            <v>42135</v>
          </cell>
          <cell r="C3828">
            <v>8243.2000000000007</v>
          </cell>
          <cell r="D3828">
            <v>8332.75</v>
          </cell>
          <cell r="E3828">
            <v>8224.65</v>
          </cell>
          <cell r="F3828">
            <v>8325.25</v>
          </cell>
        </row>
        <row r="3829">
          <cell r="B3829">
            <v>42136</v>
          </cell>
          <cell r="C3829">
            <v>8326.15</v>
          </cell>
          <cell r="D3829">
            <v>8326.65</v>
          </cell>
          <cell r="E3829">
            <v>8115.3</v>
          </cell>
          <cell r="F3829">
            <v>8126.95</v>
          </cell>
        </row>
        <row r="3830">
          <cell r="B3830">
            <v>42137</v>
          </cell>
          <cell r="C3830">
            <v>8181.55</v>
          </cell>
          <cell r="D3830">
            <v>8254.9500000000007</v>
          </cell>
          <cell r="E3830">
            <v>8089.8</v>
          </cell>
          <cell r="F3830">
            <v>8235.4500000000007</v>
          </cell>
        </row>
        <row r="3831">
          <cell r="B3831">
            <v>42138</v>
          </cell>
          <cell r="C3831">
            <v>8232.4500000000007</v>
          </cell>
          <cell r="D3831">
            <v>8236.25</v>
          </cell>
          <cell r="E3831">
            <v>8137.3</v>
          </cell>
          <cell r="F3831">
            <v>8224.2000000000007</v>
          </cell>
        </row>
        <row r="3832">
          <cell r="B3832">
            <v>42139</v>
          </cell>
          <cell r="C3832">
            <v>8240.2999999999993</v>
          </cell>
          <cell r="D3832">
            <v>8279.2000000000007</v>
          </cell>
          <cell r="E3832">
            <v>8212.2000000000007</v>
          </cell>
          <cell r="F3832">
            <v>8262.35</v>
          </cell>
        </row>
        <row r="3833">
          <cell r="B3833">
            <v>42142</v>
          </cell>
          <cell r="C3833">
            <v>8284.9500000000007</v>
          </cell>
          <cell r="D3833">
            <v>8384.6</v>
          </cell>
          <cell r="E3833">
            <v>8271.9500000000007</v>
          </cell>
          <cell r="F3833">
            <v>8373.65</v>
          </cell>
        </row>
        <row r="3834">
          <cell r="B3834">
            <v>42143</v>
          </cell>
          <cell r="C3834">
            <v>8356.2000000000007</v>
          </cell>
          <cell r="D3834">
            <v>8427.7999999999993</v>
          </cell>
          <cell r="E3834">
            <v>8335</v>
          </cell>
          <cell r="F3834">
            <v>8365.65</v>
          </cell>
        </row>
        <row r="3835">
          <cell r="B3835">
            <v>42144</v>
          </cell>
          <cell r="C3835">
            <v>8392.65</v>
          </cell>
          <cell r="D3835">
            <v>8440.35</v>
          </cell>
          <cell r="E3835">
            <v>8391.4500000000007</v>
          </cell>
          <cell r="F3835">
            <v>8423.25</v>
          </cell>
        </row>
        <row r="3836">
          <cell r="B3836">
            <v>42145</v>
          </cell>
          <cell r="C3836">
            <v>8434.5</v>
          </cell>
          <cell r="D3836">
            <v>8446.35</v>
          </cell>
          <cell r="E3836">
            <v>8382.5</v>
          </cell>
          <cell r="F3836">
            <v>8421</v>
          </cell>
        </row>
        <row r="3837">
          <cell r="B3837">
            <v>42146</v>
          </cell>
          <cell r="C3837">
            <v>8432.5</v>
          </cell>
          <cell r="D3837">
            <v>8489.5499999999993</v>
          </cell>
          <cell r="E3837">
            <v>8420.6</v>
          </cell>
          <cell r="F3837">
            <v>8458.9500000000007</v>
          </cell>
        </row>
        <row r="3838">
          <cell r="B3838">
            <v>42149</v>
          </cell>
          <cell r="C3838">
            <v>8438.15</v>
          </cell>
          <cell r="D3838">
            <v>8441.9500000000007</v>
          </cell>
          <cell r="E3838">
            <v>8364.15</v>
          </cell>
          <cell r="F3838">
            <v>8370.25</v>
          </cell>
        </row>
        <row r="3839">
          <cell r="B3839">
            <v>42150</v>
          </cell>
          <cell r="C3839">
            <v>8377.1</v>
          </cell>
          <cell r="D3839">
            <v>8378.9</v>
          </cell>
          <cell r="E3839">
            <v>8320.0499999999993</v>
          </cell>
          <cell r="F3839">
            <v>8339.35</v>
          </cell>
        </row>
        <row r="3840">
          <cell r="B3840">
            <v>42151</v>
          </cell>
          <cell r="C3840">
            <v>8302.75</v>
          </cell>
          <cell r="D3840">
            <v>8342.85</v>
          </cell>
          <cell r="E3840">
            <v>8277.9500000000007</v>
          </cell>
          <cell r="F3840">
            <v>8334.6</v>
          </cell>
        </row>
        <row r="3841">
          <cell r="B3841">
            <v>42152</v>
          </cell>
          <cell r="C3841">
            <v>8345.7000000000007</v>
          </cell>
          <cell r="D3841">
            <v>8364.5</v>
          </cell>
          <cell r="E3841">
            <v>8270.15</v>
          </cell>
          <cell r="F3841">
            <v>8319</v>
          </cell>
        </row>
        <row r="3842">
          <cell r="B3842">
            <v>42153</v>
          </cell>
          <cell r="C3842">
            <v>8327.1</v>
          </cell>
          <cell r="D3842">
            <v>8443.9</v>
          </cell>
          <cell r="E3842">
            <v>8305.7000000000007</v>
          </cell>
          <cell r="F3842">
            <v>8433.65</v>
          </cell>
        </row>
        <row r="3843">
          <cell r="B3843">
            <v>42156</v>
          </cell>
          <cell r="C3843">
            <v>8417.25</v>
          </cell>
          <cell r="D3843">
            <v>8467.15</v>
          </cell>
          <cell r="E3843">
            <v>8405.4</v>
          </cell>
          <cell r="F3843">
            <v>8433.4</v>
          </cell>
        </row>
        <row r="3844">
          <cell r="B3844">
            <v>42157</v>
          </cell>
          <cell r="C3844">
            <v>8442.7999999999993</v>
          </cell>
          <cell r="D3844">
            <v>8445.35</v>
          </cell>
          <cell r="E3844">
            <v>8226.0499999999993</v>
          </cell>
          <cell r="F3844">
            <v>8236.4500000000007</v>
          </cell>
        </row>
        <row r="3845">
          <cell r="B3845">
            <v>42158</v>
          </cell>
          <cell r="C3845">
            <v>8232.4500000000007</v>
          </cell>
          <cell r="D3845">
            <v>8236.7000000000007</v>
          </cell>
          <cell r="E3845">
            <v>8094.15</v>
          </cell>
          <cell r="F3845">
            <v>8135.1</v>
          </cell>
        </row>
        <row r="3846">
          <cell r="B3846">
            <v>42159</v>
          </cell>
          <cell r="C3846">
            <v>8155.15</v>
          </cell>
          <cell r="D3846">
            <v>8160.05</v>
          </cell>
          <cell r="E3846">
            <v>8056.75</v>
          </cell>
          <cell r="F3846">
            <v>8130.65</v>
          </cell>
        </row>
        <row r="3847">
          <cell r="B3847">
            <v>42160</v>
          </cell>
          <cell r="C3847">
            <v>8119.15</v>
          </cell>
          <cell r="D3847">
            <v>8191</v>
          </cell>
          <cell r="E3847">
            <v>8100.15</v>
          </cell>
          <cell r="F3847">
            <v>8114.7</v>
          </cell>
        </row>
        <row r="3848">
          <cell r="B3848">
            <v>42163</v>
          </cell>
          <cell r="C3848">
            <v>8124.35</v>
          </cell>
          <cell r="D3848">
            <v>8131</v>
          </cell>
          <cell r="E3848">
            <v>8030.55</v>
          </cell>
          <cell r="F3848">
            <v>8044.15</v>
          </cell>
        </row>
        <row r="3849">
          <cell r="B3849">
            <v>42164</v>
          </cell>
          <cell r="C3849">
            <v>8026.5</v>
          </cell>
          <cell r="D3849">
            <v>8057.15</v>
          </cell>
          <cell r="E3849">
            <v>8005.15</v>
          </cell>
          <cell r="F3849">
            <v>8022.4</v>
          </cell>
        </row>
        <row r="3850">
          <cell r="B3850">
            <v>42165</v>
          </cell>
          <cell r="C3850">
            <v>8024.15</v>
          </cell>
          <cell r="D3850">
            <v>8152.25</v>
          </cell>
          <cell r="E3850">
            <v>8023.8</v>
          </cell>
          <cell r="F3850">
            <v>8124.45</v>
          </cell>
        </row>
        <row r="3851">
          <cell r="B3851">
            <v>42166</v>
          </cell>
          <cell r="C3851">
            <v>8157.3</v>
          </cell>
          <cell r="D3851">
            <v>8163.05</v>
          </cell>
          <cell r="E3851">
            <v>7958.25</v>
          </cell>
          <cell r="F3851">
            <v>7965.35</v>
          </cell>
        </row>
        <row r="3852">
          <cell r="B3852">
            <v>42167</v>
          </cell>
          <cell r="C3852">
            <v>7959.85</v>
          </cell>
          <cell r="D3852">
            <v>7995.6</v>
          </cell>
          <cell r="E3852">
            <v>7940.3</v>
          </cell>
          <cell r="F3852">
            <v>7982.9</v>
          </cell>
        </row>
        <row r="3853">
          <cell r="B3853">
            <v>42170</v>
          </cell>
          <cell r="C3853">
            <v>7986.6</v>
          </cell>
          <cell r="D3853">
            <v>8057.7</v>
          </cell>
          <cell r="E3853">
            <v>7944.85</v>
          </cell>
          <cell r="F3853">
            <v>8013.9</v>
          </cell>
        </row>
        <row r="3854">
          <cell r="B3854">
            <v>42171</v>
          </cell>
          <cell r="C3854">
            <v>8004.2</v>
          </cell>
          <cell r="D3854">
            <v>8061.85</v>
          </cell>
          <cell r="E3854">
            <v>7952.35</v>
          </cell>
          <cell r="F3854">
            <v>8047.3</v>
          </cell>
        </row>
        <row r="3855">
          <cell r="B3855">
            <v>42172</v>
          </cell>
          <cell r="C3855">
            <v>8084.2</v>
          </cell>
          <cell r="D3855">
            <v>8136.85</v>
          </cell>
          <cell r="E3855">
            <v>8048.95</v>
          </cell>
          <cell r="F3855">
            <v>8091.55</v>
          </cell>
        </row>
        <row r="3856">
          <cell r="B3856">
            <v>42173</v>
          </cell>
          <cell r="C3856">
            <v>8113.7</v>
          </cell>
          <cell r="D3856">
            <v>8186.9</v>
          </cell>
          <cell r="E3856">
            <v>8101.8</v>
          </cell>
          <cell r="F3856">
            <v>8174.6</v>
          </cell>
        </row>
        <row r="3857">
          <cell r="B3857">
            <v>42174</v>
          </cell>
          <cell r="C3857">
            <v>8201.15</v>
          </cell>
          <cell r="D3857">
            <v>8250.7999999999993</v>
          </cell>
          <cell r="E3857">
            <v>8195.65</v>
          </cell>
          <cell r="F3857">
            <v>8224.9500000000007</v>
          </cell>
        </row>
        <row r="3858">
          <cell r="B3858">
            <v>42177</v>
          </cell>
          <cell r="C3858">
            <v>8259.2999999999993</v>
          </cell>
          <cell r="D3858">
            <v>8369.4500000000007</v>
          </cell>
          <cell r="E3858">
            <v>8257.4</v>
          </cell>
          <cell r="F3858">
            <v>8353.1</v>
          </cell>
        </row>
        <row r="3859">
          <cell r="B3859">
            <v>42178</v>
          </cell>
          <cell r="C3859">
            <v>8377.4500000000007</v>
          </cell>
          <cell r="D3859">
            <v>8398.4500000000007</v>
          </cell>
          <cell r="E3859">
            <v>8334.9500000000007</v>
          </cell>
          <cell r="F3859">
            <v>8381.5499999999993</v>
          </cell>
        </row>
        <row r="3860">
          <cell r="B3860">
            <v>42179</v>
          </cell>
          <cell r="C3860">
            <v>8399.4</v>
          </cell>
          <cell r="D3860">
            <v>8421.35</v>
          </cell>
          <cell r="E3860">
            <v>8338.9</v>
          </cell>
          <cell r="F3860">
            <v>8360.85</v>
          </cell>
        </row>
        <row r="3861">
          <cell r="B3861">
            <v>42180</v>
          </cell>
          <cell r="C3861">
            <v>8336.25</v>
          </cell>
          <cell r="D3861">
            <v>8423.15</v>
          </cell>
          <cell r="E3861">
            <v>8329.5</v>
          </cell>
          <cell r="F3861">
            <v>8398</v>
          </cell>
        </row>
        <row r="3862">
          <cell r="B3862">
            <v>42181</v>
          </cell>
          <cell r="C3862">
            <v>8393.9500000000007</v>
          </cell>
          <cell r="D3862">
            <v>8408.5499999999993</v>
          </cell>
          <cell r="E3862">
            <v>8339.7000000000007</v>
          </cell>
          <cell r="F3862">
            <v>8381.1</v>
          </cell>
        </row>
        <row r="3863">
          <cell r="B3863">
            <v>42184</v>
          </cell>
          <cell r="C3863">
            <v>8247.0499999999993</v>
          </cell>
          <cell r="D3863">
            <v>8329.4500000000007</v>
          </cell>
          <cell r="E3863">
            <v>8195.65</v>
          </cell>
          <cell r="F3863">
            <v>8318.4</v>
          </cell>
        </row>
        <row r="3864">
          <cell r="B3864">
            <v>42185</v>
          </cell>
          <cell r="C3864">
            <v>8316.35</v>
          </cell>
          <cell r="D3864">
            <v>8378</v>
          </cell>
          <cell r="E3864">
            <v>8298.9500000000007</v>
          </cell>
          <cell r="F3864">
            <v>8368.5</v>
          </cell>
        </row>
        <row r="3865">
          <cell r="B3865">
            <v>42186</v>
          </cell>
          <cell r="C3865">
            <v>8376.25</v>
          </cell>
          <cell r="D3865">
            <v>8481.6</v>
          </cell>
          <cell r="E3865">
            <v>8370.15</v>
          </cell>
          <cell r="F3865">
            <v>8453.0499999999993</v>
          </cell>
        </row>
        <row r="3866">
          <cell r="B3866">
            <v>42187</v>
          </cell>
          <cell r="C3866">
            <v>8471.9500000000007</v>
          </cell>
          <cell r="D3866">
            <v>8479.25</v>
          </cell>
          <cell r="E3866">
            <v>8433.2000000000007</v>
          </cell>
          <cell r="F3866">
            <v>8444.9</v>
          </cell>
        </row>
        <row r="3867">
          <cell r="B3867">
            <v>42188</v>
          </cell>
          <cell r="C3867">
            <v>8440.1</v>
          </cell>
          <cell r="D3867">
            <v>8497.75</v>
          </cell>
          <cell r="E3867">
            <v>8424.15</v>
          </cell>
          <cell r="F3867">
            <v>8484.9</v>
          </cell>
        </row>
        <row r="3868">
          <cell r="B3868">
            <v>42191</v>
          </cell>
          <cell r="C3868">
            <v>8386.15</v>
          </cell>
          <cell r="D3868">
            <v>8533.15</v>
          </cell>
          <cell r="E3868">
            <v>8386.15</v>
          </cell>
          <cell r="F3868">
            <v>8522.15</v>
          </cell>
        </row>
        <row r="3869">
          <cell r="B3869">
            <v>42192</v>
          </cell>
          <cell r="C3869">
            <v>8525.5</v>
          </cell>
          <cell r="D3869">
            <v>8561.35</v>
          </cell>
          <cell r="E3869">
            <v>8483.85</v>
          </cell>
          <cell r="F3869">
            <v>8510.7999999999993</v>
          </cell>
        </row>
        <row r="3870">
          <cell r="B3870">
            <v>42193</v>
          </cell>
          <cell r="C3870">
            <v>8439.2000000000007</v>
          </cell>
          <cell r="D3870">
            <v>8457.5</v>
          </cell>
          <cell r="E3870">
            <v>8341.4</v>
          </cell>
          <cell r="F3870">
            <v>8363.0499999999993</v>
          </cell>
        </row>
        <row r="3871">
          <cell r="B3871">
            <v>42194</v>
          </cell>
          <cell r="C3871">
            <v>8364.85</v>
          </cell>
          <cell r="D3871">
            <v>8400.2999999999993</v>
          </cell>
          <cell r="E3871">
            <v>8323</v>
          </cell>
          <cell r="F3871">
            <v>8328.5499999999993</v>
          </cell>
        </row>
        <row r="3872">
          <cell r="B3872">
            <v>42195</v>
          </cell>
          <cell r="C3872">
            <v>8365.7000000000007</v>
          </cell>
          <cell r="D3872">
            <v>8377.1</v>
          </cell>
          <cell r="E3872">
            <v>8315.4</v>
          </cell>
          <cell r="F3872">
            <v>8360.5499999999993</v>
          </cell>
        </row>
        <row r="3873">
          <cell r="B3873">
            <v>42198</v>
          </cell>
          <cell r="C3873">
            <v>8397.25</v>
          </cell>
          <cell r="D3873">
            <v>8471.65</v>
          </cell>
          <cell r="E3873">
            <v>8355.4</v>
          </cell>
          <cell r="F3873">
            <v>8459.65</v>
          </cell>
        </row>
        <row r="3874">
          <cell r="B3874">
            <v>42199</v>
          </cell>
          <cell r="C3874">
            <v>8470.6</v>
          </cell>
          <cell r="D3874">
            <v>8480.25</v>
          </cell>
          <cell r="E3874">
            <v>8424.1</v>
          </cell>
          <cell r="F3874">
            <v>8454.1</v>
          </cell>
        </row>
        <row r="3875">
          <cell r="B3875">
            <v>42200</v>
          </cell>
          <cell r="C3875">
            <v>8463.4</v>
          </cell>
          <cell r="D3875">
            <v>8531.4</v>
          </cell>
          <cell r="E3875">
            <v>8462.9500000000007</v>
          </cell>
          <cell r="F3875">
            <v>8523.7999999999993</v>
          </cell>
        </row>
        <row r="3876">
          <cell r="B3876">
            <v>42201</v>
          </cell>
          <cell r="C3876">
            <v>8546.15</v>
          </cell>
          <cell r="D3876">
            <v>8616.1</v>
          </cell>
          <cell r="E3876">
            <v>8542.9</v>
          </cell>
          <cell r="F3876">
            <v>8608.0499999999993</v>
          </cell>
        </row>
        <row r="3877">
          <cell r="B3877">
            <v>42202</v>
          </cell>
          <cell r="C3877">
            <v>8623.65</v>
          </cell>
          <cell r="D3877">
            <v>8642.9500000000007</v>
          </cell>
          <cell r="E3877">
            <v>8593.15</v>
          </cell>
          <cell r="F3877">
            <v>8609.85</v>
          </cell>
        </row>
        <row r="3878">
          <cell r="B3878">
            <v>42205</v>
          </cell>
          <cell r="C3878">
            <v>8623.9</v>
          </cell>
          <cell r="D3878">
            <v>8624.1</v>
          </cell>
          <cell r="E3878">
            <v>8559</v>
          </cell>
          <cell r="F3878">
            <v>8603.4500000000007</v>
          </cell>
        </row>
        <row r="3879">
          <cell r="B3879">
            <v>42206</v>
          </cell>
          <cell r="C3879">
            <v>8601.5</v>
          </cell>
          <cell r="D3879">
            <v>8646.75</v>
          </cell>
          <cell r="E3879">
            <v>8517.9</v>
          </cell>
          <cell r="F3879">
            <v>8529.4500000000007</v>
          </cell>
        </row>
        <row r="3880">
          <cell r="B3880">
            <v>42207</v>
          </cell>
          <cell r="C3880">
            <v>8512.25</v>
          </cell>
          <cell r="D3880">
            <v>8643.9</v>
          </cell>
          <cell r="E3880">
            <v>8498.65</v>
          </cell>
          <cell r="F3880">
            <v>8633.5</v>
          </cell>
        </row>
        <row r="3881">
          <cell r="B3881">
            <v>42208</v>
          </cell>
          <cell r="C3881">
            <v>8643.9500000000007</v>
          </cell>
          <cell r="D3881">
            <v>8654.75</v>
          </cell>
          <cell r="E3881">
            <v>8573.7999999999993</v>
          </cell>
          <cell r="F3881">
            <v>8589.7999999999993</v>
          </cell>
        </row>
        <row r="3882">
          <cell r="B3882">
            <v>42209</v>
          </cell>
          <cell r="C3882">
            <v>8588.15</v>
          </cell>
          <cell r="D3882">
            <v>8589.15</v>
          </cell>
          <cell r="E3882">
            <v>8513.5</v>
          </cell>
          <cell r="F3882">
            <v>8521.5499999999993</v>
          </cell>
        </row>
        <row r="3883">
          <cell r="B3883">
            <v>42212</v>
          </cell>
          <cell r="C3883">
            <v>8492.1</v>
          </cell>
          <cell r="D3883">
            <v>8492.2000000000007</v>
          </cell>
          <cell r="E3883">
            <v>8351.5499999999993</v>
          </cell>
          <cell r="F3883">
            <v>8361</v>
          </cell>
        </row>
        <row r="3884">
          <cell r="B3884">
            <v>42213</v>
          </cell>
          <cell r="C3884">
            <v>8371.1</v>
          </cell>
          <cell r="D3884">
            <v>8397.4</v>
          </cell>
          <cell r="E3884">
            <v>8321.75</v>
          </cell>
          <cell r="F3884">
            <v>8337</v>
          </cell>
        </row>
        <row r="3885">
          <cell r="B3885">
            <v>42214</v>
          </cell>
          <cell r="C3885">
            <v>8365.6</v>
          </cell>
          <cell r="D3885">
            <v>8381.5</v>
          </cell>
          <cell r="E3885">
            <v>8338.4500000000007</v>
          </cell>
          <cell r="F3885">
            <v>8375.0499999999993</v>
          </cell>
        </row>
        <row r="3886">
          <cell r="B3886">
            <v>42215</v>
          </cell>
          <cell r="C3886">
            <v>8417</v>
          </cell>
          <cell r="D3886">
            <v>8458.9</v>
          </cell>
          <cell r="E3886">
            <v>8408.2999999999993</v>
          </cell>
          <cell r="F3886">
            <v>8421.7999999999993</v>
          </cell>
        </row>
        <row r="3887">
          <cell r="B3887">
            <v>42216</v>
          </cell>
          <cell r="C3887">
            <v>8456.1</v>
          </cell>
          <cell r="D3887">
            <v>8548.9500000000007</v>
          </cell>
          <cell r="E3887">
            <v>8448</v>
          </cell>
          <cell r="F3887">
            <v>8532.85</v>
          </cell>
        </row>
        <row r="3888">
          <cell r="B3888">
            <v>42219</v>
          </cell>
          <cell r="C3888">
            <v>8510.65</v>
          </cell>
          <cell r="D3888">
            <v>8563.9500000000007</v>
          </cell>
          <cell r="E3888">
            <v>8508.1</v>
          </cell>
          <cell r="F3888">
            <v>8543.0499999999993</v>
          </cell>
        </row>
        <row r="3889">
          <cell r="B3889">
            <v>42220</v>
          </cell>
          <cell r="C3889">
            <v>8564.1</v>
          </cell>
          <cell r="D3889">
            <v>8565.15</v>
          </cell>
          <cell r="E3889">
            <v>8448.25</v>
          </cell>
          <cell r="F3889">
            <v>8516.9</v>
          </cell>
        </row>
        <row r="3890">
          <cell r="B3890">
            <v>42221</v>
          </cell>
          <cell r="C3890">
            <v>8547.4500000000007</v>
          </cell>
          <cell r="D3890">
            <v>8591.85</v>
          </cell>
          <cell r="E3890">
            <v>8545.85</v>
          </cell>
          <cell r="F3890">
            <v>8567.9500000000007</v>
          </cell>
        </row>
        <row r="3891">
          <cell r="B3891">
            <v>42222</v>
          </cell>
          <cell r="C3891">
            <v>8585.7999999999993</v>
          </cell>
          <cell r="D3891">
            <v>8606.2999999999993</v>
          </cell>
          <cell r="E3891">
            <v>8551.5</v>
          </cell>
          <cell r="F3891">
            <v>8588.65</v>
          </cell>
        </row>
        <row r="3892">
          <cell r="B3892">
            <v>42223</v>
          </cell>
          <cell r="C3892">
            <v>8580.7999999999993</v>
          </cell>
          <cell r="D3892">
            <v>8595.9500000000007</v>
          </cell>
          <cell r="E3892">
            <v>8552.7000000000007</v>
          </cell>
          <cell r="F3892">
            <v>8564.6</v>
          </cell>
        </row>
        <row r="3893">
          <cell r="B3893">
            <v>42226</v>
          </cell>
          <cell r="C3893">
            <v>8577</v>
          </cell>
          <cell r="D3893">
            <v>8621.5499999999993</v>
          </cell>
          <cell r="E3893">
            <v>8497.7999999999993</v>
          </cell>
          <cell r="F3893">
            <v>8525.6</v>
          </cell>
        </row>
        <row r="3894">
          <cell r="B3894">
            <v>42227</v>
          </cell>
          <cell r="C3894">
            <v>8548.4500000000007</v>
          </cell>
          <cell r="D3894">
            <v>8556.25</v>
          </cell>
          <cell r="E3894">
            <v>8441.2999999999993</v>
          </cell>
          <cell r="F3894">
            <v>8462.35</v>
          </cell>
        </row>
        <row r="3895">
          <cell r="B3895">
            <v>42228</v>
          </cell>
          <cell r="C3895">
            <v>8445.7000000000007</v>
          </cell>
          <cell r="D3895">
            <v>8446.9500000000007</v>
          </cell>
          <cell r="E3895">
            <v>8337.9500000000007</v>
          </cell>
          <cell r="F3895">
            <v>8349.4500000000007</v>
          </cell>
        </row>
        <row r="3896">
          <cell r="B3896">
            <v>42229</v>
          </cell>
          <cell r="C3896">
            <v>8384.4500000000007</v>
          </cell>
          <cell r="D3896">
            <v>8429.5</v>
          </cell>
          <cell r="E3896">
            <v>8339.75</v>
          </cell>
          <cell r="F3896">
            <v>8355.85</v>
          </cell>
        </row>
        <row r="3897">
          <cell r="B3897">
            <v>42230</v>
          </cell>
          <cell r="C3897">
            <v>8402.35</v>
          </cell>
          <cell r="D3897">
            <v>8530.1</v>
          </cell>
          <cell r="E3897">
            <v>8381.2000000000007</v>
          </cell>
          <cell r="F3897">
            <v>8518.5499999999993</v>
          </cell>
        </row>
        <row r="3898">
          <cell r="B3898">
            <v>42233</v>
          </cell>
          <cell r="C3898">
            <v>8530.5</v>
          </cell>
          <cell r="D3898">
            <v>8530.6</v>
          </cell>
          <cell r="E3898">
            <v>8428.0499999999993</v>
          </cell>
          <cell r="F3898">
            <v>8477.2999999999993</v>
          </cell>
        </row>
        <row r="3899">
          <cell r="B3899">
            <v>42234</v>
          </cell>
          <cell r="C3899">
            <v>8505.85</v>
          </cell>
          <cell r="D3899">
            <v>8525.75</v>
          </cell>
          <cell r="E3899">
            <v>8433.6</v>
          </cell>
          <cell r="F3899">
            <v>8466.5499999999993</v>
          </cell>
        </row>
        <row r="3900">
          <cell r="B3900">
            <v>42235</v>
          </cell>
          <cell r="C3900">
            <v>8468.0499999999993</v>
          </cell>
          <cell r="D3900">
            <v>8520.4500000000007</v>
          </cell>
          <cell r="E3900">
            <v>8425.9500000000007</v>
          </cell>
          <cell r="F3900">
            <v>8495.15</v>
          </cell>
        </row>
        <row r="3901">
          <cell r="B3901">
            <v>42236</v>
          </cell>
          <cell r="C3901">
            <v>8471.0499999999993</v>
          </cell>
          <cell r="D3901">
            <v>8501.35</v>
          </cell>
          <cell r="E3901">
            <v>8359.75</v>
          </cell>
          <cell r="F3901">
            <v>8372.75</v>
          </cell>
        </row>
        <row r="3902">
          <cell r="B3902">
            <v>42237</v>
          </cell>
          <cell r="C3902">
            <v>8305.4</v>
          </cell>
          <cell r="D3902">
            <v>8322.2000000000007</v>
          </cell>
          <cell r="E3902">
            <v>8225.0499999999993</v>
          </cell>
          <cell r="F3902">
            <v>8299.9500000000007</v>
          </cell>
        </row>
        <row r="3903">
          <cell r="B3903">
            <v>42240</v>
          </cell>
          <cell r="C3903">
            <v>8055.95</v>
          </cell>
          <cell r="D3903">
            <v>8060.05</v>
          </cell>
          <cell r="E3903">
            <v>7769.4</v>
          </cell>
          <cell r="F3903">
            <v>7809</v>
          </cell>
        </row>
        <row r="3904">
          <cell r="B3904">
            <v>42241</v>
          </cell>
          <cell r="C3904">
            <v>7895.4</v>
          </cell>
          <cell r="D3904">
            <v>7925.4</v>
          </cell>
          <cell r="E3904">
            <v>7667.25</v>
          </cell>
          <cell r="F3904">
            <v>7880.7</v>
          </cell>
        </row>
        <row r="3905">
          <cell r="B3905">
            <v>42242</v>
          </cell>
          <cell r="C3905">
            <v>7865.25</v>
          </cell>
          <cell r="D3905">
            <v>7930.05</v>
          </cell>
          <cell r="E3905">
            <v>7777.1</v>
          </cell>
          <cell r="F3905">
            <v>7791.85</v>
          </cell>
        </row>
        <row r="3906">
          <cell r="B3906">
            <v>42243</v>
          </cell>
          <cell r="C3906">
            <v>7921.6</v>
          </cell>
          <cell r="D3906">
            <v>7963.6</v>
          </cell>
          <cell r="E3906">
            <v>7862.3</v>
          </cell>
          <cell r="F3906">
            <v>7948.95</v>
          </cell>
        </row>
        <row r="3907">
          <cell r="B3907">
            <v>42244</v>
          </cell>
          <cell r="C3907">
            <v>8053.7</v>
          </cell>
          <cell r="D3907">
            <v>8091.8</v>
          </cell>
          <cell r="E3907">
            <v>7961.65</v>
          </cell>
          <cell r="F3907">
            <v>8001.95</v>
          </cell>
        </row>
        <row r="3908">
          <cell r="B3908">
            <v>42247</v>
          </cell>
          <cell r="C3908">
            <v>8009.25</v>
          </cell>
          <cell r="D3908">
            <v>8043.6</v>
          </cell>
          <cell r="E3908">
            <v>7947.95</v>
          </cell>
          <cell r="F3908">
            <v>7971.3</v>
          </cell>
        </row>
        <row r="3909">
          <cell r="B3909">
            <v>42248</v>
          </cell>
          <cell r="C3909">
            <v>7907.95</v>
          </cell>
          <cell r="D3909">
            <v>7929.1</v>
          </cell>
          <cell r="E3909">
            <v>7746.5</v>
          </cell>
          <cell r="F3909">
            <v>7785.85</v>
          </cell>
        </row>
        <row r="3910">
          <cell r="B3910">
            <v>42249</v>
          </cell>
          <cell r="C3910">
            <v>7856.65</v>
          </cell>
          <cell r="D3910">
            <v>7862.55</v>
          </cell>
          <cell r="E3910">
            <v>7699.25</v>
          </cell>
          <cell r="F3910">
            <v>7717</v>
          </cell>
        </row>
        <row r="3911">
          <cell r="B3911">
            <v>42250</v>
          </cell>
          <cell r="C3911">
            <v>7774.45</v>
          </cell>
          <cell r="D3911">
            <v>7845.6</v>
          </cell>
          <cell r="E3911">
            <v>7754.05</v>
          </cell>
          <cell r="F3911">
            <v>7823</v>
          </cell>
        </row>
        <row r="3912">
          <cell r="B3912">
            <v>42251</v>
          </cell>
          <cell r="C3912">
            <v>7803.4</v>
          </cell>
          <cell r="D3912">
            <v>7804.9</v>
          </cell>
          <cell r="E3912">
            <v>7626.85</v>
          </cell>
          <cell r="F3912">
            <v>7655.05</v>
          </cell>
        </row>
        <row r="3913">
          <cell r="B3913">
            <v>42254</v>
          </cell>
          <cell r="C3913">
            <v>7685.85</v>
          </cell>
          <cell r="D3913">
            <v>7705.05</v>
          </cell>
          <cell r="E3913">
            <v>7545.9</v>
          </cell>
          <cell r="F3913">
            <v>7558.8</v>
          </cell>
        </row>
        <row r="3914">
          <cell r="B3914">
            <v>42255</v>
          </cell>
          <cell r="C3914">
            <v>7587.7</v>
          </cell>
          <cell r="D3914">
            <v>7720.9</v>
          </cell>
          <cell r="E3914">
            <v>7539.5</v>
          </cell>
          <cell r="F3914">
            <v>7688.25</v>
          </cell>
        </row>
        <row r="3915">
          <cell r="B3915">
            <v>42256</v>
          </cell>
          <cell r="C3915">
            <v>7805.85</v>
          </cell>
          <cell r="D3915">
            <v>7846.05</v>
          </cell>
          <cell r="E3915">
            <v>7764.55</v>
          </cell>
          <cell r="F3915">
            <v>7818.6</v>
          </cell>
        </row>
        <row r="3916">
          <cell r="B3916">
            <v>42257</v>
          </cell>
          <cell r="C3916">
            <v>7729.05</v>
          </cell>
          <cell r="D3916">
            <v>7819.85</v>
          </cell>
          <cell r="E3916">
            <v>7678.5</v>
          </cell>
          <cell r="F3916">
            <v>7788.1</v>
          </cell>
        </row>
        <row r="3917">
          <cell r="B3917">
            <v>42258</v>
          </cell>
          <cell r="C3917">
            <v>7833.8</v>
          </cell>
          <cell r="D3917">
            <v>7864.85</v>
          </cell>
          <cell r="E3917">
            <v>7759.9</v>
          </cell>
          <cell r="F3917">
            <v>7789.3</v>
          </cell>
        </row>
        <row r="3918">
          <cell r="B3918">
            <v>42261</v>
          </cell>
          <cell r="C3918">
            <v>7811.1</v>
          </cell>
          <cell r="D3918">
            <v>7879.95</v>
          </cell>
          <cell r="E3918">
            <v>7761.85</v>
          </cell>
          <cell r="F3918">
            <v>7872.25</v>
          </cell>
        </row>
        <row r="3919">
          <cell r="B3919">
            <v>42262</v>
          </cell>
          <cell r="C3919">
            <v>7867.35</v>
          </cell>
          <cell r="D3919">
            <v>7880</v>
          </cell>
          <cell r="E3919">
            <v>7799.75</v>
          </cell>
          <cell r="F3919">
            <v>7829.1</v>
          </cell>
        </row>
        <row r="3920">
          <cell r="B3920">
            <v>42263</v>
          </cell>
          <cell r="C3920">
            <v>7886.85</v>
          </cell>
          <cell r="D3920">
            <v>7913.9</v>
          </cell>
          <cell r="E3920">
            <v>7853.3</v>
          </cell>
          <cell r="F3920">
            <v>7899.15</v>
          </cell>
        </row>
        <row r="3921">
          <cell r="B3921">
            <v>42265</v>
          </cell>
          <cell r="C3921">
            <v>7967.45</v>
          </cell>
          <cell r="D3921">
            <v>8055</v>
          </cell>
          <cell r="E3921">
            <v>7955.85</v>
          </cell>
          <cell r="F3921">
            <v>7981.9</v>
          </cell>
        </row>
        <row r="3922">
          <cell r="B3922">
            <v>42268</v>
          </cell>
          <cell r="C3922">
            <v>7911.5</v>
          </cell>
          <cell r="D3922">
            <v>7987.9</v>
          </cell>
          <cell r="E3922">
            <v>7908.35</v>
          </cell>
          <cell r="F3922">
            <v>7977.1</v>
          </cell>
        </row>
        <row r="3923">
          <cell r="B3923">
            <v>42269</v>
          </cell>
          <cell r="C3923">
            <v>8014.8</v>
          </cell>
          <cell r="D3923">
            <v>8021.6</v>
          </cell>
          <cell r="E3923">
            <v>7787.75</v>
          </cell>
          <cell r="F3923">
            <v>7812</v>
          </cell>
        </row>
        <row r="3924">
          <cell r="B3924">
            <v>42270</v>
          </cell>
          <cell r="C3924">
            <v>7737.35</v>
          </cell>
          <cell r="D3924">
            <v>7882.9</v>
          </cell>
          <cell r="E3924">
            <v>7723.25</v>
          </cell>
          <cell r="F3924">
            <v>7845.95</v>
          </cell>
        </row>
        <row r="3925">
          <cell r="B3925">
            <v>42271</v>
          </cell>
          <cell r="C3925">
            <v>7838.4</v>
          </cell>
          <cell r="D3925">
            <v>7894.5</v>
          </cell>
          <cell r="E3925">
            <v>7804.1</v>
          </cell>
          <cell r="F3925">
            <v>7868.5</v>
          </cell>
        </row>
        <row r="3926">
          <cell r="B3926">
            <v>42275</v>
          </cell>
          <cell r="C3926">
            <v>7892.8</v>
          </cell>
          <cell r="D3926">
            <v>7893.95</v>
          </cell>
          <cell r="E3926">
            <v>7787.95</v>
          </cell>
          <cell r="F3926">
            <v>7795.7</v>
          </cell>
        </row>
        <row r="3927">
          <cell r="B3927">
            <v>42276</v>
          </cell>
          <cell r="C3927">
            <v>7725.7</v>
          </cell>
          <cell r="D3927">
            <v>7926.55</v>
          </cell>
          <cell r="E3927">
            <v>7691.2</v>
          </cell>
          <cell r="F3927">
            <v>7843.3</v>
          </cell>
        </row>
        <row r="3928">
          <cell r="B3928">
            <v>42277</v>
          </cell>
          <cell r="C3928">
            <v>7924.25</v>
          </cell>
          <cell r="D3928">
            <v>7957.7</v>
          </cell>
          <cell r="E3928">
            <v>7874.5</v>
          </cell>
          <cell r="F3928">
            <v>7948.9</v>
          </cell>
        </row>
        <row r="3929">
          <cell r="B3929">
            <v>42278</v>
          </cell>
          <cell r="C3929">
            <v>7992.05</v>
          </cell>
          <cell r="D3929">
            <v>8008.25</v>
          </cell>
          <cell r="E3929">
            <v>7930.65</v>
          </cell>
          <cell r="F3929">
            <v>7950.9</v>
          </cell>
        </row>
        <row r="3930">
          <cell r="B3930">
            <v>42282</v>
          </cell>
          <cell r="C3930">
            <v>8005.1</v>
          </cell>
          <cell r="D3930">
            <v>8128.9</v>
          </cell>
          <cell r="E3930">
            <v>8005.1</v>
          </cell>
          <cell r="F3930">
            <v>8119.3</v>
          </cell>
        </row>
        <row r="3931">
          <cell r="B3931">
            <v>42283</v>
          </cell>
          <cell r="C3931">
            <v>8180.45</v>
          </cell>
          <cell r="D3931">
            <v>8180.95</v>
          </cell>
          <cell r="E3931">
            <v>8096.5</v>
          </cell>
          <cell r="F3931">
            <v>8152.9</v>
          </cell>
        </row>
        <row r="3932">
          <cell r="B3932">
            <v>42284</v>
          </cell>
          <cell r="C3932">
            <v>8146.2</v>
          </cell>
          <cell r="D3932">
            <v>8188.9</v>
          </cell>
          <cell r="E3932">
            <v>8132.9</v>
          </cell>
          <cell r="F3932">
            <v>8177.4</v>
          </cell>
        </row>
        <row r="3933">
          <cell r="B3933">
            <v>42285</v>
          </cell>
          <cell r="C3933">
            <v>8196.75</v>
          </cell>
          <cell r="D3933">
            <v>8196.75</v>
          </cell>
          <cell r="E3933">
            <v>8105.85</v>
          </cell>
          <cell r="F3933">
            <v>8129.35</v>
          </cell>
        </row>
        <row r="3934">
          <cell r="B3934">
            <v>42286</v>
          </cell>
          <cell r="C3934">
            <v>8186.35</v>
          </cell>
          <cell r="D3934">
            <v>8232.2000000000007</v>
          </cell>
          <cell r="E3934">
            <v>8139.65</v>
          </cell>
          <cell r="F3934">
            <v>8189.7</v>
          </cell>
        </row>
        <row r="3935">
          <cell r="B3935">
            <v>42289</v>
          </cell>
          <cell r="C3935">
            <v>8231.5</v>
          </cell>
          <cell r="D3935">
            <v>8244.5</v>
          </cell>
          <cell r="E3935">
            <v>8128.2</v>
          </cell>
          <cell r="F3935">
            <v>8143.6</v>
          </cell>
        </row>
        <row r="3936">
          <cell r="B3936">
            <v>42290</v>
          </cell>
          <cell r="C3936">
            <v>8121.95</v>
          </cell>
          <cell r="D3936">
            <v>8150.25</v>
          </cell>
          <cell r="E3936">
            <v>8088.6</v>
          </cell>
          <cell r="F3936">
            <v>8131.7</v>
          </cell>
        </row>
        <row r="3937">
          <cell r="B3937">
            <v>42291</v>
          </cell>
          <cell r="C3937">
            <v>8102.4</v>
          </cell>
          <cell r="D3937">
            <v>8139.3</v>
          </cell>
          <cell r="E3937">
            <v>8096.35</v>
          </cell>
          <cell r="F3937">
            <v>8107.9</v>
          </cell>
        </row>
        <row r="3938">
          <cell r="B3938">
            <v>42292</v>
          </cell>
          <cell r="C3938">
            <v>8134.35</v>
          </cell>
          <cell r="D3938">
            <v>8190.55</v>
          </cell>
          <cell r="E3938">
            <v>8129.8</v>
          </cell>
          <cell r="F3938">
            <v>8179.5</v>
          </cell>
        </row>
        <row r="3939">
          <cell r="B3939">
            <v>42293</v>
          </cell>
          <cell r="C3939">
            <v>8193.65</v>
          </cell>
          <cell r="D3939">
            <v>8246.4</v>
          </cell>
          <cell r="E3939">
            <v>8147.65</v>
          </cell>
          <cell r="F3939">
            <v>8238.15</v>
          </cell>
        </row>
        <row r="3940">
          <cell r="B3940">
            <v>42296</v>
          </cell>
          <cell r="C3940">
            <v>8262.5499999999993</v>
          </cell>
          <cell r="D3940">
            <v>8283.0499999999993</v>
          </cell>
          <cell r="E3940">
            <v>8239.2000000000007</v>
          </cell>
          <cell r="F3940">
            <v>8275.0499999999993</v>
          </cell>
        </row>
        <row r="3941">
          <cell r="B3941">
            <v>42297</v>
          </cell>
          <cell r="C3941">
            <v>8280.2999999999993</v>
          </cell>
          <cell r="D3941">
            <v>8294.0499999999993</v>
          </cell>
          <cell r="E3941">
            <v>8229.2000000000007</v>
          </cell>
          <cell r="F3941">
            <v>8261.65</v>
          </cell>
        </row>
        <row r="3942">
          <cell r="B3942">
            <v>42298</v>
          </cell>
          <cell r="C3942">
            <v>8258.35</v>
          </cell>
          <cell r="D3942">
            <v>8294.4</v>
          </cell>
          <cell r="E3942">
            <v>8217.15</v>
          </cell>
          <cell r="F3942">
            <v>8251.7000000000007</v>
          </cell>
        </row>
        <row r="3943">
          <cell r="B3943">
            <v>42300</v>
          </cell>
          <cell r="C3943">
            <v>8308.25</v>
          </cell>
          <cell r="D3943">
            <v>8328.1</v>
          </cell>
          <cell r="E3943">
            <v>8280.75</v>
          </cell>
          <cell r="F3943">
            <v>8295.4500000000007</v>
          </cell>
        </row>
        <row r="3944">
          <cell r="B3944">
            <v>42303</v>
          </cell>
          <cell r="C3944">
            <v>8333.65</v>
          </cell>
          <cell r="D3944">
            <v>8336.2999999999993</v>
          </cell>
          <cell r="E3944">
            <v>8252.0499999999993</v>
          </cell>
          <cell r="F3944">
            <v>8260.5499999999993</v>
          </cell>
        </row>
        <row r="3945">
          <cell r="B3945">
            <v>42304</v>
          </cell>
          <cell r="C3945">
            <v>8230.35</v>
          </cell>
          <cell r="D3945">
            <v>8241.9500000000007</v>
          </cell>
          <cell r="E3945">
            <v>8217.0499999999993</v>
          </cell>
          <cell r="F3945">
            <v>8232.9</v>
          </cell>
        </row>
        <row r="3946">
          <cell r="B3946">
            <v>42305</v>
          </cell>
          <cell r="C3946">
            <v>8188.9</v>
          </cell>
          <cell r="D3946">
            <v>8209.1</v>
          </cell>
          <cell r="E3946">
            <v>8131.8</v>
          </cell>
          <cell r="F3946">
            <v>8171.2</v>
          </cell>
        </row>
        <row r="3947">
          <cell r="B3947">
            <v>42306</v>
          </cell>
          <cell r="C3947">
            <v>8175.45</v>
          </cell>
          <cell r="D3947">
            <v>8179.6</v>
          </cell>
          <cell r="E3947">
            <v>8098</v>
          </cell>
          <cell r="F3947">
            <v>8111.75</v>
          </cell>
        </row>
        <row r="3948">
          <cell r="B3948">
            <v>42307</v>
          </cell>
          <cell r="C3948">
            <v>8123.55</v>
          </cell>
          <cell r="D3948">
            <v>8146.1</v>
          </cell>
          <cell r="E3948">
            <v>8044.4</v>
          </cell>
          <cell r="F3948">
            <v>8065.8</v>
          </cell>
        </row>
        <row r="3949">
          <cell r="B3949">
            <v>42310</v>
          </cell>
          <cell r="C3949">
            <v>8054.55</v>
          </cell>
          <cell r="D3949">
            <v>8060.7</v>
          </cell>
          <cell r="E3949">
            <v>7995.6</v>
          </cell>
          <cell r="F3949">
            <v>8050.8</v>
          </cell>
        </row>
        <row r="3950">
          <cell r="B3950">
            <v>42311</v>
          </cell>
          <cell r="C3950">
            <v>8086.35</v>
          </cell>
          <cell r="D3950">
            <v>8100.35</v>
          </cell>
          <cell r="E3950">
            <v>8031.75</v>
          </cell>
          <cell r="F3950">
            <v>8060.7</v>
          </cell>
        </row>
        <row r="3951">
          <cell r="B3951">
            <v>42312</v>
          </cell>
          <cell r="C3951">
            <v>8104.9</v>
          </cell>
          <cell r="D3951">
            <v>8116.1</v>
          </cell>
          <cell r="E3951">
            <v>8027.3</v>
          </cell>
          <cell r="F3951">
            <v>8040.2</v>
          </cell>
        </row>
        <row r="3952">
          <cell r="B3952">
            <v>42313</v>
          </cell>
          <cell r="C3952">
            <v>8030.35</v>
          </cell>
          <cell r="D3952">
            <v>8031.2</v>
          </cell>
          <cell r="E3952">
            <v>7944.1</v>
          </cell>
          <cell r="F3952">
            <v>7955.45</v>
          </cell>
        </row>
        <row r="3953">
          <cell r="B3953">
            <v>42314</v>
          </cell>
          <cell r="C3953">
            <v>7956.55</v>
          </cell>
          <cell r="D3953">
            <v>8002.65</v>
          </cell>
          <cell r="E3953">
            <v>7926.15</v>
          </cell>
          <cell r="F3953">
            <v>7954.3</v>
          </cell>
        </row>
        <row r="3954">
          <cell r="B3954">
            <v>42317</v>
          </cell>
          <cell r="C3954">
            <v>7788.25</v>
          </cell>
          <cell r="D3954">
            <v>7937.75</v>
          </cell>
          <cell r="E3954">
            <v>7771.7</v>
          </cell>
          <cell r="F3954">
            <v>7915.2</v>
          </cell>
        </row>
        <row r="3955">
          <cell r="B3955">
            <v>42318</v>
          </cell>
          <cell r="C3955">
            <v>7877.6</v>
          </cell>
          <cell r="D3955">
            <v>7885.1</v>
          </cell>
          <cell r="E3955">
            <v>7772.85</v>
          </cell>
          <cell r="F3955">
            <v>7783.35</v>
          </cell>
        </row>
        <row r="3956">
          <cell r="B3956">
            <v>42319</v>
          </cell>
          <cell r="C3956">
            <v>7838.8</v>
          </cell>
          <cell r="D3956">
            <v>7847.95</v>
          </cell>
          <cell r="E3956">
            <v>7819.1</v>
          </cell>
          <cell r="F3956">
            <v>7825</v>
          </cell>
        </row>
        <row r="3957">
          <cell r="B3957">
            <v>42321</v>
          </cell>
          <cell r="C3957">
            <v>7762.45</v>
          </cell>
          <cell r="D3957">
            <v>7775.1</v>
          </cell>
          <cell r="E3957">
            <v>7730.9</v>
          </cell>
          <cell r="F3957">
            <v>7762.25</v>
          </cell>
        </row>
        <row r="3958">
          <cell r="B3958">
            <v>42324</v>
          </cell>
          <cell r="C3958">
            <v>7732.95</v>
          </cell>
          <cell r="D3958">
            <v>7838.85</v>
          </cell>
          <cell r="E3958">
            <v>7714.15</v>
          </cell>
          <cell r="F3958">
            <v>7806.6</v>
          </cell>
        </row>
        <row r="3959">
          <cell r="B3959">
            <v>42325</v>
          </cell>
          <cell r="C3959">
            <v>7848.75</v>
          </cell>
          <cell r="D3959">
            <v>7860.45</v>
          </cell>
          <cell r="E3959">
            <v>7793</v>
          </cell>
          <cell r="F3959">
            <v>7837.55</v>
          </cell>
        </row>
        <row r="3960">
          <cell r="B3960">
            <v>42326</v>
          </cell>
          <cell r="C3960">
            <v>7823.15</v>
          </cell>
          <cell r="D3960">
            <v>7843.4</v>
          </cell>
          <cell r="E3960">
            <v>7725.05</v>
          </cell>
          <cell r="F3960">
            <v>7731.8</v>
          </cell>
        </row>
        <row r="3961">
          <cell r="B3961">
            <v>42327</v>
          </cell>
          <cell r="C3961">
            <v>7788.5</v>
          </cell>
          <cell r="D3961">
            <v>7854.9</v>
          </cell>
          <cell r="E3961">
            <v>7765.45</v>
          </cell>
          <cell r="F3961">
            <v>7842.75</v>
          </cell>
        </row>
        <row r="3962">
          <cell r="B3962">
            <v>42328</v>
          </cell>
          <cell r="C3962">
            <v>7841.9</v>
          </cell>
          <cell r="D3962">
            <v>7906.95</v>
          </cell>
          <cell r="E3962">
            <v>7817.8</v>
          </cell>
          <cell r="F3962">
            <v>7856.55</v>
          </cell>
        </row>
        <row r="3963">
          <cell r="B3963">
            <v>42331</v>
          </cell>
          <cell r="C3963">
            <v>7869.5</v>
          </cell>
          <cell r="D3963">
            <v>7877.5</v>
          </cell>
          <cell r="E3963">
            <v>7825.2</v>
          </cell>
          <cell r="F3963">
            <v>7849.25</v>
          </cell>
        </row>
        <row r="3964">
          <cell r="B3964">
            <v>42332</v>
          </cell>
          <cell r="C3964">
            <v>7837</v>
          </cell>
          <cell r="D3964">
            <v>7870.35</v>
          </cell>
          <cell r="E3964">
            <v>7812.65</v>
          </cell>
          <cell r="F3964">
            <v>7831.6</v>
          </cell>
        </row>
        <row r="3965">
          <cell r="B3965">
            <v>42334</v>
          </cell>
          <cell r="C3965">
            <v>7837.15</v>
          </cell>
          <cell r="D3965">
            <v>7897.1</v>
          </cell>
          <cell r="E3965">
            <v>7832</v>
          </cell>
          <cell r="F3965">
            <v>7883.8</v>
          </cell>
        </row>
        <row r="3966">
          <cell r="B3966">
            <v>42335</v>
          </cell>
          <cell r="C3966">
            <v>7910.6</v>
          </cell>
          <cell r="D3966">
            <v>7959.3</v>
          </cell>
          <cell r="E3966">
            <v>7879.45</v>
          </cell>
          <cell r="F3966">
            <v>7942.7</v>
          </cell>
        </row>
        <row r="3967">
          <cell r="B3967">
            <v>42338</v>
          </cell>
          <cell r="C3967">
            <v>7936.25</v>
          </cell>
          <cell r="D3967">
            <v>7966</v>
          </cell>
          <cell r="E3967">
            <v>7922.8</v>
          </cell>
          <cell r="F3967">
            <v>7935.25</v>
          </cell>
        </row>
        <row r="3968">
          <cell r="B3968">
            <v>42339</v>
          </cell>
          <cell r="C3968">
            <v>7958.15</v>
          </cell>
          <cell r="D3968">
            <v>7972.15</v>
          </cell>
          <cell r="E3968">
            <v>7934.15</v>
          </cell>
          <cell r="F3968">
            <v>7954.9</v>
          </cell>
        </row>
        <row r="3969">
          <cell r="B3969">
            <v>42340</v>
          </cell>
          <cell r="C3969">
            <v>7976.7</v>
          </cell>
          <cell r="D3969">
            <v>7979.3</v>
          </cell>
          <cell r="E3969">
            <v>7910.8</v>
          </cell>
          <cell r="F3969">
            <v>7931.35</v>
          </cell>
        </row>
        <row r="3970">
          <cell r="B3970">
            <v>42341</v>
          </cell>
          <cell r="C3970">
            <v>7902.3</v>
          </cell>
          <cell r="D3970">
            <v>7912.3</v>
          </cell>
          <cell r="E3970">
            <v>7853.3</v>
          </cell>
          <cell r="F3970">
            <v>7864.15</v>
          </cell>
        </row>
        <row r="3971">
          <cell r="B3971">
            <v>42342</v>
          </cell>
          <cell r="C3971">
            <v>7817.6</v>
          </cell>
          <cell r="D3971">
            <v>7821.4</v>
          </cell>
          <cell r="E3971">
            <v>7775.7</v>
          </cell>
          <cell r="F3971">
            <v>7781.9</v>
          </cell>
        </row>
        <row r="3972">
          <cell r="B3972">
            <v>42345</v>
          </cell>
          <cell r="C3972">
            <v>7816.55</v>
          </cell>
          <cell r="D3972">
            <v>7825.4</v>
          </cell>
          <cell r="E3972">
            <v>7746.05</v>
          </cell>
          <cell r="F3972">
            <v>7765.4</v>
          </cell>
        </row>
        <row r="3973">
          <cell r="B3973">
            <v>42346</v>
          </cell>
          <cell r="C3973">
            <v>7738.5</v>
          </cell>
          <cell r="D3973">
            <v>7771.25</v>
          </cell>
          <cell r="E3973">
            <v>7685.45</v>
          </cell>
          <cell r="F3973">
            <v>7701.7</v>
          </cell>
        </row>
        <row r="3974">
          <cell r="B3974">
            <v>42347</v>
          </cell>
          <cell r="C3974">
            <v>7695.5</v>
          </cell>
          <cell r="D3974">
            <v>7702.85</v>
          </cell>
          <cell r="E3974">
            <v>7606.9</v>
          </cell>
          <cell r="F3974">
            <v>7612.5</v>
          </cell>
        </row>
        <row r="3975">
          <cell r="B3975">
            <v>42348</v>
          </cell>
          <cell r="C3975">
            <v>7643.3</v>
          </cell>
          <cell r="D3975">
            <v>7691.95</v>
          </cell>
          <cell r="E3975">
            <v>7610</v>
          </cell>
          <cell r="F3975">
            <v>7683.3</v>
          </cell>
        </row>
        <row r="3976">
          <cell r="B3976">
            <v>42349</v>
          </cell>
          <cell r="C3976">
            <v>7699.6</v>
          </cell>
          <cell r="D3976">
            <v>7703.05</v>
          </cell>
          <cell r="E3976">
            <v>7575.3</v>
          </cell>
          <cell r="F3976">
            <v>7610.45</v>
          </cell>
        </row>
        <row r="3977">
          <cell r="B3977">
            <v>42352</v>
          </cell>
          <cell r="C3977">
            <v>7558.2</v>
          </cell>
          <cell r="D3977">
            <v>7663.95</v>
          </cell>
          <cell r="E3977">
            <v>7551.05</v>
          </cell>
          <cell r="F3977">
            <v>7650.05</v>
          </cell>
        </row>
        <row r="3978">
          <cell r="B3978">
            <v>42353</v>
          </cell>
          <cell r="C3978">
            <v>7659.15</v>
          </cell>
          <cell r="D3978">
            <v>7705</v>
          </cell>
          <cell r="E3978">
            <v>7625.1</v>
          </cell>
          <cell r="F3978">
            <v>7700.9</v>
          </cell>
        </row>
        <row r="3979">
          <cell r="B3979">
            <v>42354</v>
          </cell>
          <cell r="C3979">
            <v>7725.25</v>
          </cell>
          <cell r="D3979">
            <v>7776.6</v>
          </cell>
          <cell r="E3979">
            <v>7715.75</v>
          </cell>
          <cell r="F3979">
            <v>7750.9</v>
          </cell>
        </row>
        <row r="3980">
          <cell r="B3980">
            <v>42355</v>
          </cell>
          <cell r="C3980">
            <v>7783.05</v>
          </cell>
          <cell r="D3980">
            <v>7852.9</v>
          </cell>
          <cell r="E3980">
            <v>7737.55</v>
          </cell>
          <cell r="F3980">
            <v>7844.35</v>
          </cell>
        </row>
        <row r="3981">
          <cell r="B3981">
            <v>42356</v>
          </cell>
          <cell r="C3981">
            <v>7828.9</v>
          </cell>
          <cell r="D3981">
            <v>7836.15</v>
          </cell>
          <cell r="E3981">
            <v>7753.35</v>
          </cell>
          <cell r="F3981">
            <v>7761.95</v>
          </cell>
        </row>
        <row r="3982">
          <cell r="B3982">
            <v>42359</v>
          </cell>
          <cell r="C3982">
            <v>7745.65</v>
          </cell>
          <cell r="D3982">
            <v>7840.75</v>
          </cell>
          <cell r="E3982">
            <v>7733.45</v>
          </cell>
          <cell r="F3982">
            <v>7834.45</v>
          </cell>
        </row>
        <row r="3983">
          <cell r="B3983">
            <v>42360</v>
          </cell>
          <cell r="C3983">
            <v>7829.4</v>
          </cell>
          <cell r="D3983">
            <v>7846.3</v>
          </cell>
          <cell r="E3983">
            <v>7776.85</v>
          </cell>
          <cell r="F3983">
            <v>7786.1</v>
          </cell>
        </row>
        <row r="3984">
          <cell r="B3984">
            <v>42361</v>
          </cell>
          <cell r="C3984">
            <v>7830.45</v>
          </cell>
          <cell r="D3984">
            <v>7871.45</v>
          </cell>
          <cell r="E3984">
            <v>7826.1</v>
          </cell>
          <cell r="F3984">
            <v>7865.95</v>
          </cell>
        </row>
        <row r="3985">
          <cell r="B3985">
            <v>42362</v>
          </cell>
          <cell r="C3985">
            <v>7888.75</v>
          </cell>
          <cell r="D3985">
            <v>7888.75</v>
          </cell>
          <cell r="E3985">
            <v>7835.5</v>
          </cell>
          <cell r="F3985">
            <v>7861.05</v>
          </cell>
        </row>
        <row r="3986">
          <cell r="B3986">
            <v>42366</v>
          </cell>
          <cell r="C3986">
            <v>7863.2</v>
          </cell>
          <cell r="D3986">
            <v>7937.2</v>
          </cell>
          <cell r="E3986">
            <v>7863</v>
          </cell>
          <cell r="F3986">
            <v>7925.15</v>
          </cell>
        </row>
        <row r="3987">
          <cell r="B3987">
            <v>42367</v>
          </cell>
          <cell r="C3987">
            <v>7929.2</v>
          </cell>
          <cell r="D3987">
            <v>7942.15</v>
          </cell>
          <cell r="E3987">
            <v>7902.75</v>
          </cell>
          <cell r="F3987">
            <v>7928.95</v>
          </cell>
        </row>
        <row r="3988">
          <cell r="B3988">
            <v>42368</v>
          </cell>
          <cell r="C3988">
            <v>7938.6</v>
          </cell>
          <cell r="D3988">
            <v>7944.75</v>
          </cell>
          <cell r="E3988">
            <v>7889.85</v>
          </cell>
          <cell r="F3988">
            <v>7896.25</v>
          </cell>
        </row>
        <row r="3989">
          <cell r="B3989">
            <v>42369</v>
          </cell>
          <cell r="C3989">
            <v>7897.8</v>
          </cell>
          <cell r="D3989">
            <v>7955.55</v>
          </cell>
          <cell r="E3989">
            <v>7891.15</v>
          </cell>
          <cell r="F3989">
            <v>7946.35</v>
          </cell>
        </row>
        <row r="3990">
          <cell r="B3990">
            <v>42370</v>
          </cell>
          <cell r="C3990">
            <v>7938.45</v>
          </cell>
          <cell r="D3990">
            <v>7972.55</v>
          </cell>
          <cell r="E3990">
            <v>7909.8</v>
          </cell>
          <cell r="F3990">
            <v>7963.2</v>
          </cell>
        </row>
        <row r="3991">
          <cell r="B3991">
            <v>42373</v>
          </cell>
          <cell r="C3991">
            <v>7924.55</v>
          </cell>
          <cell r="D3991">
            <v>7937.55</v>
          </cell>
          <cell r="E3991">
            <v>7781.1</v>
          </cell>
          <cell r="F3991">
            <v>7791.3</v>
          </cell>
        </row>
        <row r="3992">
          <cell r="B3992">
            <v>42374</v>
          </cell>
          <cell r="C3992">
            <v>7828.4</v>
          </cell>
          <cell r="D3992">
            <v>7831.2</v>
          </cell>
          <cell r="E3992">
            <v>7763.25</v>
          </cell>
          <cell r="F3992">
            <v>7784.65</v>
          </cell>
        </row>
        <row r="3993">
          <cell r="B3993">
            <v>42375</v>
          </cell>
          <cell r="C3993">
            <v>7788.05</v>
          </cell>
          <cell r="D3993">
            <v>7800.95</v>
          </cell>
          <cell r="E3993">
            <v>7721.2</v>
          </cell>
          <cell r="F3993">
            <v>7741</v>
          </cell>
        </row>
        <row r="3994">
          <cell r="B3994">
            <v>42376</v>
          </cell>
          <cell r="C3994">
            <v>7673.35</v>
          </cell>
          <cell r="D3994">
            <v>7674.95</v>
          </cell>
          <cell r="E3994">
            <v>7556.6</v>
          </cell>
          <cell r="F3994">
            <v>7568.3</v>
          </cell>
        </row>
        <row r="3995">
          <cell r="B3995">
            <v>42377</v>
          </cell>
          <cell r="C3995">
            <v>7611.65</v>
          </cell>
          <cell r="D3995">
            <v>7634.1</v>
          </cell>
          <cell r="E3995">
            <v>7581.05</v>
          </cell>
          <cell r="F3995">
            <v>7601.35</v>
          </cell>
        </row>
        <row r="3996">
          <cell r="B3996">
            <v>42380</v>
          </cell>
          <cell r="C3996">
            <v>7527.45</v>
          </cell>
          <cell r="D3996">
            <v>7605.1</v>
          </cell>
          <cell r="E3996">
            <v>7494.35</v>
          </cell>
          <cell r="F3996">
            <v>7563.85</v>
          </cell>
        </row>
        <row r="3997">
          <cell r="B3997">
            <v>42381</v>
          </cell>
          <cell r="C3997">
            <v>7587.2</v>
          </cell>
          <cell r="D3997">
            <v>7588.3</v>
          </cell>
          <cell r="E3997">
            <v>7487.8</v>
          </cell>
          <cell r="F3997">
            <v>7510.3</v>
          </cell>
        </row>
        <row r="3998">
          <cell r="B3998">
            <v>42382</v>
          </cell>
          <cell r="C3998">
            <v>7557.9</v>
          </cell>
          <cell r="D3998">
            <v>7590.95</v>
          </cell>
          <cell r="E3998">
            <v>7425.8</v>
          </cell>
          <cell r="F3998">
            <v>7562.4</v>
          </cell>
        </row>
        <row r="3999">
          <cell r="B3999">
            <v>42383</v>
          </cell>
          <cell r="C3999">
            <v>7467.4</v>
          </cell>
          <cell r="D3999">
            <v>7604.8</v>
          </cell>
          <cell r="E3999">
            <v>7443.8</v>
          </cell>
          <cell r="F3999">
            <v>7536.8</v>
          </cell>
        </row>
        <row r="4000">
          <cell r="B4000">
            <v>42384</v>
          </cell>
          <cell r="C4000">
            <v>7561.65</v>
          </cell>
          <cell r="D4000">
            <v>7566.5</v>
          </cell>
          <cell r="E4000">
            <v>7427.3</v>
          </cell>
          <cell r="F4000">
            <v>7437.8</v>
          </cell>
        </row>
        <row r="4001">
          <cell r="B4001">
            <v>42387</v>
          </cell>
          <cell r="C4001">
            <v>7420.35</v>
          </cell>
          <cell r="D4001">
            <v>7463.65</v>
          </cell>
          <cell r="E4001">
            <v>7336.4</v>
          </cell>
          <cell r="F4001">
            <v>7351</v>
          </cell>
        </row>
        <row r="4002">
          <cell r="B4002">
            <v>42388</v>
          </cell>
          <cell r="C4002">
            <v>7381.8</v>
          </cell>
          <cell r="D4002">
            <v>7462.75</v>
          </cell>
          <cell r="E4002">
            <v>7364.15</v>
          </cell>
          <cell r="F4002">
            <v>7435.1</v>
          </cell>
        </row>
        <row r="4003">
          <cell r="B4003">
            <v>42389</v>
          </cell>
          <cell r="C4003">
            <v>7357</v>
          </cell>
          <cell r="D4003">
            <v>7470.9</v>
          </cell>
          <cell r="E4003">
            <v>7241.5</v>
          </cell>
          <cell r="F4003">
            <v>7309.3</v>
          </cell>
        </row>
        <row r="4004">
          <cell r="B4004">
            <v>42390</v>
          </cell>
          <cell r="C4004">
            <v>7376.65</v>
          </cell>
          <cell r="D4004">
            <v>7398.7</v>
          </cell>
          <cell r="E4004">
            <v>7250</v>
          </cell>
          <cell r="F4004">
            <v>7276.8</v>
          </cell>
        </row>
        <row r="4005">
          <cell r="B4005">
            <v>42391</v>
          </cell>
          <cell r="C4005">
            <v>7355.7</v>
          </cell>
          <cell r="D4005">
            <v>7433.4</v>
          </cell>
          <cell r="E4005">
            <v>7327.6</v>
          </cell>
          <cell r="F4005">
            <v>7422.45</v>
          </cell>
        </row>
        <row r="4006">
          <cell r="B4006">
            <v>42394</v>
          </cell>
          <cell r="C4006">
            <v>7468.75</v>
          </cell>
          <cell r="D4006">
            <v>7487.15</v>
          </cell>
          <cell r="E4006">
            <v>7421.2</v>
          </cell>
          <cell r="F4006">
            <v>7436.15</v>
          </cell>
        </row>
        <row r="4007">
          <cell r="B4007">
            <v>42396</v>
          </cell>
          <cell r="C4007">
            <v>7469.6</v>
          </cell>
          <cell r="D4007">
            <v>7477.9</v>
          </cell>
          <cell r="E4007">
            <v>7419.7</v>
          </cell>
          <cell r="F4007">
            <v>7437.75</v>
          </cell>
        </row>
        <row r="4008">
          <cell r="B4008">
            <v>42397</v>
          </cell>
          <cell r="C4008">
            <v>7426.5</v>
          </cell>
          <cell r="D4008">
            <v>7468.85</v>
          </cell>
          <cell r="E4008">
            <v>7409.6</v>
          </cell>
          <cell r="F4008">
            <v>7424.65</v>
          </cell>
        </row>
        <row r="4009">
          <cell r="B4009">
            <v>42398</v>
          </cell>
          <cell r="C4009">
            <v>7413.35</v>
          </cell>
          <cell r="D4009">
            <v>7575.65</v>
          </cell>
          <cell r="E4009">
            <v>7402.8</v>
          </cell>
          <cell r="F4009">
            <v>7563.55</v>
          </cell>
        </row>
        <row r="4010">
          <cell r="B4010">
            <v>42401</v>
          </cell>
          <cell r="C4010">
            <v>7589.5</v>
          </cell>
          <cell r="D4010">
            <v>7600.45</v>
          </cell>
          <cell r="E4010">
            <v>7541.25</v>
          </cell>
          <cell r="F4010">
            <v>7555.95</v>
          </cell>
        </row>
        <row r="4011">
          <cell r="B4011">
            <v>42402</v>
          </cell>
          <cell r="C4011">
            <v>7566.65</v>
          </cell>
          <cell r="D4011">
            <v>7576.3</v>
          </cell>
          <cell r="E4011">
            <v>7428.05</v>
          </cell>
          <cell r="F4011">
            <v>7455.55</v>
          </cell>
        </row>
        <row r="4012">
          <cell r="B4012">
            <v>42403</v>
          </cell>
          <cell r="C4012">
            <v>7392.45</v>
          </cell>
          <cell r="D4012">
            <v>7419.4</v>
          </cell>
          <cell r="E4012">
            <v>7350.3</v>
          </cell>
          <cell r="F4012">
            <v>7361.8</v>
          </cell>
        </row>
        <row r="4013">
          <cell r="B4013">
            <v>42404</v>
          </cell>
          <cell r="C4013">
            <v>7411.45</v>
          </cell>
          <cell r="D4013">
            <v>7457.05</v>
          </cell>
          <cell r="E4013">
            <v>7365.95</v>
          </cell>
          <cell r="F4013">
            <v>7404</v>
          </cell>
        </row>
        <row r="4014">
          <cell r="B4014">
            <v>42405</v>
          </cell>
          <cell r="C4014">
            <v>7418.25</v>
          </cell>
          <cell r="D4014">
            <v>7503.15</v>
          </cell>
          <cell r="E4014">
            <v>7406.65</v>
          </cell>
          <cell r="F4014">
            <v>7489.1</v>
          </cell>
        </row>
        <row r="4015">
          <cell r="B4015">
            <v>42408</v>
          </cell>
          <cell r="C4015">
            <v>7489.7</v>
          </cell>
          <cell r="D4015">
            <v>7512.55</v>
          </cell>
          <cell r="E4015">
            <v>7363.2</v>
          </cell>
          <cell r="F4015">
            <v>7387.25</v>
          </cell>
        </row>
        <row r="4016">
          <cell r="B4016">
            <v>42409</v>
          </cell>
          <cell r="C4016">
            <v>7303.95</v>
          </cell>
          <cell r="D4016">
            <v>7323.45</v>
          </cell>
          <cell r="E4016">
            <v>7275.15</v>
          </cell>
          <cell r="F4016">
            <v>7298.2</v>
          </cell>
        </row>
        <row r="4017">
          <cell r="B4017">
            <v>42410</v>
          </cell>
          <cell r="C4017">
            <v>7264.3</v>
          </cell>
          <cell r="D4017">
            <v>7271.85</v>
          </cell>
          <cell r="E4017">
            <v>7177.75</v>
          </cell>
          <cell r="F4017">
            <v>7215.7</v>
          </cell>
        </row>
        <row r="4018">
          <cell r="B4018">
            <v>42411</v>
          </cell>
          <cell r="C4018">
            <v>7203.6</v>
          </cell>
          <cell r="D4018">
            <v>7208.65</v>
          </cell>
          <cell r="E4018">
            <v>6959.95</v>
          </cell>
          <cell r="F4018">
            <v>6976.35</v>
          </cell>
        </row>
        <row r="4019">
          <cell r="B4019">
            <v>42412</v>
          </cell>
          <cell r="C4019">
            <v>7023.65</v>
          </cell>
          <cell r="D4019">
            <v>7034.8</v>
          </cell>
          <cell r="E4019">
            <v>6869</v>
          </cell>
          <cell r="F4019">
            <v>6980.95</v>
          </cell>
        </row>
        <row r="4020">
          <cell r="B4020">
            <v>42415</v>
          </cell>
          <cell r="C4020">
            <v>7057.35</v>
          </cell>
          <cell r="D4020">
            <v>7182.8</v>
          </cell>
          <cell r="E4020">
            <v>7056.8</v>
          </cell>
          <cell r="F4020">
            <v>7162.95</v>
          </cell>
        </row>
        <row r="4021">
          <cell r="B4021">
            <v>42416</v>
          </cell>
          <cell r="C4021">
            <v>7201.25</v>
          </cell>
          <cell r="D4021">
            <v>7204.65</v>
          </cell>
          <cell r="E4021">
            <v>7037.7</v>
          </cell>
          <cell r="F4021">
            <v>7048.25</v>
          </cell>
        </row>
        <row r="4022">
          <cell r="B4022">
            <v>42417</v>
          </cell>
          <cell r="C4022">
            <v>7058.85</v>
          </cell>
          <cell r="D4022">
            <v>7123.7</v>
          </cell>
          <cell r="E4022">
            <v>6960.65</v>
          </cell>
          <cell r="F4022">
            <v>7108.45</v>
          </cell>
        </row>
        <row r="4023">
          <cell r="B4023">
            <v>42418</v>
          </cell>
          <cell r="C4023">
            <v>7177.4</v>
          </cell>
          <cell r="D4023">
            <v>7215.1</v>
          </cell>
          <cell r="E4023">
            <v>7127.85</v>
          </cell>
          <cell r="F4023">
            <v>7191.75</v>
          </cell>
        </row>
        <row r="4024">
          <cell r="B4024">
            <v>42419</v>
          </cell>
          <cell r="C4024">
            <v>7170.55</v>
          </cell>
          <cell r="D4024">
            <v>7226.85</v>
          </cell>
          <cell r="E4024">
            <v>7145.95</v>
          </cell>
          <cell r="F4024">
            <v>7210.75</v>
          </cell>
        </row>
        <row r="4025">
          <cell r="B4025">
            <v>42422</v>
          </cell>
          <cell r="C4025">
            <v>7208.85</v>
          </cell>
          <cell r="D4025">
            <v>7252.4</v>
          </cell>
          <cell r="E4025">
            <v>7200.7</v>
          </cell>
          <cell r="F4025">
            <v>7234.55</v>
          </cell>
        </row>
        <row r="4026">
          <cell r="B4026">
            <v>42423</v>
          </cell>
          <cell r="C4026">
            <v>7240.3</v>
          </cell>
          <cell r="D4026">
            <v>7241.7</v>
          </cell>
          <cell r="E4026">
            <v>7090.7</v>
          </cell>
          <cell r="F4026">
            <v>7109.55</v>
          </cell>
        </row>
        <row r="4027">
          <cell r="B4027">
            <v>42424</v>
          </cell>
          <cell r="C4027">
            <v>7075</v>
          </cell>
          <cell r="D4027">
            <v>7090.8</v>
          </cell>
          <cell r="E4027">
            <v>7009.75</v>
          </cell>
          <cell r="F4027">
            <v>7018.7</v>
          </cell>
        </row>
        <row r="4028">
          <cell r="B4028">
            <v>42425</v>
          </cell>
          <cell r="C4028">
            <v>7029.85</v>
          </cell>
          <cell r="D4028">
            <v>7034.2</v>
          </cell>
          <cell r="E4028">
            <v>6961.4</v>
          </cell>
          <cell r="F4028">
            <v>6970.6</v>
          </cell>
        </row>
        <row r="4029">
          <cell r="B4029">
            <v>42426</v>
          </cell>
          <cell r="C4029">
            <v>7039.3</v>
          </cell>
          <cell r="D4029">
            <v>7052.9</v>
          </cell>
          <cell r="E4029">
            <v>6985.1</v>
          </cell>
          <cell r="F4029">
            <v>7029.75</v>
          </cell>
        </row>
        <row r="4030">
          <cell r="B4030">
            <v>42429</v>
          </cell>
          <cell r="C4030">
            <v>7050.45</v>
          </cell>
          <cell r="D4030">
            <v>7094.6</v>
          </cell>
          <cell r="E4030">
            <v>6825.8</v>
          </cell>
          <cell r="F4030">
            <v>6987.05</v>
          </cell>
        </row>
        <row r="4031">
          <cell r="B4031">
            <v>42430</v>
          </cell>
          <cell r="C4031">
            <v>7038.25</v>
          </cell>
          <cell r="D4031">
            <v>7235.5</v>
          </cell>
          <cell r="E4031">
            <v>7035.1</v>
          </cell>
          <cell r="F4031">
            <v>7222.3</v>
          </cell>
        </row>
        <row r="4032">
          <cell r="B4032">
            <v>42431</v>
          </cell>
          <cell r="C4032">
            <v>7321.7</v>
          </cell>
          <cell r="D4032">
            <v>7380.35</v>
          </cell>
          <cell r="E4032">
            <v>7308.15</v>
          </cell>
          <cell r="F4032">
            <v>7368.85</v>
          </cell>
        </row>
        <row r="4033">
          <cell r="B4033">
            <v>42432</v>
          </cell>
          <cell r="C4033">
            <v>7429.55</v>
          </cell>
          <cell r="D4033">
            <v>7483.95</v>
          </cell>
          <cell r="E4033">
            <v>7406.05</v>
          </cell>
          <cell r="F4033">
            <v>7475.6</v>
          </cell>
        </row>
        <row r="4034">
          <cell r="B4034">
            <v>42433</v>
          </cell>
          <cell r="C4034">
            <v>7505.4</v>
          </cell>
          <cell r="D4034">
            <v>7505.9</v>
          </cell>
          <cell r="E4034">
            <v>7444.1</v>
          </cell>
          <cell r="F4034">
            <v>7485.35</v>
          </cell>
        </row>
        <row r="4035">
          <cell r="B4035">
            <v>42437</v>
          </cell>
          <cell r="C4035">
            <v>7486.4</v>
          </cell>
          <cell r="D4035">
            <v>7527.15</v>
          </cell>
          <cell r="E4035">
            <v>7442.15</v>
          </cell>
          <cell r="F4035">
            <v>7485.3</v>
          </cell>
        </row>
        <row r="4036">
          <cell r="B4036">
            <v>42438</v>
          </cell>
          <cell r="C4036">
            <v>7436.1</v>
          </cell>
          <cell r="D4036">
            <v>7539</v>
          </cell>
          <cell r="E4036">
            <v>7424.3</v>
          </cell>
          <cell r="F4036">
            <v>7531.8</v>
          </cell>
        </row>
        <row r="4037">
          <cell r="B4037">
            <v>42439</v>
          </cell>
          <cell r="C4037">
            <v>7545.35</v>
          </cell>
          <cell r="D4037">
            <v>7547.1</v>
          </cell>
          <cell r="E4037">
            <v>7447.4</v>
          </cell>
          <cell r="F4037">
            <v>7486.15</v>
          </cell>
        </row>
        <row r="4038">
          <cell r="B4038">
            <v>42440</v>
          </cell>
          <cell r="C4038">
            <v>7484.85</v>
          </cell>
          <cell r="D4038">
            <v>7543.95</v>
          </cell>
          <cell r="E4038">
            <v>7460.6</v>
          </cell>
          <cell r="F4038">
            <v>7510.2</v>
          </cell>
        </row>
        <row r="4039">
          <cell r="B4039">
            <v>42443</v>
          </cell>
          <cell r="C4039">
            <v>7542.6</v>
          </cell>
          <cell r="D4039">
            <v>7583.7</v>
          </cell>
          <cell r="E4039">
            <v>7515.05</v>
          </cell>
          <cell r="F4039">
            <v>7538.75</v>
          </cell>
        </row>
        <row r="4040">
          <cell r="B4040">
            <v>42444</v>
          </cell>
          <cell r="C4040">
            <v>7535.85</v>
          </cell>
          <cell r="D4040">
            <v>7545.2</v>
          </cell>
          <cell r="E4040">
            <v>7452.8</v>
          </cell>
          <cell r="F4040">
            <v>7460.6</v>
          </cell>
        </row>
        <row r="4041">
          <cell r="B4041">
            <v>42445</v>
          </cell>
          <cell r="C4041">
            <v>7457.05</v>
          </cell>
          <cell r="D4041">
            <v>7508</v>
          </cell>
          <cell r="E4041">
            <v>7405.15</v>
          </cell>
          <cell r="F4041">
            <v>7498.75</v>
          </cell>
        </row>
        <row r="4042">
          <cell r="B4042">
            <v>42446</v>
          </cell>
          <cell r="C4042">
            <v>7557.4</v>
          </cell>
          <cell r="D4042">
            <v>7585.3</v>
          </cell>
          <cell r="E4042">
            <v>7479.4</v>
          </cell>
          <cell r="F4042">
            <v>7512.55</v>
          </cell>
        </row>
        <row r="4043">
          <cell r="B4043">
            <v>42447</v>
          </cell>
          <cell r="C4043">
            <v>7534.65</v>
          </cell>
          <cell r="D4043">
            <v>7613.6</v>
          </cell>
          <cell r="E4043">
            <v>7517.9</v>
          </cell>
          <cell r="F4043">
            <v>7604.35</v>
          </cell>
        </row>
        <row r="4044">
          <cell r="B4044">
            <v>42450</v>
          </cell>
          <cell r="C4044">
            <v>7619.2</v>
          </cell>
          <cell r="D4044">
            <v>7713.55</v>
          </cell>
          <cell r="E4044">
            <v>7617.7</v>
          </cell>
          <cell r="F4044">
            <v>7704.25</v>
          </cell>
        </row>
        <row r="4045">
          <cell r="B4045">
            <v>42451</v>
          </cell>
          <cell r="C4045">
            <v>7695.55</v>
          </cell>
          <cell r="D4045">
            <v>7728.2</v>
          </cell>
          <cell r="E4045">
            <v>7643.8</v>
          </cell>
          <cell r="F4045">
            <v>7714.9</v>
          </cell>
        </row>
        <row r="4046">
          <cell r="B4046">
            <v>42452</v>
          </cell>
          <cell r="C4046">
            <v>7717.45</v>
          </cell>
          <cell r="D4046">
            <v>7726.85</v>
          </cell>
          <cell r="E4046">
            <v>7670.6</v>
          </cell>
          <cell r="F4046">
            <v>7716.5</v>
          </cell>
        </row>
        <row r="4047">
          <cell r="B4047">
            <v>42457</v>
          </cell>
          <cell r="C4047">
            <v>7741</v>
          </cell>
          <cell r="D4047">
            <v>7749.4</v>
          </cell>
          <cell r="E4047">
            <v>7587.7</v>
          </cell>
          <cell r="F4047">
            <v>7615.1</v>
          </cell>
        </row>
        <row r="4048">
          <cell r="B4048">
            <v>42458</v>
          </cell>
          <cell r="C4048">
            <v>7606.55</v>
          </cell>
          <cell r="D4048">
            <v>7652.9</v>
          </cell>
          <cell r="E4048">
            <v>7582.25</v>
          </cell>
          <cell r="F4048">
            <v>7597</v>
          </cell>
        </row>
        <row r="4049">
          <cell r="B4049">
            <v>42459</v>
          </cell>
          <cell r="C4049">
            <v>7651.1</v>
          </cell>
          <cell r="D4049">
            <v>7741.95</v>
          </cell>
          <cell r="E4049">
            <v>7643.45</v>
          </cell>
          <cell r="F4049">
            <v>7735.2</v>
          </cell>
        </row>
        <row r="4050">
          <cell r="B4050">
            <v>42460</v>
          </cell>
          <cell r="C4050">
            <v>7727.65</v>
          </cell>
          <cell r="D4050">
            <v>7777.6</v>
          </cell>
          <cell r="E4050">
            <v>7702</v>
          </cell>
          <cell r="F4050">
            <v>7738.4</v>
          </cell>
        </row>
        <row r="4051">
          <cell r="B4051">
            <v>42461</v>
          </cell>
          <cell r="C4051">
            <v>7718.05</v>
          </cell>
          <cell r="D4051">
            <v>7740.15</v>
          </cell>
          <cell r="E4051">
            <v>7666.1</v>
          </cell>
          <cell r="F4051">
            <v>7713.05</v>
          </cell>
        </row>
        <row r="4052">
          <cell r="B4052">
            <v>42464</v>
          </cell>
          <cell r="C4052">
            <v>7733.15</v>
          </cell>
          <cell r="D4052">
            <v>7764.45</v>
          </cell>
          <cell r="E4052">
            <v>7704.4</v>
          </cell>
          <cell r="F4052">
            <v>7758.8</v>
          </cell>
        </row>
        <row r="4053">
          <cell r="B4053">
            <v>42465</v>
          </cell>
          <cell r="C4053">
            <v>7736.3</v>
          </cell>
          <cell r="D4053">
            <v>7736.3</v>
          </cell>
          <cell r="E4053">
            <v>7588.65</v>
          </cell>
          <cell r="F4053">
            <v>7603.2</v>
          </cell>
        </row>
        <row r="4054">
          <cell r="B4054">
            <v>42466</v>
          </cell>
          <cell r="C4054">
            <v>7636.05</v>
          </cell>
          <cell r="D4054">
            <v>7638.65</v>
          </cell>
          <cell r="E4054">
            <v>7591.75</v>
          </cell>
          <cell r="F4054">
            <v>7614.35</v>
          </cell>
        </row>
        <row r="4055">
          <cell r="B4055">
            <v>42467</v>
          </cell>
          <cell r="C4055">
            <v>7630.4</v>
          </cell>
          <cell r="D4055">
            <v>7630.75</v>
          </cell>
          <cell r="E4055">
            <v>7535.85</v>
          </cell>
          <cell r="F4055">
            <v>7546.45</v>
          </cell>
        </row>
        <row r="4056">
          <cell r="B4056">
            <v>42468</v>
          </cell>
          <cell r="C4056">
            <v>7542.35</v>
          </cell>
          <cell r="D4056">
            <v>7569.35</v>
          </cell>
          <cell r="E4056">
            <v>7526.7</v>
          </cell>
          <cell r="F4056">
            <v>7555.2</v>
          </cell>
        </row>
        <row r="4057">
          <cell r="B4057">
            <v>42471</v>
          </cell>
          <cell r="C4057">
            <v>7577.8</v>
          </cell>
          <cell r="D4057">
            <v>7678.8</v>
          </cell>
          <cell r="E4057">
            <v>7516.85</v>
          </cell>
          <cell r="F4057">
            <v>7671.4</v>
          </cell>
        </row>
        <row r="4058">
          <cell r="B4058">
            <v>42472</v>
          </cell>
          <cell r="C4058">
            <v>7669.25</v>
          </cell>
          <cell r="D4058">
            <v>7717.4</v>
          </cell>
          <cell r="E4058">
            <v>7663.35</v>
          </cell>
          <cell r="F4058">
            <v>7708.95</v>
          </cell>
        </row>
        <row r="4059">
          <cell r="B4059">
            <v>42473</v>
          </cell>
          <cell r="C4059">
            <v>7777.15</v>
          </cell>
          <cell r="D4059">
            <v>7864.8</v>
          </cell>
          <cell r="E4059">
            <v>7772.2</v>
          </cell>
          <cell r="F4059">
            <v>7850.45</v>
          </cell>
        </row>
        <row r="4060">
          <cell r="B4060">
            <v>42478</v>
          </cell>
          <cell r="C4060">
            <v>7908.15</v>
          </cell>
          <cell r="D4060">
            <v>7920.6</v>
          </cell>
          <cell r="E4060">
            <v>7842.75</v>
          </cell>
          <cell r="F4060">
            <v>7914.7</v>
          </cell>
        </row>
        <row r="4061">
          <cell r="B4061">
            <v>42480</v>
          </cell>
          <cell r="C4061">
            <v>7950.05</v>
          </cell>
          <cell r="D4061">
            <v>7950.4</v>
          </cell>
          <cell r="E4061">
            <v>7877.55</v>
          </cell>
          <cell r="F4061">
            <v>7914.75</v>
          </cell>
        </row>
        <row r="4062">
          <cell r="B4062">
            <v>42481</v>
          </cell>
          <cell r="C4062">
            <v>7953.65</v>
          </cell>
          <cell r="D4062">
            <v>7978.45</v>
          </cell>
          <cell r="E4062">
            <v>7884.1</v>
          </cell>
          <cell r="F4062">
            <v>7912.05</v>
          </cell>
        </row>
        <row r="4063">
          <cell r="B4063">
            <v>42482</v>
          </cell>
          <cell r="C4063">
            <v>7891.8</v>
          </cell>
          <cell r="D4063">
            <v>7923.35</v>
          </cell>
          <cell r="E4063">
            <v>7873.35</v>
          </cell>
          <cell r="F4063">
            <v>7899.3</v>
          </cell>
        </row>
        <row r="4064">
          <cell r="B4064">
            <v>42485</v>
          </cell>
          <cell r="C4064">
            <v>7894.8</v>
          </cell>
          <cell r="D4064">
            <v>7911</v>
          </cell>
          <cell r="E4064">
            <v>7827</v>
          </cell>
          <cell r="F4064">
            <v>7855.05</v>
          </cell>
        </row>
        <row r="4065">
          <cell r="B4065">
            <v>42486</v>
          </cell>
          <cell r="C4065">
            <v>7828.15</v>
          </cell>
          <cell r="D4065">
            <v>7974.5</v>
          </cell>
          <cell r="E4065">
            <v>7822.55</v>
          </cell>
          <cell r="F4065">
            <v>7962.65</v>
          </cell>
        </row>
        <row r="4066">
          <cell r="B4066">
            <v>42487</v>
          </cell>
          <cell r="C4066">
            <v>7942</v>
          </cell>
          <cell r="D4066">
            <v>7991</v>
          </cell>
          <cell r="E4066">
            <v>7940.55</v>
          </cell>
          <cell r="F4066">
            <v>7979.9</v>
          </cell>
        </row>
        <row r="4067">
          <cell r="B4067">
            <v>42488</v>
          </cell>
          <cell r="C4067">
            <v>7967.4</v>
          </cell>
          <cell r="D4067">
            <v>7992</v>
          </cell>
          <cell r="E4067">
            <v>7834.45</v>
          </cell>
          <cell r="F4067">
            <v>7847.25</v>
          </cell>
        </row>
        <row r="4068">
          <cell r="B4068">
            <v>42489</v>
          </cell>
          <cell r="C4068">
            <v>7844.25</v>
          </cell>
          <cell r="D4068">
            <v>7889.05</v>
          </cell>
          <cell r="E4068">
            <v>7788.7</v>
          </cell>
          <cell r="F4068">
            <v>7849.8</v>
          </cell>
        </row>
        <row r="4069">
          <cell r="B4069">
            <v>42492</v>
          </cell>
          <cell r="C4069">
            <v>7822.7</v>
          </cell>
          <cell r="D4069">
            <v>7829.8</v>
          </cell>
          <cell r="E4069">
            <v>7777.3</v>
          </cell>
          <cell r="F4069">
            <v>7805.9</v>
          </cell>
        </row>
        <row r="4070">
          <cell r="B4070">
            <v>42493</v>
          </cell>
          <cell r="C4070">
            <v>7824.8</v>
          </cell>
          <cell r="D4070">
            <v>7890.25</v>
          </cell>
          <cell r="E4070">
            <v>7735.15</v>
          </cell>
          <cell r="F4070">
            <v>7747</v>
          </cell>
        </row>
        <row r="4071">
          <cell r="B4071">
            <v>42494</v>
          </cell>
          <cell r="C4071">
            <v>7724.15</v>
          </cell>
          <cell r="D4071">
            <v>7749</v>
          </cell>
          <cell r="E4071">
            <v>7697.25</v>
          </cell>
          <cell r="F4071">
            <v>7706.55</v>
          </cell>
        </row>
        <row r="4072">
          <cell r="B4072">
            <v>42495</v>
          </cell>
          <cell r="C4072">
            <v>7731</v>
          </cell>
          <cell r="D4072">
            <v>7777.55</v>
          </cell>
          <cell r="E4072">
            <v>7706.85</v>
          </cell>
          <cell r="F4072">
            <v>7735.5</v>
          </cell>
        </row>
        <row r="4073">
          <cell r="B4073">
            <v>42496</v>
          </cell>
          <cell r="C4073">
            <v>7717.65</v>
          </cell>
          <cell r="D4073">
            <v>7738.9</v>
          </cell>
          <cell r="E4073">
            <v>7678.35</v>
          </cell>
          <cell r="F4073">
            <v>7733.45</v>
          </cell>
        </row>
        <row r="4074">
          <cell r="B4074">
            <v>42499</v>
          </cell>
          <cell r="C4074">
            <v>7755.25</v>
          </cell>
          <cell r="D4074">
            <v>7873.65</v>
          </cell>
          <cell r="E4074">
            <v>7753.55</v>
          </cell>
          <cell r="F4074">
            <v>7866.05</v>
          </cell>
        </row>
        <row r="4075">
          <cell r="B4075">
            <v>42500</v>
          </cell>
          <cell r="C4075">
            <v>7873.55</v>
          </cell>
          <cell r="D4075">
            <v>7896.9</v>
          </cell>
          <cell r="E4075">
            <v>7837.7</v>
          </cell>
          <cell r="F4075">
            <v>7887.8</v>
          </cell>
        </row>
        <row r="4076">
          <cell r="B4076">
            <v>42501</v>
          </cell>
          <cell r="C4076">
            <v>7804.65</v>
          </cell>
          <cell r="D4076">
            <v>7893.1</v>
          </cell>
          <cell r="E4076">
            <v>7780.9</v>
          </cell>
          <cell r="F4076">
            <v>7848.85</v>
          </cell>
        </row>
        <row r="4077">
          <cell r="B4077">
            <v>42502</v>
          </cell>
          <cell r="C4077">
            <v>7871.45</v>
          </cell>
          <cell r="D4077">
            <v>7916.05</v>
          </cell>
          <cell r="E4077">
            <v>7849.65</v>
          </cell>
          <cell r="F4077">
            <v>7900.4</v>
          </cell>
        </row>
        <row r="4078">
          <cell r="B4078">
            <v>42503</v>
          </cell>
          <cell r="C4078">
            <v>7881</v>
          </cell>
          <cell r="D4078">
            <v>7881</v>
          </cell>
          <cell r="E4078">
            <v>7784.2</v>
          </cell>
          <cell r="F4078">
            <v>7814.9</v>
          </cell>
        </row>
        <row r="4079">
          <cell r="B4079">
            <v>42506</v>
          </cell>
          <cell r="C4079">
            <v>7831.2</v>
          </cell>
          <cell r="D4079">
            <v>7873.9</v>
          </cell>
          <cell r="E4079">
            <v>7772.15</v>
          </cell>
          <cell r="F4079">
            <v>7860.75</v>
          </cell>
        </row>
        <row r="4080">
          <cell r="B4080">
            <v>42507</v>
          </cell>
          <cell r="C4080">
            <v>7896.85</v>
          </cell>
          <cell r="D4080">
            <v>7940.1</v>
          </cell>
          <cell r="E4080">
            <v>7879.7</v>
          </cell>
          <cell r="F4080">
            <v>7890.75</v>
          </cell>
        </row>
        <row r="4081">
          <cell r="B4081">
            <v>42508</v>
          </cell>
          <cell r="C4081">
            <v>7846.75</v>
          </cell>
          <cell r="D4081">
            <v>7882.05</v>
          </cell>
          <cell r="E4081">
            <v>7810.75</v>
          </cell>
          <cell r="F4081">
            <v>7870.15</v>
          </cell>
        </row>
        <row r="4082">
          <cell r="B4082">
            <v>42509</v>
          </cell>
          <cell r="C4082">
            <v>7875.5</v>
          </cell>
          <cell r="D4082">
            <v>7876.2</v>
          </cell>
          <cell r="E4082">
            <v>7766.8</v>
          </cell>
          <cell r="F4082">
            <v>7783.4</v>
          </cell>
        </row>
        <row r="4083">
          <cell r="B4083">
            <v>42510</v>
          </cell>
          <cell r="C4083">
            <v>7792.2</v>
          </cell>
          <cell r="D4083">
            <v>7812.4</v>
          </cell>
          <cell r="E4083">
            <v>7735.75</v>
          </cell>
          <cell r="F4083">
            <v>7749.7</v>
          </cell>
        </row>
        <row r="4084">
          <cell r="B4084">
            <v>42513</v>
          </cell>
          <cell r="C4084">
            <v>7813.95</v>
          </cell>
          <cell r="D4084">
            <v>7820.6</v>
          </cell>
          <cell r="E4084">
            <v>7722.2</v>
          </cell>
          <cell r="F4084">
            <v>7731.05</v>
          </cell>
        </row>
        <row r="4085">
          <cell r="B4085">
            <v>42514</v>
          </cell>
          <cell r="C4085">
            <v>7738.05</v>
          </cell>
          <cell r="D4085">
            <v>7761.55</v>
          </cell>
          <cell r="E4085">
            <v>7715.8</v>
          </cell>
          <cell r="F4085">
            <v>7748.85</v>
          </cell>
        </row>
        <row r="4086">
          <cell r="B4086">
            <v>42515</v>
          </cell>
          <cell r="C4086">
            <v>7811.8</v>
          </cell>
          <cell r="D4086">
            <v>7941.2</v>
          </cell>
          <cell r="E4086">
            <v>7809.3</v>
          </cell>
          <cell r="F4086">
            <v>7934.9</v>
          </cell>
        </row>
        <row r="4087">
          <cell r="B4087">
            <v>42516</v>
          </cell>
          <cell r="C4087">
            <v>7974.45</v>
          </cell>
          <cell r="D4087">
            <v>8083</v>
          </cell>
          <cell r="E4087">
            <v>7948.5</v>
          </cell>
          <cell r="F4087">
            <v>8069.65</v>
          </cell>
        </row>
        <row r="4088">
          <cell r="B4088">
            <v>42517</v>
          </cell>
          <cell r="C4088">
            <v>8081.95</v>
          </cell>
          <cell r="D4088">
            <v>8164.2</v>
          </cell>
          <cell r="E4088">
            <v>8077.05</v>
          </cell>
          <cell r="F4088">
            <v>8156.65</v>
          </cell>
        </row>
        <row r="4089">
          <cell r="B4089">
            <v>42520</v>
          </cell>
          <cell r="C4089">
            <v>8166.5</v>
          </cell>
          <cell r="D4089">
            <v>8200</v>
          </cell>
          <cell r="E4089">
            <v>8150.8</v>
          </cell>
          <cell r="F4089">
            <v>8178.5</v>
          </cell>
        </row>
        <row r="4090">
          <cell r="B4090">
            <v>42521</v>
          </cell>
          <cell r="C4090">
            <v>8209.85</v>
          </cell>
          <cell r="D4090">
            <v>8213.6</v>
          </cell>
          <cell r="E4090">
            <v>8134.3</v>
          </cell>
          <cell r="F4090">
            <v>8160.1</v>
          </cell>
        </row>
        <row r="4091">
          <cell r="B4091">
            <v>42522</v>
          </cell>
          <cell r="C4091">
            <v>8179.2</v>
          </cell>
          <cell r="D4091">
            <v>8215.35</v>
          </cell>
          <cell r="E4091">
            <v>8171.05</v>
          </cell>
          <cell r="F4091">
            <v>8179.95</v>
          </cell>
        </row>
        <row r="4092">
          <cell r="B4092">
            <v>42523</v>
          </cell>
          <cell r="C4092">
            <v>8156.9</v>
          </cell>
          <cell r="D4092">
            <v>8229.5</v>
          </cell>
          <cell r="E4092">
            <v>8154.75</v>
          </cell>
          <cell r="F4092">
            <v>8218.9500000000007</v>
          </cell>
        </row>
        <row r="4093">
          <cell r="B4093">
            <v>42524</v>
          </cell>
          <cell r="C4093">
            <v>8246.2000000000007</v>
          </cell>
          <cell r="D4093">
            <v>8262</v>
          </cell>
          <cell r="E4093">
            <v>8209.85</v>
          </cell>
          <cell r="F4093">
            <v>8220.7999999999993</v>
          </cell>
        </row>
        <row r="4094">
          <cell r="B4094">
            <v>42527</v>
          </cell>
          <cell r="C4094">
            <v>8228.75</v>
          </cell>
          <cell r="D4094">
            <v>8234.7000000000007</v>
          </cell>
          <cell r="E4094">
            <v>8186.05</v>
          </cell>
          <cell r="F4094">
            <v>8201.0499999999993</v>
          </cell>
        </row>
        <row r="4095">
          <cell r="B4095">
            <v>42528</v>
          </cell>
          <cell r="C4095">
            <v>8235.5499999999993</v>
          </cell>
          <cell r="D4095">
            <v>8294.9500000000007</v>
          </cell>
          <cell r="E4095">
            <v>8216.4</v>
          </cell>
          <cell r="F4095">
            <v>8266.4500000000007</v>
          </cell>
        </row>
        <row r="4096">
          <cell r="B4096">
            <v>42529</v>
          </cell>
          <cell r="C4096">
            <v>8285.5</v>
          </cell>
          <cell r="D4096">
            <v>8288.9</v>
          </cell>
          <cell r="E4096">
            <v>8252.0499999999993</v>
          </cell>
          <cell r="F4096">
            <v>8273.0499999999993</v>
          </cell>
        </row>
        <row r="4097">
          <cell r="B4097">
            <v>42530</v>
          </cell>
          <cell r="C4097">
            <v>8273.35</v>
          </cell>
          <cell r="D4097">
            <v>8273.35</v>
          </cell>
          <cell r="E4097">
            <v>8184.6</v>
          </cell>
          <cell r="F4097">
            <v>8203.6</v>
          </cell>
        </row>
        <row r="4098">
          <cell r="B4098">
            <v>42531</v>
          </cell>
          <cell r="C4098">
            <v>8180.25</v>
          </cell>
          <cell r="D4098">
            <v>8265.6</v>
          </cell>
          <cell r="E4098">
            <v>8162.85</v>
          </cell>
          <cell r="F4098">
            <v>8170.05</v>
          </cell>
        </row>
        <row r="4099">
          <cell r="B4099">
            <v>42534</v>
          </cell>
          <cell r="C4099">
            <v>8102.25</v>
          </cell>
          <cell r="D4099">
            <v>8125.25</v>
          </cell>
          <cell r="E4099">
            <v>8063.9</v>
          </cell>
          <cell r="F4099">
            <v>8110.6</v>
          </cell>
        </row>
        <row r="4100">
          <cell r="B4100">
            <v>42535</v>
          </cell>
          <cell r="C4100">
            <v>8134.4</v>
          </cell>
          <cell r="D4100">
            <v>8134.95</v>
          </cell>
          <cell r="E4100">
            <v>8069.5</v>
          </cell>
          <cell r="F4100">
            <v>8108.85</v>
          </cell>
        </row>
        <row r="4101">
          <cell r="B4101">
            <v>42536</v>
          </cell>
          <cell r="C4101">
            <v>8139.4</v>
          </cell>
          <cell r="D4101">
            <v>8213.2000000000007</v>
          </cell>
          <cell r="E4101">
            <v>8123.15</v>
          </cell>
          <cell r="F4101">
            <v>8206.6</v>
          </cell>
        </row>
        <row r="4102">
          <cell r="B4102">
            <v>42537</v>
          </cell>
          <cell r="C4102">
            <v>8180.65</v>
          </cell>
          <cell r="D4102">
            <v>8180.65</v>
          </cell>
          <cell r="E4102">
            <v>8074.45</v>
          </cell>
          <cell r="F4102">
            <v>8140.75</v>
          </cell>
        </row>
        <row r="4103">
          <cell r="B4103">
            <v>42538</v>
          </cell>
          <cell r="C4103">
            <v>8176.65</v>
          </cell>
          <cell r="D4103">
            <v>8195.25</v>
          </cell>
          <cell r="E4103">
            <v>8135.8</v>
          </cell>
          <cell r="F4103">
            <v>8170.2</v>
          </cell>
        </row>
        <row r="4104">
          <cell r="B4104">
            <v>42541</v>
          </cell>
          <cell r="C4104">
            <v>8115.75</v>
          </cell>
          <cell r="D4104">
            <v>8244.15</v>
          </cell>
          <cell r="E4104">
            <v>8107.35</v>
          </cell>
          <cell r="F4104">
            <v>8238.5</v>
          </cell>
        </row>
        <row r="4105">
          <cell r="B4105">
            <v>42542</v>
          </cell>
          <cell r="C4105">
            <v>8255.4</v>
          </cell>
          <cell r="D4105">
            <v>8257.25</v>
          </cell>
          <cell r="E4105">
            <v>8202.15</v>
          </cell>
          <cell r="F4105">
            <v>8219.9</v>
          </cell>
        </row>
        <row r="4106">
          <cell r="B4106">
            <v>42543</v>
          </cell>
          <cell r="C4106">
            <v>8213.65</v>
          </cell>
          <cell r="D4106">
            <v>8238.35</v>
          </cell>
          <cell r="E4106">
            <v>8153.25</v>
          </cell>
          <cell r="F4106">
            <v>8203.7000000000007</v>
          </cell>
        </row>
        <row r="4107">
          <cell r="B4107">
            <v>42544</v>
          </cell>
          <cell r="C4107">
            <v>8201.15</v>
          </cell>
          <cell r="D4107">
            <v>8285.6</v>
          </cell>
          <cell r="E4107">
            <v>8188.3</v>
          </cell>
          <cell r="F4107">
            <v>8270.4500000000007</v>
          </cell>
        </row>
        <row r="4108">
          <cell r="B4108">
            <v>42545</v>
          </cell>
          <cell r="C4108">
            <v>8029.1</v>
          </cell>
          <cell r="D4108">
            <v>8100.7</v>
          </cell>
          <cell r="E4108">
            <v>7927.05</v>
          </cell>
          <cell r="F4108">
            <v>8088.6</v>
          </cell>
        </row>
        <row r="4109">
          <cell r="B4109">
            <v>42548</v>
          </cell>
          <cell r="C4109">
            <v>8039.35</v>
          </cell>
          <cell r="D4109">
            <v>8120.65</v>
          </cell>
          <cell r="E4109">
            <v>8039.35</v>
          </cell>
          <cell r="F4109">
            <v>8094.7</v>
          </cell>
        </row>
        <row r="4110">
          <cell r="B4110">
            <v>42549</v>
          </cell>
          <cell r="C4110">
            <v>8096.05</v>
          </cell>
          <cell r="D4110">
            <v>8146.35</v>
          </cell>
          <cell r="E4110">
            <v>8086.85</v>
          </cell>
          <cell r="F4110">
            <v>8127.85</v>
          </cell>
        </row>
        <row r="4111">
          <cell r="B4111">
            <v>42550</v>
          </cell>
          <cell r="C4111">
            <v>8173.1</v>
          </cell>
          <cell r="D4111">
            <v>8212.4</v>
          </cell>
          <cell r="E4111">
            <v>8157.65</v>
          </cell>
          <cell r="F4111">
            <v>8204</v>
          </cell>
        </row>
        <row r="4112">
          <cell r="B4112">
            <v>42551</v>
          </cell>
          <cell r="C4112">
            <v>8260.25</v>
          </cell>
          <cell r="D4112">
            <v>8308.15</v>
          </cell>
          <cell r="E4112">
            <v>8242.1</v>
          </cell>
          <cell r="F4112">
            <v>8287.75</v>
          </cell>
        </row>
        <row r="4113">
          <cell r="B4113">
            <v>42552</v>
          </cell>
          <cell r="C4113">
            <v>8313.0499999999993</v>
          </cell>
          <cell r="D4113">
            <v>8356.75</v>
          </cell>
          <cell r="E4113">
            <v>8308.65</v>
          </cell>
          <cell r="F4113">
            <v>8328.35</v>
          </cell>
        </row>
        <row r="4114">
          <cell r="B4114">
            <v>42555</v>
          </cell>
          <cell r="C4114">
            <v>8376.75</v>
          </cell>
          <cell r="D4114">
            <v>8398.4500000000007</v>
          </cell>
          <cell r="E4114">
            <v>8364.7000000000007</v>
          </cell>
          <cell r="F4114">
            <v>8370.7000000000007</v>
          </cell>
        </row>
        <row r="4115">
          <cell r="B4115">
            <v>42556</v>
          </cell>
          <cell r="C4115">
            <v>8379.2999999999993</v>
          </cell>
          <cell r="D4115">
            <v>8381.4500000000007</v>
          </cell>
          <cell r="E4115">
            <v>8319.9500000000007</v>
          </cell>
          <cell r="F4115">
            <v>8335.9500000000007</v>
          </cell>
        </row>
        <row r="4116">
          <cell r="B4116">
            <v>42558</v>
          </cell>
          <cell r="C4116">
            <v>8342</v>
          </cell>
          <cell r="D4116">
            <v>8361.9500000000007</v>
          </cell>
          <cell r="E4116">
            <v>8317.7000000000007</v>
          </cell>
          <cell r="F4116">
            <v>8337.9</v>
          </cell>
        </row>
        <row r="4117">
          <cell r="B4117">
            <v>42559</v>
          </cell>
          <cell r="C4117">
            <v>8350</v>
          </cell>
          <cell r="D4117">
            <v>8353.2999999999993</v>
          </cell>
          <cell r="E4117">
            <v>8287.5499999999993</v>
          </cell>
          <cell r="F4117">
            <v>8323.2000000000007</v>
          </cell>
        </row>
        <row r="4118">
          <cell r="B4118">
            <v>42562</v>
          </cell>
          <cell r="C4118">
            <v>8413.35</v>
          </cell>
          <cell r="D4118">
            <v>8475.25</v>
          </cell>
          <cell r="E4118">
            <v>8407.0499999999993</v>
          </cell>
          <cell r="F4118">
            <v>8467.9</v>
          </cell>
        </row>
        <row r="4119">
          <cell r="B4119">
            <v>42563</v>
          </cell>
          <cell r="C4119">
            <v>8502.6</v>
          </cell>
          <cell r="D4119">
            <v>8526.6</v>
          </cell>
          <cell r="E4119">
            <v>8479.2000000000007</v>
          </cell>
          <cell r="F4119">
            <v>8521.0499999999993</v>
          </cell>
        </row>
        <row r="4120">
          <cell r="B4120">
            <v>42564</v>
          </cell>
          <cell r="C4120">
            <v>8540.4500000000007</v>
          </cell>
          <cell r="D4120">
            <v>8550.25</v>
          </cell>
          <cell r="E4120">
            <v>8493.5499999999993</v>
          </cell>
          <cell r="F4120">
            <v>8519.5</v>
          </cell>
        </row>
        <row r="4121">
          <cell r="B4121">
            <v>42565</v>
          </cell>
          <cell r="C4121">
            <v>8515.75</v>
          </cell>
          <cell r="D4121">
            <v>8571.4</v>
          </cell>
          <cell r="E4121">
            <v>8500.7000000000007</v>
          </cell>
          <cell r="F4121">
            <v>8565</v>
          </cell>
        </row>
        <row r="4122">
          <cell r="B4122">
            <v>42566</v>
          </cell>
          <cell r="C4122">
            <v>8565.4500000000007</v>
          </cell>
          <cell r="D4122">
            <v>8594.7999999999993</v>
          </cell>
          <cell r="E4122">
            <v>8510.0499999999993</v>
          </cell>
          <cell r="F4122">
            <v>8541.4</v>
          </cell>
        </row>
        <row r="4123">
          <cell r="B4123">
            <v>42569</v>
          </cell>
          <cell r="C4123">
            <v>8564.0499999999993</v>
          </cell>
          <cell r="D4123">
            <v>8587.1</v>
          </cell>
          <cell r="E4123">
            <v>8494.35</v>
          </cell>
          <cell r="F4123">
            <v>8508.7000000000007</v>
          </cell>
        </row>
        <row r="4124">
          <cell r="B4124">
            <v>42570</v>
          </cell>
          <cell r="C4124">
            <v>8514.2999999999993</v>
          </cell>
          <cell r="D4124">
            <v>8540.0499999999993</v>
          </cell>
          <cell r="E4124">
            <v>8476.7000000000007</v>
          </cell>
          <cell r="F4124">
            <v>8528.5499999999993</v>
          </cell>
        </row>
        <row r="4125">
          <cell r="B4125">
            <v>42571</v>
          </cell>
          <cell r="C4125">
            <v>8515.4500000000007</v>
          </cell>
          <cell r="D4125">
            <v>8569.9</v>
          </cell>
          <cell r="E4125">
            <v>8512.5499999999993</v>
          </cell>
          <cell r="F4125">
            <v>8565.85</v>
          </cell>
        </row>
        <row r="4126">
          <cell r="B4126">
            <v>42572</v>
          </cell>
          <cell r="C4126">
            <v>8582.7000000000007</v>
          </cell>
          <cell r="D4126">
            <v>8585.25</v>
          </cell>
          <cell r="E4126">
            <v>8503.4500000000007</v>
          </cell>
          <cell r="F4126">
            <v>8510.1</v>
          </cell>
        </row>
        <row r="4127">
          <cell r="B4127">
            <v>42573</v>
          </cell>
          <cell r="C4127">
            <v>8519.65</v>
          </cell>
          <cell r="D4127">
            <v>8548.9500000000007</v>
          </cell>
          <cell r="E4127">
            <v>8489.7999999999993</v>
          </cell>
          <cell r="F4127">
            <v>8541.2000000000007</v>
          </cell>
        </row>
        <row r="4128">
          <cell r="B4128">
            <v>42576</v>
          </cell>
          <cell r="C4128">
            <v>8519.9500000000007</v>
          </cell>
          <cell r="D4128">
            <v>8641.15</v>
          </cell>
          <cell r="E4128">
            <v>8517.2000000000007</v>
          </cell>
          <cell r="F4128">
            <v>8635.65</v>
          </cell>
        </row>
        <row r="4129">
          <cell r="B4129">
            <v>42577</v>
          </cell>
          <cell r="C4129">
            <v>8633.75</v>
          </cell>
          <cell r="D4129">
            <v>8644.9</v>
          </cell>
          <cell r="E4129">
            <v>8577.15</v>
          </cell>
          <cell r="F4129">
            <v>8590.65</v>
          </cell>
        </row>
        <row r="4130">
          <cell r="B4130">
            <v>42578</v>
          </cell>
          <cell r="C4130">
            <v>8599.4</v>
          </cell>
          <cell r="D4130">
            <v>8665</v>
          </cell>
          <cell r="E4130">
            <v>8572.0499999999993</v>
          </cell>
          <cell r="F4130">
            <v>8615.7999999999993</v>
          </cell>
        </row>
        <row r="4131">
          <cell r="B4131">
            <v>42579</v>
          </cell>
          <cell r="C4131">
            <v>8636.9500000000007</v>
          </cell>
          <cell r="D4131">
            <v>8674.7000000000007</v>
          </cell>
          <cell r="E4131">
            <v>8625.25</v>
          </cell>
          <cell r="F4131">
            <v>8666.2999999999993</v>
          </cell>
        </row>
        <row r="4132">
          <cell r="B4132">
            <v>42580</v>
          </cell>
          <cell r="C4132">
            <v>8668.2999999999993</v>
          </cell>
          <cell r="D4132">
            <v>8670.35</v>
          </cell>
          <cell r="E4132">
            <v>8631.15</v>
          </cell>
          <cell r="F4132">
            <v>8638.5</v>
          </cell>
        </row>
        <row r="4133">
          <cell r="B4133">
            <v>42583</v>
          </cell>
          <cell r="C4133">
            <v>8654.2999999999993</v>
          </cell>
          <cell r="D4133">
            <v>8711.2999999999993</v>
          </cell>
          <cell r="E4133">
            <v>8590.5</v>
          </cell>
          <cell r="F4133">
            <v>8636.5499999999993</v>
          </cell>
        </row>
        <row r="4134">
          <cell r="B4134">
            <v>42584</v>
          </cell>
          <cell r="C4134">
            <v>8647.4500000000007</v>
          </cell>
          <cell r="D4134">
            <v>8687.2000000000007</v>
          </cell>
          <cell r="E4134">
            <v>8611.4</v>
          </cell>
          <cell r="F4134">
            <v>8622.9</v>
          </cell>
        </row>
        <row r="4135">
          <cell r="B4135">
            <v>42585</v>
          </cell>
          <cell r="C4135">
            <v>8635.2000000000007</v>
          </cell>
          <cell r="D4135">
            <v>8635.4500000000007</v>
          </cell>
          <cell r="E4135">
            <v>8529.6</v>
          </cell>
          <cell r="F4135">
            <v>8544.85</v>
          </cell>
        </row>
        <row r="4136">
          <cell r="B4136">
            <v>42586</v>
          </cell>
          <cell r="C4136">
            <v>8599.9500000000007</v>
          </cell>
          <cell r="D4136">
            <v>8601.4</v>
          </cell>
          <cell r="E4136">
            <v>8518.15</v>
          </cell>
          <cell r="F4136">
            <v>8551.1</v>
          </cell>
        </row>
        <row r="4137">
          <cell r="B4137">
            <v>42587</v>
          </cell>
          <cell r="C4137">
            <v>8600.2000000000007</v>
          </cell>
          <cell r="D4137">
            <v>8689.4</v>
          </cell>
          <cell r="E4137">
            <v>8590.15</v>
          </cell>
          <cell r="F4137">
            <v>8683.15</v>
          </cell>
        </row>
        <row r="4138">
          <cell r="B4138">
            <v>42590</v>
          </cell>
          <cell r="C4138">
            <v>8712.85</v>
          </cell>
          <cell r="D4138">
            <v>8723.5</v>
          </cell>
          <cell r="E4138">
            <v>8697.6</v>
          </cell>
          <cell r="F4138">
            <v>8711.35</v>
          </cell>
        </row>
        <row r="4139">
          <cell r="B4139">
            <v>42591</v>
          </cell>
          <cell r="C4139">
            <v>8727.7999999999993</v>
          </cell>
          <cell r="D4139">
            <v>8728.35</v>
          </cell>
          <cell r="E4139">
            <v>8638.2000000000007</v>
          </cell>
          <cell r="F4139">
            <v>8678.25</v>
          </cell>
        </row>
        <row r="4140">
          <cell r="B4140">
            <v>42592</v>
          </cell>
          <cell r="C4140">
            <v>8686.7000000000007</v>
          </cell>
          <cell r="D4140">
            <v>8690.1</v>
          </cell>
          <cell r="E4140">
            <v>8564.6</v>
          </cell>
          <cell r="F4140">
            <v>8575.2999999999993</v>
          </cell>
        </row>
        <row r="4141">
          <cell r="B4141">
            <v>42593</v>
          </cell>
          <cell r="C4141">
            <v>8572.7999999999993</v>
          </cell>
          <cell r="D4141">
            <v>8601.15</v>
          </cell>
          <cell r="E4141">
            <v>8540.0499999999993</v>
          </cell>
          <cell r="F4141">
            <v>8592.15</v>
          </cell>
        </row>
        <row r="4142">
          <cell r="B4142">
            <v>42594</v>
          </cell>
          <cell r="C4142">
            <v>8605.4500000000007</v>
          </cell>
          <cell r="D4142">
            <v>8684.2999999999993</v>
          </cell>
          <cell r="E4142">
            <v>8604.4500000000007</v>
          </cell>
          <cell r="F4142">
            <v>8672.15</v>
          </cell>
        </row>
        <row r="4143">
          <cell r="B4143">
            <v>42598</v>
          </cell>
          <cell r="C4143">
            <v>8670.25</v>
          </cell>
          <cell r="D4143">
            <v>8682.35</v>
          </cell>
          <cell r="E4143">
            <v>8600.4500000000007</v>
          </cell>
          <cell r="F4143">
            <v>8642.5499999999993</v>
          </cell>
        </row>
        <row r="4144">
          <cell r="B4144">
            <v>42599</v>
          </cell>
          <cell r="C4144">
            <v>8639.7999999999993</v>
          </cell>
          <cell r="D4144">
            <v>8667.1</v>
          </cell>
          <cell r="E4144">
            <v>8603.6</v>
          </cell>
          <cell r="F4144">
            <v>8624.0499999999993</v>
          </cell>
        </row>
        <row r="4145">
          <cell r="B4145">
            <v>42600</v>
          </cell>
          <cell r="C4145">
            <v>8648.85</v>
          </cell>
          <cell r="D4145">
            <v>8690.7000000000007</v>
          </cell>
          <cell r="E4145">
            <v>8645.0499999999993</v>
          </cell>
          <cell r="F4145">
            <v>8673.25</v>
          </cell>
        </row>
        <row r="4146">
          <cell r="B4146">
            <v>42601</v>
          </cell>
          <cell r="C4146">
            <v>8694.2999999999993</v>
          </cell>
          <cell r="D4146">
            <v>8696.6</v>
          </cell>
          <cell r="E4146">
            <v>8647.1</v>
          </cell>
          <cell r="F4146">
            <v>8666.9</v>
          </cell>
        </row>
        <row r="4147">
          <cell r="B4147">
            <v>42604</v>
          </cell>
          <cell r="C4147">
            <v>8667</v>
          </cell>
          <cell r="D4147">
            <v>8684.85</v>
          </cell>
          <cell r="E4147">
            <v>8614</v>
          </cell>
          <cell r="F4147">
            <v>8629.15</v>
          </cell>
        </row>
        <row r="4148">
          <cell r="B4148">
            <v>42605</v>
          </cell>
          <cell r="C4148">
            <v>8628.35</v>
          </cell>
          <cell r="D4148">
            <v>8642.15</v>
          </cell>
          <cell r="E4148">
            <v>8580</v>
          </cell>
          <cell r="F4148">
            <v>8632.6</v>
          </cell>
        </row>
        <row r="4149">
          <cell r="B4149">
            <v>42606</v>
          </cell>
          <cell r="C4149">
            <v>8648.5</v>
          </cell>
          <cell r="D4149">
            <v>8661.0499999999993</v>
          </cell>
          <cell r="E4149">
            <v>8620.9</v>
          </cell>
          <cell r="F4149">
            <v>8650.2999999999993</v>
          </cell>
        </row>
        <row r="4150">
          <cell r="B4150">
            <v>42607</v>
          </cell>
          <cell r="C4150">
            <v>8668.85</v>
          </cell>
          <cell r="D4150">
            <v>8683.0499999999993</v>
          </cell>
          <cell r="E4150">
            <v>8583.65</v>
          </cell>
          <cell r="F4150">
            <v>8592.2000000000007</v>
          </cell>
        </row>
        <row r="4151">
          <cell r="B4151">
            <v>42608</v>
          </cell>
          <cell r="C4151">
            <v>8614.35</v>
          </cell>
          <cell r="D4151">
            <v>8622.9500000000007</v>
          </cell>
          <cell r="E4151">
            <v>8547.5499999999993</v>
          </cell>
          <cell r="F4151">
            <v>8572.5499999999993</v>
          </cell>
        </row>
        <row r="4152">
          <cell r="B4152">
            <v>42611</v>
          </cell>
          <cell r="C4152">
            <v>8583.75</v>
          </cell>
          <cell r="D4152">
            <v>8622</v>
          </cell>
          <cell r="E4152">
            <v>8543.75</v>
          </cell>
          <cell r="F4152">
            <v>8607.4500000000007</v>
          </cell>
        </row>
        <row r="4153">
          <cell r="B4153">
            <v>42612</v>
          </cell>
          <cell r="C4153">
            <v>8646.75</v>
          </cell>
          <cell r="D4153">
            <v>8750.6</v>
          </cell>
          <cell r="E4153">
            <v>8642.25</v>
          </cell>
          <cell r="F4153">
            <v>8744.35</v>
          </cell>
        </row>
        <row r="4154">
          <cell r="B4154">
            <v>42613</v>
          </cell>
          <cell r="C4154">
            <v>8754.0499999999993</v>
          </cell>
          <cell r="D4154">
            <v>8819.2000000000007</v>
          </cell>
          <cell r="E4154">
            <v>8754.0499999999993</v>
          </cell>
          <cell r="F4154">
            <v>8786.2000000000007</v>
          </cell>
        </row>
        <row r="4155">
          <cell r="B4155">
            <v>42614</v>
          </cell>
          <cell r="C4155">
            <v>8793.6</v>
          </cell>
          <cell r="D4155">
            <v>8813.25</v>
          </cell>
          <cell r="E4155">
            <v>8759.9500000000007</v>
          </cell>
          <cell r="F4155">
            <v>8774.65</v>
          </cell>
        </row>
        <row r="4156">
          <cell r="B4156">
            <v>42615</v>
          </cell>
          <cell r="C4156">
            <v>8796.35</v>
          </cell>
          <cell r="D4156">
            <v>8824.1</v>
          </cell>
          <cell r="E4156">
            <v>8768.2000000000007</v>
          </cell>
          <cell r="F4156">
            <v>8809.65</v>
          </cell>
        </row>
        <row r="4157">
          <cell r="B4157">
            <v>42619</v>
          </cell>
          <cell r="C4157">
            <v>8852.7000000000007</v>
          </cell>
          <cell r="D4157">
            <v>8950.85</v>
          </cell>
          <cell r="E4157">
            <v>8848.4500000000007</v>
          </cell>
          <cell r="F4157">
            <v>8943</v>
          </cell>
        </row>
        <row r="4158">
          <cell r="B4158">
            <v>42620</v>
          </cell>
          <cell r="C4158">
            <v>8968.7000000000007</v>
          </cell>
          <cell r="D4158">
            <v>8968.7000000000007</v>
          </cell>
          <cell r="E4158">
            <v>8913.35</v>
          </cell>
          <cell r="F4158">
            <v>8917.9500000000007</v>
          </cell>
        </row>
        <row r="4159">
          <cell r="B4159">
            <v>42621</v>
          </cell>
          <cell r="C4159">
            <v>8915.5</v>
          </cell>
          <cell r="D4159">
            <v>8960.35</v>
          </cell>
          <cell r="E4159">
            <v>8896</v>
          </cell>
          <cell r="F4159">
            <v>8952.5</v>
          </cell>
        </row>
        <row r="4160">
          <cell r="B4160">
            <v>42622</v>
          </cell>
          <cell r="C4160">
            <v>8934.2999999999993</v>
          </cell>
          <cell r="D4160">
            <v>8939.15</v>
          </cell>
          <cell r="E4160">
            <v>8858.7000000000007</v>
          </cell>
          <cell r="F4160">
            <v>8866.7000000000007</v>
          </cell>
        </row>
        <row r="4161">
          <cell r="B4161">
            <v>42625</v>
          </cell>
          <cell r="C4161">
            <v>8732.9500000000007</v>
          </cell>
          <cell r="D4161">
            <v>8746.9500000000007</v>
          </cell>
          <cell r="E4161">
            <v>8699.4</v>
          </cell>
          <cell r="F4161">
            <v>8715.6</v>
          </cell>
        </row>
        <row r="4162">
          <cell r="B4162">
            <v>42627</v>
          </cell>
          <cell r="C4162">
            <v>8710.65</v>
          </cell>
          <cell r="D4162">
            <v>8739.85</v>
          </cell>
          <cell r="E4162">
            <v>8688.9</v>
          </cell>
          <cell r="F4162">
            <v>8726.6</v>
          </cell>
        </row>
        <row r="4163">
          <cell r="B4163">
            <v>42628</v>
          </cell>
          <cell r="C4163">
            <v>8743.85</v>
          </cell>
          <cell r="D4163">
            <v>8751.9500000000007</v>
          </cell>
          <cell r="E4163">
            <v>8704.35</v>
          </cell>
          <cell r="F4163">
            <v>8742.5499999999993</v>
          </cell>
        </row>
        <row r="4164">
          <cell r="B4164">
            <v>42629</v>
          </cell>
          <cell r="C4164">
            <v>8780.85</v>
          </cell>
          <cell r="D4164">
            <v>8847.65</v>
          </cell>
          <cell r="E4164">
            <v>8750.5</v>
          </cell>
          <cell r="F4164">
            <v>8779.85</v>
          </cell>
        </row>
        <row r="4165">
          <cell r="B4165">
            <v>42632</v>
          </cell>
          <cell r="C4165">
            <v>8788.4500000000007</v>
          </cell>
          <cell r="D4165">
            <v>8824.2999999999993</v>
          </cell>
          <cell r="E4165">
            <v>8774.2000000000007</v>
          </cell>
          <cell r="F4165">
            <v>8808.4</v>
          </cell>
        </row>
        <row r="4166">
          <cell r="B4166">
            <v>42633</v>
          </cell>
          <cell r="C4166">
            <v>8816.1</v>
          </cell>
          <cell r="D4166">
            <v>8816.4500000000007</v>
          </cell>
          <cell r="E4166">
            <v>8759.2999999999993</v>
          </cell>
          <cell r="F4166">
            <v>8775.9</v>
          </cell>
        </row>
        <row r="4167">
          <cell r="B4167">
            <v>42634</v>
          </cell>
          <cell r="C4167">
            <v>8790.2999999999993</v>
          </cell>
          <cell r="D4167">
            <v>8826.85</v>
          </cell>
          <cell r="E4167">
            <v>8757.2999999999993</v>
          </cell>
          <cell r="F4167">
            <v>8777.15</v>
          </cell>
        </row>
        <row r="4168">
          <cell r="B4168">
            <v>42635</v>
          </cell>
          <cell r="C4168">
            <v>8873.35</v>
          </cell>
          <cell r="D4168">
            <v>8893.35</v>
          </cell>
          <cell r="E4168">
            <v>8837.7999999999993</v>
          </cell>
          <cell r="F4168">
            <v>8867.4500000000007</v>
          </cell>
        </row>
        <row r="4169">
          <cell r="B4169">
            <v>42636</v>
          </cell>
          <cell r="C4169">
            <v>8880.75</v>
          </cell>
          <cell r="D4169">
            <v>8885.2000000000007</v>
          </cell>
          <cell r="E4169">
            <v>8820.2999999999993</v>
          </cell>
          <cell r="F4169">
            <v>8831.5499999999993</v>
          </cell>
        </row>
        <row r="4170">
          <cell r="B4170">
            <v>42639</v>
          </cell>
          <cell r="C4170">
            <v>8807.9</v>
          </cell>
          <cell r="D4170">
            <v>8809.5499999999993</v>
          </cell>
          <cell r="E4170">
            <v>8715.1</v>
          </cell>
          <cell r="F4170">
            <v>8723.0499999999993</v>
          </cell>
        </row>
        <row r="4171">
          <cell r="B4171">
            <v>42640</v>
          </cell>
          <cell r="C4171">
            <v>8748.9</v>
          </cell>
          <cell r="D4171">
            <v>8768.5</v>
          </cell>
          <cell r="E4171">
            <v>8690.5</v>
          </cell>
          <cell r="F4171">
            <v>8706.4</v>
          </cell>
        </row>
        <row r="4172">
          <cell r="B4172">
            <v>42641</v>
          </cell>
          <cell r="C4172">
            <v>8711.2000000000007</v>
          </cell>
          <cell r="D4172">
            <v>8767.0499999999993</v>
          </cell>
          <cell r="E4172">
            <v>8703.15</v>
          </cell>
          <cell r="F4172">
            <v>8745.15</v>
          </cell>
        </row>
        <row r="4173">
          <cell r="B4173">
            <v>42642</v>
          </cell>
          <cell r="C4173">
            <v>8792.7000000000007</v>
          </cell>
          <cell r="D4173">
            <v>8800.65</v>
          </cell>
          <cell r="E4173">
            <v>8558.25</v>
          </cell>
          <cell r="F4173">
            <v>8591.25</v>
          </cell>
        </row>
        <row r="4174">
          <cell r="B4174">
            <v>42643</v>
          </cell>
          <cell r="C4174">
            <v>8581.5</v>
          </cell>
          <cell r="D4174">
            <v>8637.15</v>
          </cell>
          <cell r="E4174">
            <v>8555.2000000000007</v>
          </cell>
          <cell r="F4174">
            <v>8611.15</v>
          </cell>
        </row>
        <row r="4175">
          <cell r="B4175">
            <v>42646</v>
          </cell>
          <cell r="C4175">
            <v>8666.15</v>
          </cell>
          <cell r="D4175">
            <v>8745.2000000000007</v>
          </cell>
          <cell r="E4175">
            <v>8635</v>
          </cell>
          <cell r="F4175">
            <v>8738.1</v>
          </cell>
        </row>
        <row r="4176">
          <cell r="B4176">
            <v>42647</v>
          </cell>
          <cell r="C4176">
            <v>8770</v>
          </cell>
          <cell r="D4176">
            <v>8783.65</v>
          </cell>
          <cell r="E4176">
            <v>8736.1</v>
          </cell>
          <cell r="F4176">
            <v>8769.15</v>
          </cell>
        </row>
        <row r="4177">
          <cell r="B4177">
            <v>42648</v>
          </cell>
          <cell r="C4177">
            <v>8806.35</v>
          </cell>
          <cell r="D4177">
            <v>8806.9500000000007</v>
          </cell>
          <cell r="E4177">
            <v>8731.4</v>
          </cell>
          <cell r="F4177">
            <v>8743.9500000000007</v>
          </cell>
        </row>
        <row r="4178">
          <cell r="B4178">
            <v>42649</v>
          </cell>
          <cell r="C4178">
            <v>8768.7000000000007</v>
          </cell>
          <cell r="D4178">
            <v>8781.15</v>
          </cell>
          <cell r="E4178">
            <v>8684.65</v>
          </cell>
          <cell r="F4178">
            <v>8709.5499999999993</v>
          </cell>
        </row>
        <row r="4179">
          <cell r="B4179">
            <v>42650</v>
          </cell>
          <cell r="C4179">
            <v>8721.7000000000007</v>
          </cell>
          <cell r="D4179">
            <v>8723.7000000000007</v>
          </cell>
          <cell r="E4179">
            <v>8663.7999999999993</v>
          </cell>
          <cell r="F4179">
            <v>8697.6</v>
          </cell>
        </row>
        <row r="4180">
          <cell r="B4180">
            <v>42653</v>
          </cell>
          <cell r="C4180">
            <v>8735.35</v>
          </cell>
          <cell r="D4180">
            <v>8745.7999999999993</v>
          </cell>
          <cell r="E4180">
            <v>8703.9500000000007</v>
          </cell>
          <cell r="F4180">
            <v>8708.7999999999993</v>
          </cell>
        </row>
        <row r="4181">
          <cell r="B4181">
            <v>42656</v>
          </cell>
          <cell r="C4181">
            <v>8671.5</v>
          </cell>
          <cell r="D4181">
            <v>8681.5499999999993</v>
          </cell>
          <cell r="E4181">
            <v>8541.35</v>
          </cell>
          <cell r="F4181">
            <v>8573.35</v>
          </cell>
        </row>
        <row r="4182">
          <cell r="B4182">
            <v>42657</v>
          </cell>
          <cell r="C4182">
            <v>8594</v>
          </cell>
          <cell r="D4182">
            <v>8604.4500000000007</v>
          </cell>
          <cell r="E4182">
            <v>8549.7999999999993</v>
          </cell>
          <cell r="F4182">
            <v>8583.4</v>
          </cell>
        </row>
        <row r="4183">
          <cell r="B4183">
            <v>42660</v>
          </cell>
          <cell r="C4183">
            <v>8612.9500000000007</v>
          </cell>
          <cell r="D4183">
            <v>8615.4</v>
          </cell>
          <cell r="E4183">
            <v>8506.15</v>
          </cell>
          <cell r="F4183">
            <v>8520.4</v>
          </cell>
        </row>
        <row r="4184">
          <cell r="B4184">
            <v>42661</v>
          </cell>
          <cell r="C4184">
            <v>8556.0499999999993</v>
          </cell>
          <cell r="D4184">
            <v>8685.1</v>
          </cell>
          <cell r="E4184">
            <v>8555.9</v>
          </cell>
          <cell r="F4184">
            <v>8677.9</v>
          </cell>
        </row>
        <row r="4185">
          <cell r="B4185">
            <v>42662</v>
          </cell>
          <cell r="C4185">
            <v>8697.5</v>
          </cell>
          <cell r="D4185">
            <v>8698.75</v>
          </cell>
          <cell r="E4185">
            <v>8636.7000000000007</v>
          </cell>
          <cell r="F4185">
            <v>8659.1</v>
          </cell>
        </row>
        <row r="4186">
          <cell r="B4186">
            <v>42663</v>
          </cell>
          <cell r="C4186">
            <v>8693.35</v>
          </cell>
          <cell r="D4186">
            <v>8727</v>
          </cell>
          <cell r="E4186">
            <v>8678.2999999999993</v>
          </cell>
          <cell r="F4186">
            <v>8699.4</v>
          </cell>
        </row>
        <row r="4187">
          <cell r="B4187">
            <v>42664</v>
          </cell>
          <cell r="C4187">
            <v>8708.6</v>
          </cell>
          <cell r="D4187">
            <v>8709.1</v>
          </cell>
          <cell r="E4187">
            <v>8652.0499999999993</v>
          </cell>
          <cell r="F4187">
            <v>8693.0499999999993</v>
          </cell>
        </row>
        <row r="4188">
          <cell r="B4188">
            <v>42667</v>
          </cell>
          <cell r="C4188">
            <v>8709.85</v>
          </cell>
          <cell r="D4188">
            <v>8736.9500000000007</v>
          </cell>
          <cell r="E4188">
            <v>8684.15</v>
          </cell>
          <cell r="F4188">
            <v>8708.9500000000007</v>
          </cell>
        </row>
        <row r="4189">
          <cell r="B4189">
            <v>42668</v>
          </cell>
          <cell r="C4189">
            <v>8721.7000000000007</v>
          </cell>
          <cell r="D4189">
            <v>8722.65</v>
          </cell>
          <cell r="E4189">
            <v>8663.4500000000007</v>
          </cell>
          <cell r="F4189">
            <v>8691.2999999999993</v>
          </cell>
        </row>
        <row r="4190">
          <cell r="B4190">
            <v>42669</v>
          </cell>
          <cell r="C4190">
            <v>8657.2999999999993</v>
          </cell>
          <cell r="D4190">
            <v>8657.2999999999993</v>
          </cell>
          <cell r="E4190">
            <v>8596.6</v>
          </cell>
          <cell r="F4190">
            <v>8615.25</v>
          </cell>
        </row>
        <row r="4191">
          <cell r="B4191">
            <v>42670</v>
          </cell>
          <cell r="C4191">
            <v>8607.1</v>
          </cell>
          <cell r="D4191">
            <v>8624.85</v>
          </cell>
          <cell r="E4191">
            <v>8550.25</v>
          </cell>
          <cell r="F4191">
            <v>8615.25</v>
          </cell>
        </row>
        <row r="4192">
          <cell r="B4192">
            <v>42671</v>
          </cell>
          <cell r="C4192">
            <v>8625</v>
          </cell>
          <cell r="D4192">
            <v>8653.75</v>
          </cell>
          <cell r="E4192">
            <v>8581.75</v>
          </cell>
          <cell r="F4192">
            <v>8638</v>
          </cell>
        </row>
        <row r="4193">
          <cell r="B4193">
            <v>42673</v>
          </cell>
          <cell r="C4193">
            <v>8672.35</v>
          </cell>
          <cell r="D4193">
            <v>8678.25</v>
          </cell>
          <cell r="E4193">
            <v>8616.25</v>
          </cell>
          <cell r="F4193">
            <v>8625.7000000000007</v>
          </cell>
        </row>
        <row r="4194">
          <cell r="B4194">
            <v>42675</v>
          </cell>
          <cell r="C4194">
            <v>8653.15</v>
          </cell>
          <cell r="D4194">
            <v>8669.6</v>
          </cell>
          <cell r="E4194">
            <v>8614.5</v>
          </cell>
          <cell r="F4194">
            <v>8626.25</v>
          </cell>
        </row>
        <row r="4195">
          <cell r="B4195">
            <v>42676</v>
          </cell>
          <cell r="C4195">
            <v>8542.7999999999993</v>
          </cell>
          <cell r="D4195">
            <v>8549.5</v>
          </cell>
          <cell r="E4195">
            <v>8504.85</v>
          </cell>
          <cell r="F4195">
            <v>8514</v>
          </cell>
        </row>
        <row r="4196">
          <cell r="B4196">
            <v>42677</v>
          </cell>
          <cell r="C4196">
            <v>8499.85</v>
          </cell>
          <cell r="D4196">
            <v>8537.65</v>
          </cell>
          <cell r="E4196">
            <v>8476.15</v>
          </cell>
          <cell r="F4196">
            <v>8484.9500000000007</v>
          </cell>
        </row>
        <row r="4197">
          <cell r="B4197">
            <v>42678</v>
          </cell>
          <cell r="C4197">
            <v>8503.6</v>
          </cell>
          <cell r="D4197">
            <v>8504</v>
          </cell>
          <cell r="E4197">
            <v>8400.25</v>
          </cell>
          <cell r="F4197">
            <v>8433.75</v>
          </cell>
        </row>
        <row r="4198">
          <cell r="B4198">
            <v>42681</v>
          </cell>
          <cell r="C4198">
            <v>8535.75</v>
          </cell>
          <cell r="D4198">
            <v>8535.85</v>
          </cell>
          <cell r="E4198">
            <v>8481.4500000000007</v>
          </cell>
          <cell r="F4198">
            <v>8497.0499999999993</v>
          </cell>
        </row>
        <row r="4199">
          <cell r="B4199">
            <v>42682</v>
          </cell>
          <cell r="C4199">
            <v>8540</v>
          </cell>
          <cell r="D4199">
            <v>8559.4</v>
          </cell>
          <cell r="E4199">
            <v>8480.1</v>
          </cell>
          <cell r="F4199">
            <v>8543.5499999999993</v>
          </cell>
        </row>
        <row r="4200">
          <cell r="B4200">
            <v>42683</v>
          </cell>
          <cell r="C4200">
            <v>8067.5</v>
          </cell>
          <cell r="D4200">
            <v>8476.2000000000007</v>
          </cell>
          <cell r="E4200">
            <v>8002.25</v>
          </cell>
          <cell r="F4200">
            <v>8432</v>
          </cell>
        </row>
        <row r="4201">
          <cell r="B4201">
            <v>42684</v>
          </cell>
          <cell r="C4201">
            <v>8555.6</v>
          </cell>
          <cell r="D4201">
            <v>8598.4500000000007</v>
          </cell>
          <cell r="E4201">
            <v>8510.7000000000007</v>
          </cell>
          <cell r="F4201">
            <v>8525.75</v>
          </cell>
        </row>
        <row r="4202">
          <cell r="B4202">
            <v>42685</v>
          </cell>
          <cell r="C4202">
            <v>8456.65</v>
          </cell>
          <cell r="D4202">
            <v>8460.6</v>
          </cell>
          <cell r="E4202">
            <v>8284.9500000000007</v>
          </cell>
          <cell r="F4202">
            <v>8296.2999999999993</v>
          </cell>
        </row>
        <row r="4203">
          <cell r="B4203">
            <v>42689</v>
          </cell>
          <cell r="C4203">
            <v>8284.85</v>
          </cell>
          <cell r="D4203">
            <v>8288.5499999999993</v>
          </cell>
          <cell r="E4203">
            <v>8093.2</v>
          </cell>
          <cell r="F4203">
            <v>8108.45</v>
          </cell>
        </row>
        <row r="4204">
          <cell r="B4204">
            <v>42690</v>
          </cell>
          <cell r="C4204">
            <v>8205.65</v>
          </cell>
          <cell r="D4204">
            <v>8210.0499999999993</v>
          </cell>
          <cell r="E4204">
            <v>8089.4</v>
          </cell>
          <cell r="F4204">
            <v>8111.6</v>
          </cell>
        </row>
        <row r="4205">
          <cell r="B4205">
            <v>42691</v>
          </cell>
          <cell r="C4205">
            <v>8105.1</v>
          </cell>
          <cell r="D4205">
            <v>8151.25</v>
          </cell>
          <cell r="E4205">
            <v>8060.3</v>
          </cell>
          <cell r="F4205">
            <v>8079.95</v>
          </cell>
        </row>
        <row r="4206">
          <cell r="B4206">
            <v>42692</v>
          </cell>
          <cell r="C4206">
            <v>8097.55</v>
          </cell>
          <cell r="D4206">
            <v>8128.95</v>
          </cell>
          <cell r="E4206">
            <v>8048.3</v>
          </cell>
          <cell r="F4206">
            <v>8074.1</v>
          </cell>
        </row>
        <row r="4207">
          <cell r="B4207">
            <v>42695</v>
          </cell>
          <cell r="C4207">
            <v>8102.1</v>
          </cell>
          <cell r="D4207">
            <v>8102.45</v>
          </cell>
          <cell r="E4207">
            <v>7916.4</v>
          </cell>
          <cell r="F4207">
            <v>7929.1</v>
          </cell>
        </row>
        <row r="4208">
          <cell r="B4208">
            <v>42696</v>
          </cell>
          <cell r="C4208">
            <v>7989.15</v>
          </cell>
          <cell r="D4208">
            <v>8019.05</v>
          </cell>
          <cell r="E4208">
            <v>7938.15</v>
          </cell>
          <cell r="F4208">
            <v>8002.3</v>
          </cell>
        </row>
        <row r="4209">
          <cell r="B4209">
            <v>42697</v>
          </cell>
          <cell r="C4209">
            <v>8051.2</v>
          </cell>
          <cell r="D4209">
            <v>8055.2</v>
          </cell>
          <cell r="E4209">
            <v>7973.1</v>
          </cell>
          <cell r="F4209">
            <v>8033.3</v>
          </cell>
        </row>
        <row r="4210">
          <cell r="B4210">
            <v>42698</v>
          </cell>
          <cell r="C4210">
            <v>8011.8</v>
          </cell>
          <cell r="D4210">
            <v>8024.85</v>
          </cell>
          <cell r="E4210">
            <v>7952.55</v>
          </cell>
          <cell r="F4210">
            <v>7965.5</v>
          </cell>
        </row>
        <row r="4211">
          <cell r="B4211">
            <v>42699</v>
          </cell>
          <cell r="C4211">
            <v>8007.95</v>
          </cell>
          <cell r="D4211">
            <v>8122.25</v>
          </cell>
          <cell r="E4211">
            <v>7976.75</v>
          </cell>
          <cell r="F4211">
            <v>8114.3</v>
          </cell>
        </row>
        <row r="4212">
          <cell r="B4212">
            <v>42702</v>
          </cell>
          <cell r="C4212">
            <v>8080.65</v>
          </cell>
          <cell r="D4212">
            <v>8146.5</v>
          </cell>
          <cell r="E4212">
            <v>8066.5</v>
          </cell>
          <cell r="F4212">
            <v>8126.9</v>
          </cell>
        </row>
        <row r="4213">
          <cell r="B4213">
            <v>42703</v>
          </cell>
          <cell r="C4213">
            <v>8131.55</v>
          </cell>
          <cell r="D4213">
            <v>8197.35</v>
          </cell>
          <cell r="E4213">
            <v>8128.7</v>
          </cell>
          <cell r="F4213">
            <v>8142.15</v>
          </cell>
        </row>
        <row r="4214">
          <cell r="B4214">
            <v>42704</v>
          </cell>
          <cell r="C4214">
            <v>8172.15</v>
          </cell>
          <cell r="D4214">
            <v>8234.25</v>
          </cell>
          <cell r="E4214">
            <v>8139.25</v>
          </cell>
          <cell r="F4214">
            <v>8224.5</v>
          </cell>
        </row>
        <row r="4215">
          <cell r="B4215">
            <v>42705</v>
          </cell>
          <cell r="C4215">
            <v>8244</v>
          </cell>
          <cell r="D4215">
            <v>8250.7999999999993</v>
          </cell>
          <cell r="E4215">
            <v>8185.05</v>
          </cell>
          <cell r="F4215">
            <v>8192.9</v>
          </cell>
        </row>
        <row r="4216">
          <cell r="B4216">
            <v>42706</v>
          </cell>
          <cell r="C4216">
            <v>8153.55</v>
          </cell>
          <cell r="D4216">
            <v>8159.3</v>
          </cell>
          <cell r="E4216">
            <v>8070.05</v>
          </cell>
          <cell r="F4216">
            <v>8086.8</v>
          </cell>
        </row>
        <row r="4217">
          <cell r="B4217">
            <v>42709</v>
          </cell>
          <cell r="C4217">
            <v>8088.75</v>
          </cell>
          <cell r="D4217">
            <v>8141.9</v>
          </cell>
          <cell r="E4217">
            <v>8056.85</v>
          </cell>
          <cell r="F4217">
            <v>8128.75</v>
          </cell>
        </row>
        <row r="4218">
          <cell r="B4218">
            <v>42710</v>
          </cell>
          <cell r="C4218">
            <v>8153.15</v>
          </cell>
          <cell r="D4218">
            <v>8178.7</v>
          </cell>
          <cell r="E4218">
            <v>8130.85</v>
          </cell>
          <cell r="F4218">
            <v>8143.15</v>
          </cell>
        </row>
        <row r="4219">
          <cell r="B4219">
            <v>42711</v>
          </cell>
          <cell r="C4219">
            <v>8168.4</v>
          </cell>
          <cell r="D4219">
            <v>8190.45</v>
          </cell>
          <cell r="E4219">
            <v>8077.5</v>
          </cell>
          <cell r="F4219">
            <v>8102.05</v>
          </cell>
        </row>
        <row r="4220">
          <cell r="B4220">
            <v>42712</v>
          </cell>
          <cell r="C4220">
            <v>8152.1</v>
          </cell>
          <cell r="D4220">
            <v>8256.25</v>
          </cell>
          <cell r="E4220">
            <v>8151.75</v>
          </cell>
          <cell r="F4220">
            <v>8246.85</v>
          </cell>
        </row>
        <row r="4221">
          <cell r="B4221">
            <v>42713</v>
          </cell>
          <cell r="C4221">
            <v>8271.7000000000007</v>
          </cell>
          <cell r="D4221">
            <v>8274.9500000000007</v>
          </cell>
          <cell r="E4221">
            <v>8241.9500000000007</v>
          </cell>
          <cell r="F4221">
            <v>8261.75</v>
          </cell>
        </row>
        <row r="4222">
          <cell r="B4222">
            <v>42716</v>
          </cell>
          <cell r="C4222">
            <v>8230.65</v>
          </cell>
          <cell r="D4222">
            <v>8230.65</v>
          </cell>
          <cell r="E4222">
            <v>8154.45</v>
          </cell>
          <cell r="F4222">
            <v>8170.8</v>
          </cell>
        </row>
        <row r="4223">
          <cell r="B4223">
            <v>42717</v>
          </cell>
          <cell r="C4223">
            <v>8196.15</v>
          </cell>
          <cell r="D4223">
            <v>8228.85</v>
          </cell>
          <cell r="E4223">
            <v>8155.8</v>
          </cell>
          <cell r="F4223">
            <v>8221.7999999999993</v>
          </cell>
        </row>
        <row r="4224">
          <cell r="B4224">
            <v>42718</v>
          </cell>
          <cell r="C4224">
            <v>8229.35</v>
          </cell>
          <cell r="D4224">
            <v>8229.4</v>
          </cell>
          <cell r="E4224">
            <v>8165.1</v>
          </cell>
          <cell r="F4224">
            <v>8182.45</v>
          </cell>
        </row>
        <row r="4225">
          <cell r="B4225">
            <v>42719</v>
          </cell>
          <cell r="C4225">
            <v>8128.4</v>
          </cell>
          <cell r="D4225">
            <v>8225.9</v>
          </cell>
          <cell r="E4225">
            <v>8121.95</v>
          </cell>
          <cell r="F4225">
            <v>8153.6</v>
          </cell>
        </row>
        <row r="4226">
          <cell r="B4226">
            <v>42720</v>
          </cell>
          <cell r="C4226">
            <v>8178.2</v>
          </cell>
          <cell r="D4226">
            <v>8178.7</v>
          </cell>
          <cell r="E4226">
            <v>8127.45</v>
          </cell>
          <cell r="F4226">
            <v>8139.45</v>
          </cell>
        </row>
        <row r="4227">
          <cell r="B4227">
            <v>42723</v>
          </cell>
          <cell r="C4227">
            <v>8126</v>
          </cell>
          <cell r="D4227">
            <v>8132.5</v>
          </cell>
          <cell r="E4227">
            <v>8094.85</v>
          </cell>
          <cell r="F4227">
            <v>8104.35</v>
          </cell>
        </row>
        <row r="4228">
          <cell r="B4228">
            <v>42724</v>
          </cell>
          <cell r="C4228">
            <v>8110.6</v>
          </cell>
          <cell r="D4228">
            <v>8124.1</v>
          </cell>
          <cell r="E4228">
            <v>8062.75</v>
          </cell>
          <cell r="F4228">
            <v>8082.4</v>
          </cell>
        </row>
        <row r="4229">
          <cell r="B4229">
            <v>42725</v>
          </cell>
          <cell r="C4229">
            <v>8105.85</v>
          </cell>
          <cell r="D4229">
            <v>8112.55</v>
          </cell>
          <cell r="E4229">
            <v>8053.25</v>
          </cell>
          <cell r="F4229">
            <v>8061.3</v>
          </cell>
        </row>
        <row r="4230">
          <cell r="B4230">
            <v>42726</v>
          </cell>
          <cell r="C4230">
            <v>8043.85</v>
          </cell>
          <cell r="D4230">
            <v>8046.45</v>
          </cell>
          <cell r="E4230">
            <v>7964.95</v>
          </cell>
          <cell r="F4230">
            <v>7979.1</v>
          </cell>
        </row>
        <row r="4231">
          <cell r="B4231">
            <v>42727</v>
          </cell>
          <cell r="C4231">
            <v>7972.5</v>
          </cell>
          <cell r="D4231">
            <v>8022.6</v>
          </cell>
          <cell r="E4231">
            <v>7942.05</v>
          </cell>
          <cell r="F4231">
            <v>7985.75</v>
          </cell>
        </row>
        <row r="4232">
          <cell r="B4232">
            <v>42730</v>
          </cell>
          <cell r="C4232">
            <v>7965.1</v>
          </cell>
          <cell r="D4232">
            <v>7970.05</v>
          </cell>
          <cell r="E4232">
            <v>7893.8</v>
          </cell>
          <cell r="F4232">
            <v>7908.25</v>
          </cell>
        </row>
        <row r="4233">
          <cell r="B4233">
            <v>42731</v>
          </cell>
          <cell r="C4233">
            <v>7915.05</v>
          </cell>
          <cell r="D4233">
            <v>8044.65</v>
          </cell>
          <cell r="E4233">
            <v>7903.7</v>
          </cell>
          <cell r="F4233">
            <v>8032.85</v>
          </cell>
        </row>
        <row r="4234">
          <cell r="B4234">
            <v>42732</v>
          </cell>
          <cell r="C4234">
            <v>8047.55</v>
          </cell>
          <cell r="D4234">
            <v>8100.55</v>
          </cell>
          <cell r="E4234">
            <v>8028.4</v>
          </cell>
          <cell r="F4234">
            <v>8034.85</v>
          </cell>
        </row>
        <row r="4235">
          <cell r="B4235">
            <v>42733</v>
          </cell>
          <cell r="C4235">
            <v>8030.6</v>
          </cell>
          <cell r="D4235">
            <v>8111.1</v>
          </cell>
          <cell r="E4235">
            <v>8020.8</v>
          </cell>
          <cell r="F4235">
            <v>8103.6</v>
          </cell>
        </row>
        <row r="4236">
          <cell r="B4236">
            <v>42734</v>
          </cell>
          <cell r="C4236">
            <v>8119.65</v>
          </cell>
          <cell r="D4236">
            <v>8197</v>
          </cell>
          <cell r="E4236">
            <v>8114.75</v>
          </cell>
          <cell r="F4236">
            <v>8185.8</v>
          </cell>
        </row>
        <row r="4237">
          <cell r="B4237">
            <v>42737</v>
          </cell>
          <cell r="C4237">
            <v>8210.1</v>
          </cell>
          <cell r="D4237">
            <v>8212</v>
          </cell>
          <cell r="E4237">
            <v>8133.8</v>
          </cell>
          <cell r="F4237">
            <v>8179.5</v>
          </cell>
        </row>
        <row r="4238">
          <cell r="B4238">
            <v>42738</v>
          </cell>
          <cell r="C4238">
            <v>8196.0499999999993</v>
          </cell>
          <cell r="D4238">
            <v>8219.1</v>
          </cell>
          <cell r="E4238">
            <v>8148.6</v>
          </cell>
          <cell r="F4238">
            <v>8192.25</v>
          </cell>
        </row>
        <row r="4239">
          <cell r="B4239">
            <v>42739</v>
          </cell>
          <cell r="C4239">
            <v>8202.65</v>
          </cell>
          <cell r="D4239">
            <v>8218.5</v>
          </cell>
          <cell r="E4239">
            <v>8180.9</v>
          </cell>
          <cell r="F4239">
            <v>8190.5</v>
          </cell>
        </row>
        <row r="4240">
          <cell r="B4240">
            <v>42740</v>
          </cell>
          <cell r="C4240">
            <v>8226.65</v>
          </cell>
          <cell r="D4240">
            <v>8282.65</v>
          </cell>
          <cell r="E4240">
            <v>8223.7000000000007</v>
          </cell>
          <cell r="F4240">
            <v>8273.7999999999993</v>
          </cell>
        </row>
        <row r="4241">
          <cell r="B4241">
            <v>42741</v>
          </cell>
          <cell r="C4241">
            <v>8281.85</v>
          </cell>
          <cell r="D4241">
            <v>8306.85</v>
          </cell>
          <cell r="E4241">
            <v>8233.25</v>
          </cell>
          <cell r="F4241">
            <v>8243.7999999999993</v>
          </cell>
        </row>
        <row r="4242">
          <cell r="B4242">
            <v>42744</v>
          </cell>
          <cell r="C4242">
            <v>8259.35</v>
          </cell>
          <cell r="D4242">
            <v>8263</v>
          </cell>
          <cell r="E4242">
            <v>8227.75</v>
          </cell>
          <cell r="F4242">
            <v>8236.0499999999993</v>
          </cell>
        </row>
        <row r="4243">
          <cell r="B4243">
            <v>42745</v>
          </cell>
          <cell r="C4243">
            <v>8262.7000000000007</v>
          </cell>
          <cell r="D4243">
            <v>8293.7999999999993</v>
          </cell>
          <cell r="E4243">
            <v>8261</v>
          </cell>
          <cell r="F4243">
            <v>8288.6</v>
          </cell>
        </row>
        <row r="4244">
          <cell r="B4244">
            <v>42746</v>
          </cell>
          <cell r="C4244">
            <v>8327.7999999999993</v>
          </cell>
          <cell r="D4244">
            <v>8389</v>
          </cell>
          <cell r="E4244">
            <v>8322.25</v>
          </cell>
          <cell r="F4244">
            <v>8380.65</v>
          </cell>
        </row>
        <row r="4245">
          <cell r="B4245">
            <v>42747</v>
          </cell>
          <cell r="C4245">
            <v>8391.0499999999993</v>
          </cell>
          <cell r="D4245">
            <v>8417.2000000000007</v>
          </cell>
          <cell r="E4245">
            <v>8382.2999999999993</v>
          </cell>
          <cell r="F4245">
            <v>8407.2000000000007</v>
          </cell>
        </row>
        <row r="4246">
          <cell r="B4246">
            <v>42748</v>
          </cell>
          <cell r="C4246">
            <v>8457.65</v>
          </cell>
          <cell r="D4246">
            <v>8461.0499999999993</v>
          </cell>
          <cell r="E4246">
            <v>8373.15</v>
          </cell>
          <cell r="F4246">
            <v>8400.35</v>
          </cell>
        </row>
        <row r="4247">
          <cell r="B4247">
            <v>42751</v>
          </cell>
          <cell r="C4247">
            <v>8390.9500000000007</v>
          </cell>
          <cell r="D4247">
            <v>8426.7000000000007</v>
          </cell>
          <cell r="E4247">
            <v>8374.4</v>
          </cell>
          <cell r="F4247">
            <v>8412.7999999999993</v>
          </cell>
        </row>
        <row r="4248">
          <cell r="B4248">
            <v>42752</v>
          </cell>
          <cell r="C4248">
            <v>8415.0499999999993</v>
          </cell>
          <cell r="D4248">
            <v>8440.9</v>
          </cell>
          <cell r="E4248">
            <v>8378.2999999999993</v>
          </cell>
          <cell r="F4248">
            <v>8398</v>
          </cell>
        </row>
        <row r="4249">
          <cell r="B4249">
            <v>42753</v>
          </cell>
          <cell r="C4249">
            <v>8403.85</v>
          </cell>
          <cell r="D4249">
            <v>8460.2999999999993</v>
          </cell>
          <cell r="E4249">
            <v>8397.4</v>
          </cell>
          <cell r="F4249">
            <v>8417</v>
          </cell>
        </row>
        <row r="4250">
          <cell r="B4250">
            <v>42754</v>
          </cell>
          <cell r="C4250">
            <v>8418.4</v>
          </cell>
          <cell r="D4250">
            <v>8445.15</v>
          </cell>
          <cell r="E4250">
            <v>8404.0499999999993</v>
          </cell>
          <cell r="F4250">
            <v>8435.1</v>
          </cell>
        </row>
        <row r="4251">
          <cell r="B4251">
            <v>42755</v>
          </cell>
          <cell r="C4251">
            <v>8404.35</v>
          </cell>
          <cell r="D4251">
            <v>8423.65</v>
          </cell>
          <cell r="E4251">
            <v>8340.9500000000007</v>
          </cell>
          <cell r="F4251">
            <v>8349.35</v>
          </cell>
        </row>
        <row r="4252">
          <cell r="B4252">
            <v>42758</v>
          </cell>
          <cell r="C4252">
            <v>8329.6</v>
          </cell>
          <cell r="D4252">
            <v>8404.15</v>
          </cell>
          <cell r="E4252">
            <v>8327.2000000000007</v>
          </cell>
          <cell r="F4252">
            <v>8391.5</v>
          </cell>
        </row>
        <row r="4253">
          <cell r="B4253">
            <v>42759</v>
          </cell>
          <cell r="C4253">
            <v>8407.0499999999993</v>
          </cell>
          <cell r="D4253">
            <v>8480.9500000000007</v>
          </cell>
          <cell r="E4253">
            <v>8398.15</v>
          </cell>
          <cell r="F4253">
            <v>8475.7999999999993</v>
          </cell>
        </row>
        <row r="4254">
          <cell r="B4254">
            <v>42760</v>
          </cell>
          <cell r="C4254">
            <v>8499.4500000000007</v>
          </cell>
          <cell r="D4254">
            <v>8612.6</v>
          </cell>
          <cell r="E4254">
            <v>8493.9500000000007</v>
          </cell>
          <cell r="F4254">
            <v>8602.75</v>
          </cell>
        </row>
        <row r="4255">
          <cell r="B4255">
            <v>42762</v>
          </cell>
          <cell r="C4255">
            <v>8610.5</v>
          </cell>
          <cell r="D4255">
            <v>8672.7000000000007</v>
          </cell>
          <cell r="E4255">
            <v>8606.9</v>
          </cell>
          <cell r="F4255">
            <v>8641.25</v>
          </cell>
        </row>
        <row r="4256">
          <cell r="B4256">
            <v>42765</v>
          </cell>
          <cell r="C4256">
            <v>8635.5499999999993</v>
          </cell>
          <cell r="D4256">
            <v>8662.6</v>
          </cell>
          <cell r="E4256">
            <v>8617.75</v>
          </cell>
          <cell r="F4256">
            <v>8632.75</v>
          </cell>
        </row>
        <row r="4257">
          <cell r="B4257">
            <v>42766</v>
          </cell>
          <cell r="C4257">
            <v>8629.4500000000007</v>
          </cell>
          <cell r="D4257">
            <v>8631.75</v>
          </cell>
          <cell r="E4257">
            <v>8552.4</v>
          </cell>
          <cell r="F4257">
            <v>8561.2999999999993</v>
          </cell>
        </row>
        <row r="4258">
          <cell r="B4258">
            <v>42767</v>
          </cell>
          <cell r="C4258">
            <v>8570.35</v>
          </cell>
          <cell r="D4258">
            <v>8722.4</v>
          </cell>
          <cell r="E4258">
            <v>8537.5</v>
          </cell>
          <cell r="F4258">
            <v>8716.4</v>
          </cell>
        </row>
        <row r="4259">
          <cell r="B4259">
            <v>42768</v>
          </cell>
          <cell r="C4259">
            <v>8724.75</v>
          </cell>
          <cell r="D4259">
            <v>8757.6</v>
          </cell>
          <cell r="E4259">
            <v>8685.7999999999993</v>
          </cell>
          <cell r="F4259">
            <v>8734.25</v>
          </cell>
        </row>
        <row r="4260">
          <cell r="B4260">
            <v>42769</v>
          </cell>
          <cell r="C4260">
            <v>8735.15</v>
          </cell>
          <cell r="D4260">
            <v>8748.25</v>
          </cell>
          <cell r="E4260">
            <v>8707.75</v>
          </cell>
          <cell r="F4260">
            <v>8740.9500000000007</v>
          </cell>
        </row>
        <row r="4261">
          <cell r="B4261">
            <v>42772</v>
          </cell>
          <cell r="C4261">
            <v>8785.4500000000007</v>
          </cell>
          <cell r="D4261">
            <v>8814.1</v>
          </cell>
          <cell r="E4261">
            <v>8770.2000000000007</v>
          </cell>
          <cell r="F4261">
            <v>8801.0499999999993</v>
          </cell>
        </row>
        <row r="4262">
          <cell r="B4262">
            <v>42773</v>
          </cell>
          <cell r="C4262">
            <v>8805.7000000000007</v>
          </cell>
          <cell r="D4262">
            <v>8809.2999999999993</v>
          </cell>
          <cell r="E4262">
            <v>8741.0499999999993</v>
          </cell>
          <cell r="F4262">
            <v>8768.2999999999993</v>
          </cell>
        </row>
        <row r="4263">
          <cell r="B4263">
            <v>42774</v>
          </cell>
          <cell r="C4263">
            <v>8774.5499999999993</v>
          </cell>
          <cell r="D4263">
            <v>8791.25</v>
          </cell>
          <cell r="E4263">
            <v>8715</v>
          </cell>
          <cell r="F4263">
            <v>8769.0499999999993</v>
          </cell>
        </row>
        <row r="4264">
          <cell r="B4264">
            <v>42775</v>
          </cell>
          <cell r="C4264">
            <v>8795.5499999999993</v>
          </cell>
          <cell r="D4264">
            <v>8821.4</v>
          </cell>
          <cell r="E4264">
            <v>8724.1</v>
          </cell>
          <cell r="F4264">
            <v>8778.4</v>
          </cell>
        </row>
        <row r="4265">
          <cell r="B4265">
            <v>42776</v>
          </cell>
          <cell r="C4265">
            <v>8812.35</v>
          </cell>
          <cell r="D4265">
            <v>8822.1</v>
          </cell>
          <cell r="E4265">
            <v>8771.2000000000007</v>
          </cell>
          <cell r="F4265">
            <v>8793.5499999999993</v>
          </cell>
        </row>
        <row r="4266">
          <cell r="B4266">
            <v>42779</v>
          </cell>
          <cell r="C4266">
            <v>8819.7999999999993</v>
          </cell>
          <cell r="D4266">
            <v>8826.9</v>
          </cell>
          <cell r="E4266">
            <v>8754.2000000000007</v>
          </cell>
          <cell r="F4266">
            <v>8805.0499999999993</v>
          </cell>
        </row>
        <row r="4267">
          <cell r="B4267">
            <v>42780</v>
          </cell>
          <cell r="C4267">
            <v>8819.9</v>
          </cell>
          <cell r="D4267">
            <v>8820.4500000000007</v>
          </cell>
          <cell r="E4267">
            <v>8772.5</v>
          </cell>
          <cell r="F4267">
            <v>8792.2999999999993</v>
          </cell>
        </row>
        <row r="4268">
          <cell r="B4268">
            <v>42781</v>
          </cell>
          <cell r="C4268">
            <v>8778.9500000000007</v>
          </cell>
          <cell r="D4268">
            <v>8807.9</v>
          </cell>
          <cell r="E4268">
            <v>8712.85</v>
          </cell>
          <cell r="F4268">
            <v>8724.7000000000007</v>
          </cell>
        </row>
        <row r="4269">
          <cell r="B4269">
            <v>42782</v>
          </cell>
          <cell r="C4269">
            <v>8739</v>
          </cell>
          <cell r="D4269">
            <v>8783.9500000000007</v>
          </cell>
          <cell r="E4269">
            <v>8719.6</v>
          </cell>
          <cell r="F4269">
            <v>8778</v>
          </cell>
        </row>
        <row r="4270">
          <cell r="B4270">
            <v>42783</v>
          </cell>
          <cell r="C4270">
            <v>8883.7000000000007</v>
          </cell>
          <cell r="D4270">
            <v>8896.4500000000007</v>
          </cell>
          <cell r="E4270">
            <v>8804.25</v>
          </cell>
          <cell r="F4270">
            <v>8821.7000000000007</v>
          </cell>
        </row>
        <row r="4271">
          <cell r="B4271">
            <v>42786</v>
          </cell>
          <cell r="C4271">
            <v>8818.5499999999993</v>
          </cell>
          <cell r="D4271">
            <v>8886.25</v>
          </cell>
          <cell r="E4271">
            <v>8809.7999999999993</v>
          </cell>
          <cell r="F4271">
            <v>8879.2000000000007</v>
          </cell>
        </row>
        <row r="4272">
          <cell r="B4272">
            <v>42787</v>
          </cell>
          <cell r="C4272">
            <v>8890.75</v>
          </cell>
          <cell r="D4272">
            <v>8920.7999999999993</v>
          </cell>
          <cell r="E4272">
            <v>8860.9500000000007</v>
          </cell>
          <cell r="F4272">
            <v>8907.85</v>
          </cell>
        </row>
        <row r="4273">
          <cell r="B4273">
            <v>42788</v>
          </cell>
          <cell r="C4273">
            <v>8931.6</v>
          </cell>
          <cell r="D4273">
            <v>8960.75</v>
          </cell>
          <cell r="E4273">
            <v>8905.25</v>
          </cell>
          <cell r="F4273">
            <v>8926.9</v>
          </cell>
        </row>
        <row r="4274">
          <cell r="B4274">
            <v>42789</v>
          </cell>
          <cell r="C4274">
            <v>8956.4</v>
          </cell>
          <cell r="D4274">
            <v>8982.15</v>
          </cell>
          <cell r="E4274">
            <v>8927.5499999999993</v>
          </cell>
          <cell r="F4274">
            <v>8939.5</v>
          </cell>
        </row>
        <row r="4275">
          <cell r="B4275">
            <v>42793</v>
          </cell>
          <cell r="C4275">
            <v>8943.7000000000007</v>
          </cell>
          <cell r="D4275">
            <v>8951.7999999999993</v>
          </cell>
          <cell r="E4275">
            <v>8888.65</v>
          </cell>
          <cell r="F4275">
            <v>8896.7000000000007</v>
          </cell>
        </row>
        <row r="4276">
          <cell r="B4276">
            <v>42794</v>
          </cell>
          <cell r="C4276">
            <v>8898.9500000000007</v>
          </cell>
          <cell r="D4276">
            <v>8914.75</v>
          </cell>
          <cell r="E4276">
            <v>8867.6</v>
          </cell>
          <cell r="F4276">
            <v>8879.6</v>
          </cell>
        </row>
        <row r="4277">
          <cell r="B4277">
            <v>42795</v>
          </cell>
          <cell r="C4277">
            <v>8904.4</v>
          </cell>
          <cell r="D4277">
            <v>8960.7999999999993</v>
          </cell>
          <cell r="E4277">
            <v>8898.6</v>
          </cell>
          <cell r="F4277">
            <v>8945.7999999999993</v>
          </cell>
        </row>
        <row r="4278">
          <cell r="B4278">
            <v>42796</v>
          </cell>
          <cell r="C4278">
            <v>8982.85</v>
          </cell>
          <cell r="D4278">
            <v>8992.5</v>
          </cell>
          <cell r="E4278">
            <v>8879.7999999999993</v>
          </cell>
          <cell r="F4278">
            <v>8899.75</v>
          </cell>
        </row>
        <row r="4279">
          <cell r="B4279">
            <v>42797</v>
          </cell>
          <cell r="C4279">
            <v>8883.5</v>
          </cell>
          <cell r="D4279">
            <v>8907.1</v>
          </cell>
          <cell r="E4279">
            <v>8860.1</v>
          </cell>
          <cell r="F4279">
            <v>8897.5499999999993</v>
          </cell>
        </row>
        <row r="4280">
          <cell r="B4280">
            <v>42800</v>
          </cell>
          <cell r="C4280">
            <v>8915.1</v>
          </cell>
          <cell r="D4280">
            <v>8967.7999999999993</v>
          </cell>
          <cell r="E4280">
            <v>8914</v>
          </cell>
          <cell r="F4280">
            <v>8963.4500000000007</v>
          </cell>
        </row>
        <row r="4281">
          <cell r="B4281">
            <v>42801</v>
          </cell>
          <cell r="C4281">
            <v>8977.75</v>
          </cell>
          <cell r="D4281">
            <v>8977.85</v>
          </cell>
          <cell r="E4281">
            <v>8932.7999999999993</v>
          </cell>
          <cell r="F4281">
            <v>8946.9</v>
          </cell>
        </row>
        <row r="4282">
          <cell r="B4282">
            <v>42802</v>
          </cell>
          <cell r="C4282">
            <v>8950.7000000000007</v>
          </cell>
          <cell r="D4282">
            <v>8957.0499999999993</v>
          </cell>
          <cell r="E4282">
            <v>8891.9500000000007</v>
          </cell>
          <cell r="F4282">
            <v>8924.2999999999993</v>
          </cell>
        </row>
        <row r="4283">
          <cell r="B4283">
            <v>42803</v>
          </cell>
          <cell r="C4283">
            <v>8914.5</v>
          </cell>
          <cell r="D4283">
            <v>8945.7999999999993</v>
          </cell>
          <cell r="E4283">
            <v>8899.5</v>
          </cell>
          <cell r="F4283">
            <v>8927</v>
          </cell>
        </row>
        <row r="4284">
          <cell r="B4284">
            <v>42804</v>
          </cell>
          <cell r="C4284">
            <v>8953.7000000000007</v>
          </cell>
          <cell r="D4284">
            <v>8975.7000000000007</v>
          </cell>
          <cell r="E4284">
            <v>8903.9500000000007</v>
          </cell>
          <cell r="F4284">
            <v>8934.5499999999993</v>
          </cell>
        </row>
        <row r="4285">
          <cell r="B4285">
            <v>42808</v>
          </cell>
          <cell r="C4285">
            <v>9091.65</v>
          </cell>
          <cell r="D4285">
            <v>9122.75</v>
          </cell>
          <cell r="E4285">
            <v>9060.5</v>
          </cell>
          <cell r="F4285">
            <v>9087</v>
          </cell>
        </row>
        <row r="4286">
          <cell r="B4286">
            <v>42809</v>
          </cell>
          <cell r="C4286">
            <v>9086.85</v>
          </cell>
          <cell r="D4286">
            <v>9106.5499999999993</v>
          </cell>
          <cell r="E4286">
            <v>9075.5</v>
          </cell>
          <cell r="F4286">
            <v>9084.7999999999993</v>
          </cell>
        </row>
        <row r="4287">
          <cell r="B4287">
            <v>42810</v>
          </cell>
          <cell r="C4287">
            <v>9129.65</v>
          </cell>
          <cell r="D4287">
            <v>9158.4500000000007</v>
          </cell>
          <cell r="E4287">
            <v>9128.5499999999993</v>
          </cell>
          <cell r="F4287">
            <v>9153.7000000000007</v>
          </cell>
        </row>
        <row r="4288">
          <cell r="B4288">
            <v>42811</v>
          </cell>
          <cell r="C4288">
            <v>9207.7999999999993</v>
          </cell>
          <cell r="D4288">
            <v>9218.4</v>
          </cell>
          <cell r="E4288">
            <v>9147.6</v>
          </cell>
          <cell r="F4288">
            <v>9160.0499999999993</v>
          </cell>
        </row>
        <row r="4289">
          <cell r="B4289">
            <v>42814</v>
          </cell>
          <cell r="C4289">
            <v>9166.9500000000007</v>
          </cell>
          <cell r="D4289">
            <v>9167.6</v>
          </cell>
          <cell r="E4289">
            <v>9116.2999999999993</v>
          </cell>
          <cell r="F4289">
            <v>9126.85</v>
          </cell>
        </row>
        <row r="4290">
          <cell r="B4290">
            <v>42815</v>
          </cell>
          <cell r="C4290">
            <v>9133.9500000000007</v>
          </cell>
          <cell r="D4290">
            <v>9147.75</v>
          </cell>
          <cell r="E4290">
            <v>9087.2000000000007</v>
          </cell>
          <cell r="F4290">
            <v>9121.5</v>
          </cell>
        </row>
        <row r="4291">
          <cell r="B4291">
            <v>42816</v>
          </cell>
          <cell r="C4291">
            <v>9047.2000000000007</v>
          </cell>
          <cell r="D4291">
            <v>9072.9</v>
          </cell>
          <cell r="E4291">
            <v>9019.2999999999993</v>
          </cell>
          <cell r="F4291">
            <v>9030.4500000000007</v>
          </cell>
        </row>
        <row r="4292">
          <cell r="B4292">
            <v>42817</v>
          </cell>
          <cell r="C4292">
            <v>9048.75</v>
          </cell>
          <cell r="D4292">
            <v>9099.0499999999993</v>
          </cell>
          <cell r="E4292">
            <v>9048.6</v>
          </cell>
          <cell r="F4292">
            <v>9086.2999999999993</v>
          </cell>
        </row>
        <row r="4293">
          <cell r="B4293">
            <v>42818</v>
          </cell>
          <cell r="C4293">
            <v>9104</v>
          </cell>
          <cell r="D4293">
            <v>9133.5499999999993</v>
          </cell>
          <cell r="E4293">
            <v>9089.4</v>
          </cell>
          <cell r="F4293">
            <v>9108</v>
          </cell>
        </row>
        <row r="4294">
          <cell r="B4294">
            <v>42821</v>
          </cell>
          <cell r="C4294">
            <v>9093.4500000000007</v>
          </cell>
          <cell r="D4294">
            <v>9094.85</v>
          </cell>
          <cell r="E4294">
            <v>9024.65</v>
          </cell>
          <cell r="F4294">
            <v>9045.2000000000007</v>
          </cell>
        </row>
        <row r="4295">
          <cell r="B4295">
            <v>42822</v>
          </cell>
          <cell r="C4295">
            <v>9081.5</v>
          </cell>
          <cell r="D4295">
            <v>9110.4</v>
          </cell>
          <cell r="E4295">
            <v>9079.7999999999993</v>
          </cell>
          <cell r="F4295">
            <v>9100.7999999999993</v>
          </cell>
        </row>
        <row r="4296">
          <cell r="B4296">
            <v>42823</v>
          </cell>
          <cell r="C4296">
            <v>9128.7000000000007</v>
          </cell>
          <cell r="D4296">
            <v>9153.15</v>
          </cell>
          <cell r="E4296">
            <v>9109.1</v>
          </cell>
          <cell r="F4296">
            <v>9143.7999999999993</v>
          </cell>
        </row>
        <row r="4297">
          <cell r="B4297">
            <v>42824</v>
          </cell>
          <cell r="C4297">
            <v>9142.6</v>
          </cell>
          <cell r="D4297">
            <v>9183.15</v>
          </cell>
          <cell r="E4297">
            <v>9136.35</v>
          </cell>
          <cell r="F4297">
            <v>9173.75</v>
          </cell>
        </row>
        <row r="4298">
          <cell r="B4298">
            <v>42825</v>
          </cell>
          <cell r="C4298">
            <v>9158.9</v>
          </cell>
          <cell r="D4298">
            <v>9191.7000000000007</v>
          </cell>
          <cell r="E4298">
            <v>9152.1</v>
          </cell>
          <cell r="F4298">
            <v>9173.75</v>
          </cell>
        </row>
        <row r="4299">
          <cell r="B4299">
            <v>42828</v>
          </cell>
          <cell r="C4299">
            <v>9220.6</v>
          </cell>
          <cell r="D4299">
            <v>9245.35</v>
          </cell>
          <cell r="E4299">
            <v>9192.4</v>
          </cell>
          <cell r="F4299">
            <v>9237.85</v>
          </cell>
        </row>
        <row r="4300">
          <cell r="B4300">
            <v>42830</v>
          </cell>
          <cell r="C4300">
            <v>9264.4</v>
          </cell>
          <cell r="D4300">
            <v>9273.9</v>
          </cell>
          <cell r="E4300">
            <v>9215.4</v>
          </cell>
          <cell r="F4300">
            <v>9265.15</v>
          </cell>
        </row>
        <row r="4301">
          <cell r="B4301">
            <v>42831</v>
          </cell>
          <cell r="C4301">
            <v>9245.7999999999993</v>
          </cell>
          <cell r="D4301">
            <v>9267.9500000000007</v>
          </cell>
          <cell r="E4301">
            <v>9218.85</v>
          </cell>
          <cell r="F4301">
            <v>9261.9500000000007</v>
          </cell>
        </row>
        <row r="4302">
          <cell r="B4302">
            <v>42832</v>
          </cell>
          <cell r="C4302">
            <v>9223.7000000000007</v>
          </cell>
          <cell r="D4302">
            <v>9250.5</v>
          </cell>
          <cell r="E4302">
            <v>9188.1</v>
          </cell>
          <cell r="F4302">
            <v>9198.2999999999993</v>
          </cell>
        </row>
        <row r="4303">
          <cell r="B4303">
            <v>42835</v>
          </cell>
          <cell r="C4303">
            <v>9225.6</v>
          </cell>
          <cell r="D4303">
            <v>9225.65</v>
          </cell>
          <cell r="E4303">
            <v>9174.85</v>
          </cell>
          <cell r="F4303">
            <v>9181.4500000000007</v>
          </cell>
        </row>
        <row r="4304">
          <cell r="B4304">
            <v>42836</v>
          </cell>
          <cell r="C4304">
            <v>9184.5499999999993</v>
          </cell>
          <cell r="D4304">
            <v>9242.7000000000007</v>
          </cell>
          <cell r="E4304">
            <v>9172.85</v>
          </cell>
          <cell r="F4304">
            <v>9237</v>
          </cell>
        </row>
        <row r="4305">
          <cell r="B4305">
            <v>42837</v>
          </cell>
          <cell r="C4305">
            <v>9242.5</v>
          </cell>
          <cell r="D4305">
            <v>9246.4</v>
          </cell>
          <cell r="E4305">
            <v>9161.7999999999993</v>
          </cell>
          <cell r="F4305">
            <v>9203.4500000000007</v>
          </cell>
        </row>
        <row r="4306">
          <cell r="B4306">
            <v>42838</v>
          </cell>
          <cell r="C4306">
            <v>9202.5</v>
          </cell>
          <cell r="D4306">
            <v>9202.65</v>
          </cell>
          <cell r="E4306">
            <v>9144.9500000000007</v>
          </cell>
          <cell r="F4306">
            <v>9150.7999999999993</v>
          </cell>
        </row>
        <row r="4307">
          <cell r="B4307">
            <v>42842</v>
          </cell>
          <cell r="C4307">
            <v>9144.75</v>
          </cell>
          <cell r="D4307">
            <v>9160</v>
          </cell>
          <cell r="E4307">
            <v>9120.25</v>
          </cell>
          <cell r="F4307">
            <v>9139.2999999999993</v>
          </cell>
        </row>
        <row r="4308">
          <cell r="B4308">
            <v>42843</v>
          </cell>
          <cell r="C4308">
            <v>9163</v>
          </cell>
          <cell r="D4308">
            <v>9217.9</v>
          </cell>
          <cell r="E4308">
            <v>9095.4500000000007</v>
          </cell>
          <cell r="F4308">
            <v>9105.15</v>
          </cell>
        </row>
        <row r="4309">
          <cell r="B4309">
            <v>42844</v>
          </cell>
          <cell r="C4309">
            <v>9112.2000000000007</v>
          </cell>
          <cell r="D4309">
            <v>9120.5</v>
          </cell>
          <cell r="E4309">
            <v>9075.15</v>
          </cell>
          <cell r="F4309">
            <v>9103.5</v>
          </cell>
        </row>
        <row r="4310">
          <cell r="B4310">
            <v>42845</v>
          </cell>
          <cell r="C4310">
            <v>9108.1</v>
          </cell>
          <cell r="D4310">
            <v>9143.9</v>
          </cell>
          <cell r="E4310">
            <v>9102.65</v>
          </cell>
          <cell r="F4310">
            <v>9136.4</v>
          </cell>
        </row>
        <row r="4311">
          <cell r="B4311">
            <v>42846</v>
          </cell>
          <cell r="C4311">
            <v>9179.1</v>
          </cell>
          <cell r="D4311">
            <v>9183.65</v>
          </cell>
          <cell r="E4311">
            <v>9088.75</v>
          </cell>
          <cell r="F4311">
            <v>9119.4</v>
          </cell>
        </row>
        <row r="4312">
          <cell r="B4312">
            <v>42849</v>
          </cell>
          <cell r="C4312">
            <v>9135.35</v>
          </cell>
          <cell r="D4312">
            <v>9225.4</v>
          </cell>
          <cell r="E4312">
            <v>9130.5499999999993</v>
          </cell>
          <cell r="F4312">
            <v>9217.9500000000007</v>
          </cell>
        </row>
        <row r="4313">
          <cell r="B4313">
            <v>42850</v>
          </cell>
          <cell r="C4313">
            <v>9273.0499999999993</v>
          </cell>
          <cell r="D4313">
            <v>9309.2000000000007</v>
          </cell>
          <cell r="E4313">
            <v>9250.35</v>
          </cell>
          <cell r="F4313">
            <v>9306.6</v>
          </cell>
        </row>
        <row r="4314">
          <cell r="B4314">
            <v>42851</v>
          </cell>
          <cell r="C4314">
            <v>9336.2000000000007</v>
          </cell>
          <cell r="D4314">
            <v>9367</v>
          </cell>
          <cell r="E4314">
            <v>9301.35</v>
          </cell>
          <cell r="F4314">
            <v>9351.85</v>
          </cell>
        </row>
        <row r="4315">
          <cell r="B4315">
            <v>42852</v>
          </cell>
          <cell r="C4315">
            <v>9359.15</v>
          </cell>
          <cell r="D4315">
            <v>9367.15</v>
          </cell>
          <cell r="E4315">
            <v>9322.65</v>
          </cell>
          <cell r="F4315">
            <v>9342.15</v>
          </cell>
        </row>
        <row r="4316">
          <cell r="B4316">
            <v>42853</v>
          </cell>
          <cell r="C4316">
            <v>9340.9500000000007</v>
          </cell>
          <cell r="D4316">
            <v>9342.65</v>
          </cell>
          <cell r="E4316">
            <v>9282.25</v>
          </cell>
          <cell r="F4316">
            <v>9304.0499999999993</v>
          </cell>
        </row>
        <row r="4317">
          <cell r="B4317">
            <v>42857</v>
          </cell>
          <cell r="C4317">
            <v>9339.85</v>
          </cell>
          <cell r="D4317">
            <v>9352.5499999999993</v>
          </cell>
          <cell r="E4317">
            <v>9269.9</v>
          </cell>
          <cell r="F4317">
            <v>9313.7999999999993</v>
          </cell>
        </row>
        <row r="4318">
          <cell r="B4318">
            <v>42858</v>
          </cell>
          <cell r="C4318">
            <v>9344.7000000000007</v>
          </cell>
          <cell r="D4318">
            <v>9346.2999999999993</v>
          </cell>
          <cell r="E4318">
            <v>9298.4</v>
          </cell>
          <cell r="F4318">
            <v>9311.9500000000007</v>
          </cell>
        </row>
        <row r="4319">
          <cell r="B4319">
            <v>42859</v>
          </cell>
          <cell r="C4319">
            <v>9360.9500000000007</v>
          </cell>
          <cell r="D4319">
            <v>9365.65</v>
          </cell>
          <cell r="E4319">
            <v>9323.25</v>
          </cell>
          <cell r="F4319">
            <v>9359.9</v>
          </cell>
        </row>
        <row r="4320">
          <cell r="B4320">
            <v>42860</v>
          </cell>
          <cell r="C4320">
            <v>9374.5499999999993</v>
          </cell>
          <cell r="D4320">
            <v>9377.1</v>
          </cell>
          <cell r="E4320">
            <v>9272</v>
          </cell>
          <cell r="F4320">
            <v>9285.2999999999993</v>
          </cell>
        </row>
        <row r="4321">
          <cell r="B4321">
            <v>42863</v>
          </cell>
          <cell r="C4321">
            <v>9311.4500000000007</v>
          </cell>
          <cell r="D4321">
            <v>9338.7000000000007</v>
          </cell>
          <cell r="E4321">
            <v>9297.9500000000007</v>
          </cell>
          <cell r="F4321">
            <v>9314.0499999999993</v>
          </cell>
        </row>
        <row r="4322">
          <cell r="B4322">
            <v>42864</v>
          </cell>
          <cell r="C4322">
            <v>9337.35</v>
          </cell>
          <cell r="D4322">
            <v>9338.9500000000007</v>
          </cell>
          <cell r="E4322">
            <v>9307.7000000000007</v>
          </cell>
          <cell r="F4322">
            <v>9316.85</v>
          </cell>
        </row>
        <row r="4323">
          <cell r="B4323">
            <v>42865</v>
          </cell>
          <cell r="C4323">
            <v>9339.65</v>
          </cell>
          <cell r="D4323">
            <v>9414.75</v>
          </cell>
          <cell r="E4323">
            <v>9336</v>
          </cell>
          <cell r="F4323">
            <v>9407.2999999999993</v>
          </cell>
        </row>
        <row r="4324">
          <cell r="B4324">
            <v>42866</v>
          </cell>
          <cell r="C4324">
            <v>9448.6</v>
          </cell>
          <cell r="D4324">
            <v>9450.65</v>
          </cell>
          <cell r="E4324">
            <v>9411.2999999999993</v>
          </cell>
          <cell r="F4324">
            <v>9422.4</v>
          </cell>
        </row>
        <row r="4325">
          <cell r="B4325">
            <v>42867</v>
          </cell>
          <cell r="C4325">
            <v>9436.65</v>
          </cell>
          <cell r="D4325">
            <v>9437.75</v>
          </cell>
          <cell r="E4325">
            <v>9372.5499999999993</v>
          </cell>
          <cell r="F4325">
            <v>9400.9</v>
          </cell>
        </row>
        <row r="4326">
          <cell r="B4326">
            <v>42870</v>
          </cell>
          <cell r="C4326">
            <v>9433.5499999999993</v>
          </cell>
          <cell r="D4326">
            <v>9449.25</v>
          </cell>
          <cell r="E4326">
            <v>9423.1</v>
          </cell>
          <cell r="F4326">
            <v>9445.4</v>
          </cell>
        </row>
        <row r="4327">
          <cell r="B4327">
            <v>42871</v>
          </cell>
          <cell r="C4327">
            <v>9461</v>
          </cell>
          <cell r="D4327">
            <v>9517.2000000000007</v>
          </cell>
          <cell r="E4327">
            <v>9456.35</v>
          </cell>
          <cell r="F4327">
            <v>9512.25</v>
          </cell>
        </row>
        <row r="4328">
          <cell r="B4328">
            <v>42872</v>
          </cell>
          <cell r="C4328">
            <v>9517.6</v>
          </cell>
          <cell r="D4328">
            <v>9532.6</v>
          </cell>
          <cell r="E4328">
            <v>9486.1</v>
          </cell>
          <cell r="F4328">
            <v>9525.75</v>
          </cell>
        </row>
        <row r="4329">
          <cell r="B4329">
            <v>42873</v>
          </cell>
          <cell r="C4329">
            <v>9453.2000000000007</v>
          </cell>
          <cell r="D4329">
            <v>9489.1</v>
          </cell>
          <cell r="E4329">
            <v>9418.1</v>
          </cell>
          <cell r="F4329">
            <v>9429.4500000000007</v>
          </cell>
        </row>
        <row r="4330">
          <cell r="B4330">
            <v>42874</v>
          </cell>
          <cell r="C4330">
            <v>9469.9</v>
          </cell>
          <cell r="D4330">
            <v>9505.75</v>
          </cell>
          <cell r="E4330">
            <v>9390.75</v>
          </cell>
          <cell r="F4330">
            <v>9427.9</v>
          </cell>
        </row>
        <row r="4331">
          <cell r="B4331">
            <v>42877</v>
          </cell>
          <cell r="C4331">
            <v>9480.25</v>
          </cell>
          <cell r="D4331">
            <v>9498.65</v>
          </cell>
          <cell r="E4331">
            <v>9427.9</v>
          </cell>
          <cell r="F4331">
            <v>9438.25</v>
          </cell>
        </row>
        <row r="4332">
          <cell r="B4332">
            <v>42878</v>
          </cell>
          <cell r="C4332">
            <v>9445.0499999999993</v>
          </cell>
          <cell r="D4332">
            <v>9448.0499999999993</v>
          </cell>
          <cell r="E4332">
            <v>9370</v>
          </cell>
          <cell r="F4332">
            <v>9386.15</v>
          </cell>
        </row>
        <row r="4333">
          <cell r="B4333">
            <v>42879</v>
          </cell>
          <cell r="C4333">
            <v>9410.9</v>
          </cell>
          <cell r="D4333">
            <v>9431.9</v>
          </cell>
          <cell r="E4333">
            <v>9341.65</v>
          </cell>
          <cell r="F4333">
            <v>9360.5499999999993</v>
          </cell>
        </row>
        <row r="4334">
          <cell r="B4334">
            <v>42880</v>
          </cell>
          <cell r="C4334">
            <v>9384.0499999999993</v>
          </cell>
          <cell r="D4334">
            <v>9523.2999999999993</v>
          </cell>
          <cell r="E4334">
            <v>9379.2000000000007</v>
          </cell>
          <cell r="F4334">
            <v>9509.75</v>
          </cell>
        </row>
        <row r="4335">
          <cell r="B4335">
            <v>42881</v>
          </cell>
          <cell r="C4335">
            <v>9507.75</v>
          </cell>
          <cell r="D4335">
            <v>9604.9</v>
          </cell>
          <cell r="E4335">
            <v>9495.4</v>
          </cell>
          <cell r="F4335">
            <v>9595.1</v>
          </cell>
        </row>
        <row r="4336">
          <cell r="B4336">
            <v>42884</v>
          </cell>
          <cell r="C4336">
            <v>9560.0499999999993</v>
          </cell>
          <cell r="D4336">
            <v>9637.75</v>
          </cell>
          <cell r="E4336">
            <v>9547.7000000000007</v>
          </cell>
          <cell r="F4336">
            <v>9604.9</v>
          </cell>
        </row>
        <row r="4337">
          <cell r="B4337">
            <v>42885</v>
          </cell>
          <cell r="C4337">
            <v>9590.65</v>
          </cell>
          <cell r="D4337">
            <v>9635.2999999999993</v>
          </cell>
          <cell r="E4337">
            <v>9581.2000000000007</v>
          </cell>
          <cell r="F4337">
            <v>9624.5499999999993</v>
          </cell>
        </row>
        <row r="4338">
          <cell r="B4338">
            <v>42886</v>
          </cell>
          <cell r="C4338">
            <v>9636.5499999999993</v>
          </cell>
          <cell r="D4338">
            <v>9649.6</v>
          </cell>
          <cell r="E4338">
            <v>9609.25</v>
          </cell>
          <cell r="F4338">
            <v>9621.25</v>
          </cell>
        </row>
        <row r="4339">
          <cell r="B4339">
            <v>42887</v>
          </cell>
          <cell r="C4339">
            <v>9603.5499999999993</v>
          </cell>
          <cell r="D4339">
            <v>9634.65</v>
          </cell>
          <cell r="E4339">
            <v>9589.9</v>
          </cell>
          <cell r="F4339">
            <v>9616.1</v>
          </cell>
        </row>
        <row r="4340">
          <cell r="B4340">
            <v>42888</v>
          </cell>
          <cell r="C4340">
            <v>9657.15</v>
          </cell>
          <cell r="D4340">
            <v>9673.5</v>
          </cell>
          <cell r="E4340">
            <v>9637.4500000000007</v>
          </cell>
          <cell r="F4340">
            <v>9653.5</v>
          </cell>
        </row>
        <row r="4341">
          <cell r="B4341">
            <v>42891</v>
          </cell>
          <cell r="C4341">
            <v>9656.2999999999993</v>
          </cell>
          <cell r="D4341">
            <v>9687.2000000000007</v>
          </cell>
          <cell r="E4341">
            <v>9640.7000000000007</v>
          </cell>
          <cell r="F4341">
            <v>9675.1</v>
          </cell>
        </row>
        <row r="4342">
          <cell r="B4342">
            <v>42892</v>
          </cell>
          <cell r="C4342">
            <v>9704.25</v>
          </cell>
          <cell r="D4342">
            <v>9709.2999999999993</v>
          </cell>
          <cell r="E4342">
            <v>9630.2000000000007</v>
          </cell>
          <cell r="F4342">
            <v>9637.15</v>
          </cell>
        </row>
        <row r="4343">
          <cell r="B4343">
            <v>42893</v>
          </cell>
          <cell r="C4343">
            <v>9663.9500000000007</v>
          </cell>
          <cell r="D4343">
            <v>9678.5499999999993</v>
          </cell>
          <cell r="E4343">
            <v>9630.5499999999993</v>
          </cell>
          <cell r="F4343">
            <v>9663.9</v>
          </cell>
        </row>
        <row r="4344">
          <cell r="B4344">
            <v>42894</v>
          </cell>
          <cell r="C4344">
            <v>9682.4</v>
          </cell>
          <cell r="D4344">
            <v>9688.7000000000007</v>
          </cell>
          <cell r="E4344">
            <v>9641.5</v>
          </cell>
          <cell r="F4344">
            <v>9647.25</v>
          </cell>
        </row>
        <row r="4345">
          <cell r="B4345">
            <v>42895</v>
          </cell>
          <cell r="C4345">
            <v>9638.5499999999993</v>
          </cell>
          <cell r="D4345">
            <v>9676.25</v>
          </cell>
          <cell r="E4345">
            <v>9608.15</v>
          </cell>
          <cell r="F4345">
            <v>9668.25</v>
          </cell>
        </row>
        <row r="4346">
          <cell r="B4346">
            <v>42898</v>
          </cell>
          <cell r="C4346">
            <v>9646.7000000000007</v>
          </cell>
          <cell r="D4346">
            <v>9647.0499999999993</v>
          </cell>
          <cell r="E4346">
            <v>9598.5</v>
          </cell>
          <cell r="F4346">
            <v>9616.4</v>
          </cell>
        </row>
        <row r="4347">
          <cell r="B4347">
            <v>42899</v>
          </cell>
          <cell r="C4347">
            <v>9615.5499999999993</v>
          </cell>
          <cell r="D4347">
            <v>9654.15</v>
          </cell>
          <cell r="E4347">
            <v>9595.4</v>
          </cell>
          <cell r="F4347">
            <v>9606.9</v>
          </cell>
        </row>
        <row r="4348">
          <cell r="B4348">
            <v>42900</v>
          </cell>
          <cell r="C4348">
            <v>9621.5499999999993</v>
          </cell>
          <cell r="D4348">
            <v>9627.4</v>
          </cell>
          <cell r="E4348">
            <v>9580.4500000000007</v>
          </cell>
          <cell r="F4348">
            <v>9618.15</v>
          </cell>
        </row>
        <row r="4349">
          <cell r="B4349">
            <v>42901</v>
          </cell>
          <cell r="C4349">
            <v>9617.9</v>
          </cell>
          <cell r="D4349">
            <v>9621.4</v>
          </cell>
          <cell r="E4349">
            <v>9560.7999999999993</v>
          </cell>
          <cell r="F4349">
            <v>9578.0499999999993</v>
          </cell>
        </row>
        <row r="4350">
          <cell r="B4350">
            <v>42902</v>
          </cell>
          <cell r="C4350">
            <v>9595.4500000000007</v>
          </cell>
          <cell r="D4350">
            <v>9615.85</v>
          </cell>
          <cell r="E4350">
            <v>9565.5</v>
          </cell>
          <cell r="F4350">
            <v>9588.0499999999993</v>
          </cell>
        </row>
        <row r="4351">
          <cell r="B4351">
            <v>42905</v>
          </cell>
          <cell r="C4351">
            <v>9626.4</v>
          </cell>
          <cell r="D4351">
            <v>9673.2999999999993</v>
          </cell>
          <cell r="E4351">
            <v>9614.9</v>
          </cell>
          <cell r="F4351">
            <v>9657.5499999999993</v>
          </cell>
        </row>
        <row r="4352">
          <cell r="B4352">
            <v>42906</v>
          </cell>
          <cell r="C4352">
            <v>9670.5</v>
          </cell>
          <cell r="D4352">
            <v>9676.5</v>
          </cell>
          <cell r="E4352">
            <v>9643.75</v>
          </cell>
          <cell r="F4352">
            <v>9653.5</v>
          </cell>
        </row>
        <row r="4353">
          <cell r="B4353">
            <v>42907</v>
          </cell>
          <cell r="C4353">
            <v>9648.1</v>
          </cell>
          <cell r="D4353">
            <v>9650.4500000000007</v>
          </cell>
          <cell r="E4353">
            <v>9608.6</v>
          </cell>
          <cell r="F4353">
            <v>9633.6</v>
          </cell>
        </row>
        <row r="4354">
          <cell r="B4354">
            <v>42908</v>
          </cell>
          <cell r="C4354">
            <v>9642.65</v>
          </cell>
          <cell r="D4354">
            <v>9698.85</v>
          </cell>
          <cell r="E4354">
            <v>9617.75</v>
          </cell>
          <cell r="F4354">
            <v>9630</v>
          </cell>
        </row>
        <row r="4355">
          <cell r="B4355">
            <v>42909</v>
          </cell>
          <cell r="C4355">
            <v>9643.25</v>
          </cell>
          <cell r="D4355">
            <v>9647.65</v>
          </cell>
          <cell r="E4355">
            <v>9565.2999999999993</v>
          </cell>
          <cell r="F4355">
            <v>9574.9500000000007</v>
          </cell>
        </row>
        <row r="4356">
          <cell r="B4356">
            <v>42913</v>
          </cell>
          <cell r="C4356">
            <v>9594.0499999999993</v>
          </cell>
          <cell r="D4356">
            <v>9615.4</v>
          </cell>
          <cell r="E4356">
            <v>9473.4500000000007</v>
          </cell>
          <cell r="F4356">
            <v>9511.4</v>
          </cell>
        </row>
        <row r="4357">
          <cell r="B4357">
            <v>42914</v>
          </cell>
          <cell r="C4357">
            <v>9520.2000000000007</v>
          </cell>
          <cell r="D4357">
            <v>9522.5</v>
          </cell>
          <cell r="E4357">
            <v>9474.35</v>
          </cell>
          <cell r="F4357">
            <v>9491.25</v>
          </cell>
        </row>
        <row r="4358">
          <cell r="B4358">
            <v>42915</v>
          </cell>
          <cell r="C4358">
            <v>9522.9500000000007</v>
          </cell>
          <cell r="D4358">
            <v>9575.7999999999993</v>
          </cell>
          <cell r="E4358">
            <v>9493.7999999999993</v>
          </cell>
          <cell r="F4358">
            <v>9504.1</v>
          </cell>
        </row>
        <row r="4359">
          <cell r="B4359">
            <v>42916</v>
          </cell>
          <cell r="C4359">
            <v>9478.5</v>
          </cell>
          <cell r="D4359">
            <v>9535.7999999999993</v>
          </cell>
          <cell r="E4359">
            <v>9448.75</v>
          </cell>
          <cell r="F4359">
            <v>9520.9</v>
          </cell>
        </row>
        <row r="4360">
          <cell r="B4360">
            <v>42919</v>
          </cell>
          <cell r="C4360">
            <v>9587.9500000000007</v>
          </cell>
          <cell r="D4360">
            <v>9624</v>
          </cell>
          <cell r="E4360">
            <v>9543.5499999999993</v>
          </cell>
          <cell r="F4360">
            <v>9615</v>
          </cell>
        </row>
        <row r="4361">
          <cell r="B4361">
            <v>42920</v>
          </cell>
          <cell r="C4361">
            <v>9645.9</v>
          </cell>
          <cell r="D4361">
            <v>9650.65</v>
          </cell>
          <cell r="E4361">
            <v>9595.5</v>
          </cell>
          <cell r="F4361">
            <v>9613.2999999999993</v>
          </cell>
        </row>
        <row r="4362">
          <cell r="B4362">
            <v>42921</v>
          </cell>
          <cell r="C4362">
            <v>9619.75</v>
          </cell>
          <cell r="D4362">
            <v>9643.65</v>
          </cell>
          <cell r="E4362">
            <v>9607.35</v>
          </cell>
          <cell r="F4362">
            <v>9637.6</v>
          </cell>
        </row>
        <row r="4363">
          <cell r="B4363">
            <v>42922</v>
          </cell>
          <cell r="C4363">
            <v>9653.6</v>
          </cell>
          <cell r="D4363">
            <v>9700.7000000000007</v>
          </cell>
          <cell r="E4363">
            <v>9639.9500000000007</v>
          </cell>
          <cell r="F4363">
            <v>9674.5499999999993</v>
          </cell>
        </row>
        <row r="4364">
          <cell r="B4364">
            <v>42923</v>
          </cell>
          <cell r="C4364">
            <v>9670.35</v>
          </cell>
          <cell r="D4364">
            <v>9684.25</v>
          </cell>
          <cell r="E4364">
            <v>9642.65</v>
          </cell>
          <cell r="F4364">
            <v>9665.7999999999993</v>
          </cell>
        </row>
        <row r="4365">
          <cell r="B4365">
            <v>42926</v>
          </cell>
          <cell r="C4365">
            <v>9719.2999999999993</v>
          </cell>
          <cell r="D4365">
            <v>9782.15</v>
          </cell>
          <cell r="E4365">
            <v>9646.4500000000007</v>
          </cell>
          <cell r="F4365">
            <v>9771.0499999999993</v>
          </cell>
        </row>
        <row r="4366">
          <cell r="B4366">
            <v>42927</v>
          </cell>
          <cell r="C4366">
            <v>9797.4500000000007</v>
          </cell>
          <cell r="D4366">
            <v>9830.0499999999993</v>
          </cell>
          <cell r="E4366">
            <v>9778.85</v>
          </cell>
          <cell r="F4366">
            <v>9786.0499999999993</v>
          </cell>
        </row>
        <row r="4367">
          <cell r="B4367">
            <v>42928</v>
          </cell>
          <cell r="C4367">
            <v>9807.2999999999993</v>
          </cell>
          <cell r="D4367">
            <v>9824.9500000000007</v>
          </cell>
          <cell r="E4367">
            <v>9787.7000000000007</v>
          </cell>
          <cell r="F4367">
            <v>9816.1</v>
          </cell>
        </row>
        <row r="4368">
          <cell r="B4368">
            <v>42929</v>
          </cell>
          <cell r="C4368">
            <v>9855.7999999999993</v>
          </cell>
          <cell r="D4368">
            <v>9897.25</v>
          </cell>
          <cell r="E4368">
            <v>9853.4500000000007</v>
          </cell>
          <cell r="F4368">
            <v>9891.7000000000007</v>
          </cell>
        </row>
        <row r="4369">
          <cell r="B4369">
            <v>42930</v>
          </cell>
          <cell r="C4369">
            <v>9913.2999999999993</v>
          </cell>
          <cell r="D4369">
            <v>9913.2999999999993</v>
          </cell>
          <cell r="E4369">
            <v>9845.4500000000007</v>
          </cell>
          <cell r="F4369">
            <v>9886.35</v>
          </cell>
        </row>
        <row r="4370">
          <cell r="B4370">
            <v>42933</v>
          </cell>
          <cell r="C4370">
            <v>9908.15</v>
          </cell>
          <cell r="D4370">
            <v>9928.2000000000007</v>
          </cell>
          <cell r="E4370">
            <v>9894.7000000000007</v>
          </cell>
          <cell r="F4370">
            <v>9915.9500000000007</v>
          </cell>
        </row>
        <row r="4371">
          <cell r="B4371">
            <v>42934</v>
          </cell>
          <cell r="C4371">
            <v>9832.7000000000007</v>
          </cell>
          <cell r="D4371">
            <v>9885.35</v>
          </cell>
          <cell r="E4371">
            <v>9792.0499999999993</v>
          </cell>
          <cell r="F4371">
            <v>9827.15</v>
          </cell>
        </row>
        <row r="4372">
          <cell r="B4372">
            <v>42935</v>
          </cell>
          <cell r="C4372">
            <v>9855.9500000000007</v>
          </cell>
          <cell r="D4372">
            <v>9905.0499999999993</v>
          </cell>
          <cell r="E4372">
            <v>9851.65</v>
          </cell>
          <cell r="F4372">
            <v>9899.6</v>
          </cell>
        </row>
        <row r="4373">
          <cell r="B4373">
            <v>42936</v>
          </cell>
          <cell r="C4373">
            <v>9920.2000000000007</v>
          </cell>
          <cell r="D4373">
            <v>9922.5499999999993</v>
          </cell>
          <cell r="E4373">
            <v>9863.4500000000007</v>
          </cell>
          <cell r="F4373">
            <v>9873.2999999999993</v>
          </cell>
        </row>
        <row r="4374">
          <cell r="B4374">
            <v>42937</v>
          </cell>
          <cell r="C4374">
            <v>9899.6</v>
          </cell>
          <cell r="D4374">
            <v>9924.7000000000007</v>
          </cell>
          <cell r="E4374">
            <v>9838</v>
          </cell>
          <cell r="F4374">
            <v>9915.25</v>
          </cell>
        </row>
        <row r="4375">
          <cell r="B4375">
            <v>42940</v>
          </cell>
          <cell r="C4375">
            <v>9936.7999999999993</v>
          </cell>
          <cell r="D4375">
            <v>9982.0499999999993</v>
          </cell>
          <cell r="E4375">
            <v>9919.6</v>
          </cell>
          <cell r="F4375">
            <v>9966.4</v>
          </cell>
        </row>
        <row r="4376">
          <cell r="B4376">
            <v>42941</v>
          </cell>
          <cell r="C4376">
            <v>10010.549999999999</v>
          </cell>
          <cell r="D4376">
            <v>10011.299999999999</v>
          </cell>
          <cell r="E4376">
            <v>9949.1</v>
          </cell>
          <cell r="F4376">
            <v>9964.5499999999993</v>
          </cell>
        </row>
        <row r="4377">
          <cell r="B4377">
            <v>42942</v>
          </cell>
          <cell r="C4377">
            <v>9983.65</v>
          </cell>
          <cell r="D4377">
            <v>10025.950000000001</v>
          </cell>
          <cell r="E4377">
            <v>9965.9500000000007</v>
          </cell>
          <cell r="F4377">
            <v>10020.65</v>
          </cell>
        </row>
        <row r="4378">
          <cell r="B4378">
            <v>42943</v>
          </cell>
          <cell r="C4378">
            <v>10063.25</v>
          </cell>
          <cell r="D4378">
            <v>10114.85</v>
          </cell>
          <cell r="E4378">
            <v>10005.5</v>
          </cell>
          <cell r="F4378">
            <v>10020.549999999999</v>
          </cell>
        </row>
        <row r="4379">
          <cell r="B4379">
            <v>42944</v>
          </cell>
          <cell r="C4379">
            <v>9996.5499999999993</v>
          </cell>
          <cell r="D4379">
            <v>10026.049999999999</v>
          </cell>
          <cell r="E4379">
            <v>9944.5</v>
          </cell>
          <cell r="F4379">
            <v>10014.5</v>
          </cell>
        </row>
        <row r="4380">
          <cell r="B4380">
            <v>42947</v>
          </cell>
          <cell r="C4380">
            <v>10034.700000000001</v>
          </cell>
          <cell r="D4380">
            <v>10085.9</v>
          </cell>
          <cell r="E4380">
            <v>10016.950000000001</v>
          </cell>
          <cell r="F4380">
            <v>10077.1</v>
          </cell>
        </row>
        <row r="4381">
          <cell r="B4381">
            <v>42948</v>
          </cell>
          <cell r="C4381">
            <v>10101.049999999999</v>
          </cell>
          <cell r="D4381">
            <v>10128.6</v>
          </cell>
          <cell r="E4381">
            <v>10065.75</v>
          </cell>
          <cell r="F4381">
            <v>10114.65</v>
          </cell>
        </row>
        <row r="4382">
          <cell r="B4382">
            <v>42949</v>
          </cell>
          <cell r="C4382">
            <v>10136.299999999999</v>
          </cell>
          <cell r="D4382">
            <v>10137.85</v>
          </cell>
          <cell r="E4382">
            <v>10054.200000000001</v>
          </cell>
          <cell r="F4382">
            <v>10081.5</v>
          </cell>
        </row>
        <row r="4383">
          <cell r="B4383">
            <v>42950</v>
          </cell>
          <cell r="C4383">
            <v>10081.15</v>
          </cell>
          <cell r="D4383">
            <v>10081.15</v>
          </cell>
          <cell r="E4383">
            <v>9998.25</v>
          </cell>
          <cell r="F4383">
            <v>10013.65</v>
          </cell>
        </row>
        <row r="4384">
          <cell r="B4384">
            <v>42951</v>
          </cell>
          <cell r="C4384">
            <v>10008.6</v>
          </cell>
          <cell r="D4384">
            <v>10075.25</v>
          </cell>
          <cell r="E4384">
            <v>9988.35</v>
          </cell>
          <cell r="F4384">
            <v>10066.4</v>
          </cell>
        </row>
        <row r="4385">
          <cell r="B4385">
            <v>42954</v>
          </cell>
          <cell r="C4385">
            <v>10074.799999999999</v>
          </cell>
          <cell r="D4385">
            <v>10088.1</v>
          </cell>
          <cell r="E4385">
            <v>10046.35</v>
          </cell>
          <cell r="F4385">
            <v>10057.4</v>
          </cell>
        </row>
        <row r="4386">
          <cell r="B4386">
            <v>42955</v>
          </cell>
          <cell r="C4386">
            <v>10068.35</v>
          </cell>
          <cell r="D4386">
            <v>10083.799999999999</v>
          </cell>
          <cell r="E4386">
            <v>9947</v>
          </cell>
          <cell r="F4386">
            <v>9978.5499999999993</v>
          </cell>
        </row>
        <row r="4387">
          <cell r="B4387">
            <v>42956</v>
          </cell>
          <cell r="C4387">
            <v>9961.15</v>
          </cell>
          <cell r="D4387">
            <v>9969.7999999999993</v>
          </cell>
          <cell r="E4387">
            <v>9893.0499999999993</v>
          </cell>
          <cell r="F4387">
            <v>9908.0499999999993</v>
          </cell>
        </row>
        <row r="4388">
          <cell r="B4388">
            <v>42957</v>
          </cell>
          <cell r="C4388">
            <v>9872.85</v>
          </cell>
          <cell r="D4388">
            <v>9892.65</v>
          </cell>
          <cell r="E4388">
            <v>9776.2000000000007</v>
          </cell>
          <cell r="F4388">
            <v>9820.25</v>
          </cell>
        </row>
        <row r="4389">
          <cell r="B4389">
            <v>42958</v>
          </cell>
          <cell r="C4389">
            <v>9712.15</v>
          </cell>
          <cell r="D4389">
            <v>9771.65</v>
          </cell>
          <cell r="E4389">
            <v>9685.5499999999993</v>
          </cell>
          <cell r="F4389">
            <v>9710.7999999999993</v>
          </cell>
        </row>
        <row r="4390">
          <cell r="B4390">
            <v>42961</v>
          </cell>
          <cell r="C4390">
            <v>9755.75</v>
          </cell>
          <cell r="D4390">
            <v>9818.2999999999993</v>
          </cell>
          <cell r="E4390">
            <v>9752.1</v>
          </cell>
          <cell r="F4390">
            <v>9794.15</v>
          </cell>
        </row>
        <row r="4391">
          <cell r="B4391">
            <v>42963</v>
          </cell>
          <cell r="C4391">
            <v>9825.85</v>
          </cell>
          <cell r="D4391">
            <v>9903.9500000000007</v>
          </cell>
          <cell r="E4391">
            <v>9773.85</v>
          </cell>
          <cell r="F4391">
            <v>9897.2999999999993</v>
          </cell>
        </row>
        <row r="4392">
          <cell r="B4392">
            <v>42964</v>
          </cell>
          <cell r="C4392">
            <v>9945.5499999999993</v>
          </cell>
          <cell r="D4392">
            <v>9947.7999999999993</v>
          </cell>
          <cell r="E4392">
            <v>9883.75</v>
          </cell>
          <cell r="F4392">
            <v>9904.15</v>
          </cell>
        </row>
        <row r="4393">
          <cell r="B4393">
            <v>42965</v>
          </cell>
          <cell r="C4393">
            <v>9865.9500000000007</v>
          </cell>
          <cell r="D4393">
            <v>9865.9500000000007</v>
          </cell>
          <cell r="E4393">
            <v>9783.65</v>
          </cell>
          <cell r="F4393">
            <v>9837.4</v>
          </cell>
        </row>
        <row r="4394">
          <cell r="B4394">
            <v>42968</v>
          </cell>
          <cell r="C4394">
            <v>9864.25</v>
          </cell>
          <cell r="D4394">
            <v>9884.35</v>
          </cell>
          <cell r="E4394">
            <v>9740.1</v>
          </cell>
          <cell r="F4394">
            <v>9754.35</v>
          </cell>
        </row>
        <row r="4395">
          <cell r="B4395">
            <v>42969</v>
          </cell>
          <cell r="C4395">
            <v>9815.75</v>
          </cell>
          <cell r="D4395">
            <v>9828.4500000000007</v>
          </cell>
          <cell r="E4395">
            <v>9752.6</v>
          </cell>
          <cell r="F4395">
            <v>9765.5499999999993</v>
          </cell>
        </row>
        <row r="4396">
          <cell r="B4396">
            <v>42970</v>
          </cell>
          <cell r="C4396">
            <v>9803.0499999999993</v>
          </cell>
          <cell r="D4396">
            <v>9857.9</v>
          </cell>
          <cell r="E4396">
            <v>9786.75</v>
          </cell>
          <cell r="F4396">
            <v>9852.5</v>
          </cell>
        </row>
        <row r="4397">
          <cell r="B4397">
            <v>42971</v>
          </cell>
          <cell r="C4397">
            <v>9881.2000000000007</v>
          </cell>
          <cell r="D4397">
            <v>9881.5</v>
          </cell>
          <cell r="E4397">
            <v>9848.85</v>
          </cell>
          <cell r="F4397">
            <v>9857.0499999999993</v>
          </cell>
        </row>
        <row r="4398">
          <cell r="B4398">
            <v>42975</v>
          </cell>
          <cell r="C4398">
            <v>9907.15</v>
          </cell>
          <cell r="D4398">
            <v>9925.75</v>
          </cell>
          <cell r="E4398">
            <v>9882</v>
          </cell>
          <cell r="F4398">
            <v>9912.7999999999993</v>
          </cell>
        </row>
        <row r="4399">
          <cell r="B4399">
            <v>42976</v>
          </cell>
          <cell r="C4399">
            <v>9886.4</v>
          </cell>
          <cell r="D4399">
            <v>9887.35</v>
          </cell>
          <cell r="E4399">
            <v>9783.75</v>
          </cell>
          <cell r="F4399">
            <v>9796.0499999999993</v>
          </cell>
        </row>
        <row r="4400">
          <cell r="B4400">
            <v>42977</v>
          </cell>
          <cell r="C4400">
            <v>9859.5</v>
          </cell>
          <cell r="D4400">
            <v>9909.4500000000007</v>
          </cell>
          <cell r="E4400">
            <v>9850.7999999999993</v>
          </cell>
          <cell r="F4400">
            <v>9884.4</v>
          </cell>
        </row>
        <row r="4401">
          <cell r="B4401">
            <v>42978</v>
          </cell>
          <cell r="C4401">
            <v>9905.7000000000007</v>
          </cell>
          <cell r="D4401">
            <v>9925.1</v>
          </cell>
          <cell r="E4401">
            <v>9856.9500000000007</v>
          </cell>
          <cell r="F4401">
            <v>9917.9</v>
          </cell>
        </row>
        <row r="4402">
          <cell r="B4402">
            <v>42979</v>
          </cell>
          <cell r="C4402">
            <v>9937.65</v>
          </cell>
          <cell r="D4402">
            <v>9983.4500000000007</v>
          </cell>
          <cell r="E4402">
            <v>9909.85</v>
          </cell>
          <cell r="F4402">
            <v>9974.4</v>
          </cell>
        </row>
        <row r="4403">
          <cell r="B4403">
            <v>42982</v>
          </cell>
          <cell r="C4403">
            <v>9984.15</v>
          </cell>
          <cell r="D4403">
            <v>9988.4</v>
          </cell>
          <cell r="E4403">
            <v>9861</v>
          </cell>
          <cell r="F4403">
            <v>9912.85</v>
          </cell>
        </row>
        <row r="4404">
          <cell r="B4404">
            <v>42983</v>
          </cell>
          <cell r="C4404">
            <v>9933.25</v>
          </cell>
          <cell r="D4404">
            <v>9963.1</v>
          </cell>
          <cell r="E4404">
            <v>9901.0499999999993</v>
          </cell>
          <cell r="F4404">
            <v>9952.2000000000007</v>
          </cell>
        </row>
        <row r="4405">
          <cell r="B4405">
            <v>42984</v>
          </cell>
          <cell r="C4405">
            <v>9899.25</v>
          </cell>
          <cell r="D4405">
            <v>9931.5499999999993</v>
          </cell>
          <cell r="E4405">
            <v>9882.5499999999993</v>
          </cell>
          <cell r="F4405">
            <v>9916.2000000000007</v>
          </cell>
        </row>
        <row r="4406">
          <cell r="B4406">
            <v>42985</v>
          </cell>
          <cell r="C4406">
            <v>9945.85</v>
          </cell>
          <cell r="D4406">
            <v>9964.85</v>
          </cell>
          <cell r="E4406">
            <v>9917.2000000000007</v>
          </cell>
          <cell r="F4406">
            <v>9929.9</v>
          </cell>
        </row>
        <row r="4407">
          <cell r="B4407">
            <v>42986</v>
          </cell>
          <cell r="C4407">
            <v>9958.65</v>
          </cell>
          <cell r="D4407">
            <v>9963.6</v>
          </cell>
          <cell r="E4407">
            <v>9913.2999999999993</v>
          </cell>
          <cell r="F4407">
            <v>9934.7999999999993</v>
          </cell>
        </row>
        <row r="4408">
          <cell r="B4408">
            <v>42989</v>
          </cell>
          <cell r="C4408">
            <v>9971.75</v>
          </cell>
          <cell r="D4408">
            <v>10028.65</v>
          </cell>
          <cell r="E4408">
            <v>9968.7999999999993</v>
          </cell>
          <cell r="F4408">
            <v>10006.049999999999</v>
          </cell>
        </row>
        <row r="4409">
          <cell r="B4409">
            <v>42990</v>
          </cell>
          <cell r="C4409">
            <v>10056.85</v>
          </cell>
          <cell r="D4409">
            <v>10097.549999999999</v>
          </cell>
          <cell r="E4409">
            <v>10028.049999999999</v>
          </cell>
          <cell r="F4409">
            <v>10093.049999999999</v>
          </cell>
        </row>
        <row r="4410">
          <cell r="B4410">
            <v>42991</v>
          </cell>
          <cell r="C4410">
            <v>10099.25</v>
          </cell>
          <cell r="D4410">
            <v>10131.950000000001</v>
          </cell>
          <cell r="E4410">
            <v>10063.15</v>
          </cell>
          <cell r="F4410">
            <v>10079.299999999999</v>
          </cell>
        </row>
        <row r="4411">
          <cell r="B4411">
            <v>42992</v>
          </cell>
          <cell r="C4411">
            <v>10107.4</v>
          </cell>
          <cell r="D4411">
            <v>10126.5</v>
          </cell>
          <cell r="E4411">
            <v>10070.35</v>
          </cell>
          <cell r="F4411">
            <v>10086.6</v>
          </cell>
        </row>
        <row r="4412">
          <cell r="B4412">
            <v>42993</v>
          </cell>
          <cell r="C4412">
            <v>10062.35</v>
          </cell>
          <cell r="D4412">
            <v>10115.15</v>
          </cell>
          <cell r="E4412">
            <v>10043.65</v>
          </cell>
          <cell r="F4412">
            <v>10085.4</v>
          </cell>
        </row>
        <row r="4413">
          <cell r="B4413">
            <v>42996</v>
          </cell>
          <cell r="C4413">
            <v>10133.1</v>
          </cell>
          <cell r="D4413">
            <v>10171.700000000001</v>
          </cell>
          <cell r="E4413">
            <v>10131.299999999999</v>
          </cell>
          <cell r="F4413">
            <v>10153.1</v>
          </cell>
        </row>
        <row r="4414">
          <cell r="B4414">
            <v>42997</v>
          </cell>
          <cell r="C4414">
            <v>10175.6</v>
          </cell>
          <cell r="D4414">
            <v>10178.950000000001</v>
          </cell>
          <cell r="E4414">
            <v>10129.950000000001</v>
          </cell>
          <cell r="F4414">
            <v>10147.549999999999</v>
          </cell>
        </row>
        <row r="4415">
          <cell r="B4415">
            <v>42998</v>
          </cell>
          <cell r="C4415">
            <v>10160.950000000001</v>
          </cell>
          <cell r="D4415">
            <v>10171.049999999999</v>
          </cell>
          <cell r="E4415">
            <v>10134.200000000001</v>
          </cell>
          <cell r="F4415">
            <v>10141.15</v>
          </cell>
        </row>
        <row r="4416">
          <cell r="B4416">
            <v>42999</v>
          </cell>
          <cell r="C4416">
            <v>10139.6</v>
          </cell>
          <cell r="D4416">
            <v>10158.9</v>
          </cell>
          <cell r="E4416">
            <v>10058.6</v>
          </cell>
          <cell r="F4416">
            <v>10121.9</v>
          </cell>
        </row>
        <row r="4417">
          <cell r="B4417">
            <v>43000</v>
          </cell>
          <cell r="C4417">
            <v>10094.35</v>
          </cell>
          <cell r="D4417">
            <v>10095.049999999999</v>
          </cell>
          <cell r="E4417">
            <v>9952.7999999999993</v>
          </cell>
          <cell r="F4417">
            <v>9964.4</v>
          </cell>
        </row>
        <row r="4418">
          <cell r="B4418">
            <v>43003</v>
          </cell>
          <cell r="C4418">
            <v>9960.1</v>
          </cell>
          <cell r="D4418">
            <v>9960.5</v>
          </cell>
          <cell r="E4418">
            <v>9816.0499999999993</v>
          </cell>
          <cell r="F4418">
            <v>9872.6</v>
          </cell>
        </row>
        <row r="4419">
          <cell r="B4419">
            <v>43004</v>
          </cell>
          <cell r="C4419">
            <v>9875.25</v>
          </cell>
          <cell r="D4419">
            <v>9891.35</v>
          </cell>
          <cell r="E4419">
            <v>9813</v>
          </cell>
          <cell r="F4419">
            <v>9871.5</v>
          </cell>
        </row>
        <row r="4420">
          <cell r="B4420">
            <v>43005</v>
          </cell>
          <cell r="C4420">
            <v>9920.6</v>
          </cell>
          <cell r="D4420">
            <v>9921.0499999999993</v>
          </cell>
          <cell r="E4420">
            <v>9714.4</v>
          </cell>
          <cell r="F4420">
            <v>9735.75</v>
          </cell>
        </row>
        <row r="4421">
          <cell r="B4421">
            <v>43006</v>
          </cell>
          <cell r="C4421">
            <v>9736.4</v>
          </cell>
          <cell r="D4421">
            <v>9789.2000000000007</v>
          </cell>
          <cell r="E4421">
            <v>9687.5499999999993</v>
          </cell>
          <cell r="F4421">
            <v>9768.9500000000007</v>
          </cell>
        </row>
        <row r="4422">
          <cell r="B4422">
            <v>43007</v>
          </cell>
          <cell r="C4422">
            <v>9814.2999999999993</v>
          </cell>
          <cell r="D4422">
            <v>9854</v>
          </cell>
          <cell r="E4422">
            <v>9775.35</v>
          </cell>
          <cell r="F4422">
            <v>9788.6</v>
          </cell>
        </row>
        <row r="4423">
          <cell r="B4423">
            <v>43011</v>
          </cell>
          <cell r="C4423">
            <v>9893.2999999999993</v>
          </cell>
          <cell r="D4423">
            <v>9895.4</v>
          </cell>
          <cell r="E4423">
            <v>9831.0499999999993</v>
          </cell>
          <cell r="F4423">
            <v>9859.5</v>
          </cell>
        </row>
        <row r="4424">
          <cell r="B4424">
            <v>43012</v>
          </cell>
          <cell r="C4424">
            <v>9884.35</v>
          </cell>
          <cell r="D4424">
            <v>9938.2999999999993</v>
          </cell>
          <cell r="E4424">
            <v>9850.65</v>
          </cell>
          <cell r="F4424">
            <v>9914.9</v>
          </cell>
        </row>
        <row r="4425">
          <cell r="B4425">
            <v>43013</v>
          </cell>
          <cell r="C4425">
            <v>9927</v>
          </cell>
          <cell r="D4425">
            <v>9945.9500000000007</v>
          </cell>
          <cell r="E4425">
            <v>9881.85</v>
          </cell>
          <cell r="F4425">
            <v>9888.7000000000007</v>
          </cell>
        </row>
        <row r="4426">
          <cell r="B4426">
            <v>43014</v>
          </cell>
          <cell r="C4426">
            <v>9908.15</v>
          </cell>
          <cell r="D4426">
            <v>9989.35</v>
          </cell>
          <cell r="E4426">
            <v>9906.6</v>
          </cell>
          <cell r="F4426">
            <v>9979.7000000000007</v>
          </cell>
        </row>
        <row r="4427">
          <cell r="B4427">
            <v>43017</v>
          </cell>
          <cell r="C4427">
            <v>9988.2000000000007</v>
          </cell>
          <cell r="D4427">
            <v>10015.75</v>
          </cell>
          <cell r="E4427">
            <v>9959.4500000000007</v>
          </cell>
          <cell r="F4427">
            <v>9988.75</v>
          </cell>
        </row>
        <row r="4428">
          <cell r="B4428">
            <v>43018</v>
          </cell>
          <cell r="C4428">
            <v>10013.700000000001</v>
          </cell>
          <cell r="D4428">
            <v>10034</v>
          </cell>
          <cell r="E4428">
            <v>10002.299999999999</v>
          </cell>
          <cell r="F4428">
            <v>10016.950000000001</v>
          </cell>
        </row>
        <row r="4429">
          <cell r="B4429">
            <v>43019</v>
          </cell>
          <cell r="C4429">
            <v>10042.6</v>
          </cell>
          <cell r="D4429">
            <v>10067.25</v>
          </cell>
          <cell r="E4429">
            <v>9955.7999999999993</v>
          </cell>
          <cell r="F4429">
            <v>9984.7999999999993</v>
          </cell>
        </row>
        <row r="4430">
          <cell r="B4430">
            <v>43020</v>
          </cell>
          <cell r="C4430">
            <v>10011.200000000001</v>
          </cell>
          <cell r="D4430">
            <v>10104.450000000001</v>
          </cell>
          <cell r="E4430">
            <v>9977.1</v>
          </cell>
          <cell r="F4430">
            <v>10096.4</v>
          </cell>
        </row>
        <row r="4431">
          <cell r="B4431">
            <v>43021</v>
          </cell>
          <cell r="C4431">
            <v>10123.700000000001</v>
          </cell>
          <cell r="D4431">
            <v>10191.9</v>
          </cell>
          <cell r="E4431">
            <v>10120.1</v>
          </cell>
          <cell r="F4431">
            <v>10167.450000000001</v>
          </cell>
        </row>
        <row r="4432">
          <cell r="B4432">
            <v>43024</v>
          </cell>
          <cell r="C4432">
            <v>10207.4</v>
          </cell>
          <cell r="D4432">
            <v>10242.950000000001</v>
          </cell>
          <cell r="E4432">
            <v>10175.1</v>
          </cell>
          <cell r="F4432">
            <v>10230.85</v>
          </cell>
        </row>
        <row r="4433">
          <cell r="B4433">
            <v>43025</v>
          </cell>
          <cell r="C4433">
            <v>10227.65</v>
          </cell>
          <cell r="D4433">
            <v>10251.85</v>
          </cell>
          <cell r="E4433">
            <v>10212.6</v>
          </cell>
          <cell r="F4433">
            <v>10234.450000000001</v>
          </cell>
        </row>
        <row r="4434">
          <cell r="B4434">
            <v>43026</v>
          </cell>
          <cell r="C4434">
            <v>10209.4</v>
          </cell>
          <cell r="D4434">
            <v>10236.450000000001</v>
          </cell>
          <cell r="E4434">
            <v>10175.75</v>
          </cell>
          <cell r="F4434">
            <v>10210.85</v>
          </cell>
        </row>
        <row r="4435">
          <cell r="B4435">
            <v>43027</v>
          </cell>
          <cell r="C4435">
            <v>10210.35</v>
          </cell>
          <cell r="D4435">
            <v>10211.950000000001</v>
          </cell>
          <cell r="E4435">
            <v>10123.35</v>
          </cell>
          <cell r="F4435">
            <v>10146.549999999999</v>
          </cell>
        </row>
        <row r="4436">
          <cell r="B4436">
            <v>43031</v>
          </cell>
          <cell r="C4436">
            <v>10176.65</v>
          </cell>
          <cell r="D4436">
            <v>10224.15</v>
          </cell>
          <cell r="E4436">
            <v>10124.5</v>
          </cell>
          <cell r="F4436">
            <v>10184.85</v>
          </cell>
        </row>
        <row r="4437">
          <cell r="B4437">
            <v>43032</v>
          </cell>
          <cell r="C4437">
            <v>10218.549999999999</v>
          </cell>
          <cell r="D4437">
            <v>10237.75</v>
          </cell>
          <cell r="E4437">
            <v>10182.4</v>
          </cell>
          <cell r="F4437">
            <v>10207.700000000001</v>
          </cell>
        </row>
        <row r="4438">
          <cell r="B4438">
            <v>43033</v>
          </cell>
          <cell r="C4438">
            <v>10321.15</v>
          </cell>
          <cell r="D4438">
            <v>10340.549999999999</v>
          </cell>
          <cell r="E4438">
            <v>10240.9</v>
          </cell>
          <cell r="F4438">
            <v>10295.35</v>
          </cell>
        </row>
        <row r="4439">
          <cell r="B4439">
            <v>43034</v>
          </cell>
          <cell r="C4439">
            <v>10291.799999999999</v>
          </cell>
          <cell r="D4439">
            <v>10355.65</v>
          </cell>
          <cell r="E4439">
            <v>10271.85</v>
          </cell>
          <cell r="F4439">
            <v>10343.799999999999</v>
          </cell>
        </row>
        <row r="4440">
          <cell r="B4440">
            <v>43035</v>
          </cell>
          <cell r="C4440">
            <v>10362.299999999999</v>
          </cell>
          <cell r="D4440">
            <v>10366.15</v>
          </cell>
          <cell r="E4440">
            <v>10311.299999999999</v>
          </cell>
          <cell r="F4440">
            <v>10323.049999999999</v>
          </cell>
        </row>
        <row r="4441">
          <cell r="B4441">
            <v>43038</v>
          </cell>
          <cell r="C4441">
            <v>10353.85</v>
          </cell>
          <cell r="D4441">
            <v>10384.5</v>
          </cell>
          <cell r="E4441">
            <v>10344.299999999999</v>
          </cell>
          <cell r="F4441">
            <v>10363.65</v>
          </cell>
        </row>
        <row r="4442">
          <cell r="B4442">
            <v>43039</v>
          </cell>
          <cell r="C4442">
            <v>10364.9</v>
          </cell>
          <cell r="D4442">
            <v>10367.700000000001</v>
          </cell>
          <cell r="E4442">
            <v>10323.950000000001</v>
          </cell>
          <cell r="F4442">
            <v>10335.299999999999</v>
          </cell>
        </row>
        <row r="4443">
          <cell r="B4443">
            <v>43040</v>
          </cell>
          <cell r="C4443">
            <v>10390.35</v>
          </cell>
          <cell r="D4443">
            <v>10451.65</v>
          </cell>
          <cell r="E4443">
            <v>10383.049999999999</v>
          </cell>
          <cell r="F4443">
            <v>10440.5</v>
          </cell>
        </row>
        <row r="4444">
          <cell r="B4444">
            <v>43041</v>
          </cell>
          <cell r="C4444">
            <v>10440.5</v>
          </cell>
          <cell r="D4444">
            <v>10453</v>
          </cell>
          <cell r="E4444">
            <v>10412.549999999999</v>
          </cell>
          <cell r="F4444">
            <v>10423.799999999999</v>
          </cell>
        </row>
        <row r="4445">
          <cell r="B4445">
            <v>43042</v>
          </cell>
          <cell r="C4445">
            <v>10461.549999999999</v>
          </cell>
          <cell r="D4445">
            <v>10461.700000000001</v>
          </cell>
          <cell r="E4445">
            <v>10403.6</v>
          </cell>
          <cell r="F4445">
            <v>10452.5</v>
          </cell>
        </row>
        <row r="4446">
          <cell r="B4446">
            <v>43045</v>
          </cell>
          <cell r="C4446">
            <v>10431.75</v>
          </cell>
          <cell r="D4446">
            <v>10490.45</v>
          </cell>
          <cell r="E4446">
            <v>10413.75</v>
          </cell>
          <cell r="F4446">
            <v>10451.799999999999</v>
          </cell>
        </row>
        <row r="4447">
          <cell r="B4447">
            <v>43046</v>
          </cell>
          <cell r="C4447">
            <v>10477.15</v>
          </cell>
          <cell r="D4447">
            <v>10485.75</v>
          </cell>
          <cell r="E4447">
            <v>10340.799999999999</v>
          </cell>
          <cell r="F4447">
            <v>10350.15</v>
          </cell>
        </row>
        <row r="4448">
          <cell r="B4448">
            <v>43047</v>
          </cell>
          <cell r="C4448">
            <v>10361.950000000001</v>
          </cell>
          <cell r="D4448">
            <v>10384.25</v>
          </cell>
          <cell r="E4448">
            <v>10285.5</v>
          </cell>
          <cell r="F4448">
            <v>10303.15</v>
          </cell>
        </row>
        <row r="4449">
          <cell r="B4449">
            <v>43048</v>
          </cell>
          <cell r="C4449">
            <v>10358.65</v>
          </cell>
          <cell r="D4449">
            <v>10368.450000000001</v>
          </cell>
          <cell r="E4449">
            <v>10266.950000000001</v>
          </cell>
          <cell r="F4449">
            <v>10308.950000000001</v>
          </cell>
        </row>
        <row r="4450">
          <cell r="B4450">
            <v>43049</v>
          </cell>
          <cell r="C4450">
            <v>10304.35</v>
          </cell>
          <cell r="D4450">
            <v>10344.950000000001</v>
          </cell>
          <cell r="E4450">
            <v>10254.1</v>
          </cell>
          <cell r="F4450">
            <v>10321.75</v>
          </cell>
        </row>
        <row r="4451">
          <cell r="B4451">
            <v>43052</v>
          </cell>
          <cell r="C4451">
            <v>10322</v>
          </cell>
          <cell r="D4451">
            <v>10334.15</v>
          </cell>
          <cell r="E4451">
            <v>10216.25</v>
          </cell>
          <cell r="F4451">
            <v>10224.950000000001</v>
          </cell>
        </row>
        <row r="4452">
          <cell r="B4452">
            <v>43053</v>
          </cell>
          <cell r="C4452">
            <v>10223.4</v>
          </cell>
          <cell r="D4452">
            <v>10248</v>
          </cell>
          <cell r="E4452">
            <v>10175.549999999999</v>
          </cell>
          <cell r="F4452">
            <v>10186.6</v>
          </cell>
        </row>
        <row r="4453">
          <cell r="B4453">
            <v>43054</v>
          </cell>
          <cell r="C4453">
            <v>10171.950000000001</v>
          </cell>
          <cell r="D4453">
            <v>10175.450000000001</v>
          </cell>
          <cell r="E4453">
            <v>10094</v>
          </cell>
          <cell r="F4453">
            <v>10118.049999999999</v>
          </cell>
        </row>
        <row r="4454">
          <cell r="B4454">
            <v>43055</v>
          </cell>
          <cell r="C4454">
            <v>10152.9</v>
          </cell>
          <cell r="D4454">
            <v>10232.25</v>
          </cell>
          <cell r="E4454">
            <v>10139.200000000001</v>
          </cell>
          <cell r="F4454">
            <v>10214.75</v>
          </cell>
        </row>
        <row r="4455">
          <cell r="B4455">
            <v>43056</v>
          </cell>
          <cell r="C4455">
            <v>10324.549999999999</v>
          </cell>
          <cell r="D4455">
            <v>10343.6</v>
          </cell>
          <cell r="E4455">
            <v>10268.049999999999</v>
          </cell>
          <cell r="F4455">
            <v>10283.6</v>
          </cell>
        </row>
        <row r="4456">
          <cell r="B4456">
            <v>43059</v>
          </cell>
          <cell r="C4456">
            <v>10287.200000000001</v>
          </cell>
          <cell r="D4456">
            <v>10309.85</v>
          </cell>
          <cell r="E4456">
            <v>10261.5</v>
          </cell>
          <cell r="F4456">
            <v>10298.75</v>
          </cell>
        </row>
        <row r="4457">
          <cell r="B4457">
            <v>43060</v>
          </cell>
          <cell r="C4457">
            <v>10329.25</v>
          </cell>
          <cell r="D4457">
            <v>10358.700000000001</v>
          </cell>
          <cell r="E4457">
            <v>10315.049999999999</v>
          </cell>
          <cell r="F4457">
            <v>10326.9</v>
          </cell>
        </row>
        <row r="4458">
          <cell r="B4458">
            <v>43061</v>
          </cell>
          <cell r="C4458">
            <v>10350.799999999999</v>
          </cell>
          <cell r="D4458">
            <v>10368.700000000001</v>
          </cell>
          <cell r="E4458">
            <v>10309.549999999999</v>
          </cell>
          <cell r="F4458">
            <v>10342.299999999999</v>
          </cell>
        </row>
        <row r="4459">
          <cell r="B4459">
            <v>43062</v>
          </cell>
          <cell r="C4459">
            <v>10358.450000000001</v>
          </cell>
          <cell r="D4459">
            <v>10374.299999999999</v>
          </cell>
          <cell r="E4459">
            <v>10307.299999999999</v>
          </cell>
          <cell r="F4459">
            <v>10348.75</v>
          </cell>
        </row>
        <row r="4460">
          <cell r="B4460">
            <v>43063</v>
          </cell>
          <cell r="C4460">
            <v>10366.799999999999</v>
          </cell>
          <cell r="D4460">
            <v>10404.5</v>
          </cell>
          <cell r="E4460">
            <v>10362.25</v>
          </cell>
          <cell r="F4460">
            <v>10389.700000000001</v>
          </cell>
        </row>
        <row r="4461">
          <cell r="B4461">
            <v>43066</v>
          </cell>
          <cell r="C4461">
            <v>10361.049999999999</v>
          </cell>
          <cell r="D4461">
            <v>10407.15</v>
          </cell>
          <cell r="E4461">
            <v>10340.200000000001</v>
          </cell>
          <cell r="F4461">
            <v>10399.549999999999</v>
          </cell>
        </row>
        <row r="4462">
          <cell r="B4462">
            <v>43067</v>
          </cell>
          <cell r="C4462">
            <v>10387.9</v>
          </cell>
          <cell r="D4462">
            <v>10409.549999999999</v>
          </cell>
          <cell r="E4462">
            <v>10355.200000000001</v>
          </cell>
          <cell r="F4462">
            <v>10370.25</v>
          </cell>
        </row>
        <row r="4463">
          <cell r="B4463">
            <v>43068</v>
          </cell>
          <cell r="C4463">
            <v>10376.65</v>
          </cell>
          <cell r="D4463">
            <v>10392.950000000001</v>
          </cell>
          <cell r="E4463">
            <v>10345.9</v>
          </cell>
          <cell r="F4463">
            <v>10361.299999999999</v>
          </cell>
        </row>
        <row r="4464">
          <cell r="B4464">
            <v>43069</v>
          </cell>
          <cell r="C4464">
            <v>10332.700000000001</v>
          </cell>
          <cell r="D4464">
            <v>10332.700000000001</v>
          </cell>
          <cell r="E4464">
            <v>10211.25</v>
          </cell>
          <cell r="F4464">
            <v>10226.549999999999</v>
          </cell>
        </row>
        <row r="4465">
          <cell r="B4465">
            <v>43070</v>
          </cell>
          <cell r="C4465">
            <v>10263.700000000001</v>
          </cell>
          <cell r="D4465">
            <v>10272.700000000001</v>
          </cell>
          <cell r="E4465">
            <v>10108.549999999999</v>
          </cell>
          <cell r="F4465">
            <v>10121.799999999999</v>
          </cell>
        </row>
        <row r="4466">
          <cell r="B4466">
            <v>43073</v>
          </cell>
          <cell r="C4466">
            <v>10175.049999999999</v>
          </cell>
          <cell r="D4466">
            <v>10179.200000000001</v>
          </cell>
          <cell r="E4466">
            <v>10095.700000000001</v>
          </cell>
          <cell r="F4466">
            <v>10127.75</v>
          </cell>
        </row>
        <row r="4467">
          <cell r="B4467">
            <v>43074</v>
          </cell>
          <cell r="C4467">
            <v>10118.25</v>
          </cell>
          <cell r="D4467">
            <v>10147.950000000001</v>
          </cell>
          <cell r="E4467">
            <v>10069.1</v>
          </cell>
          <cell r="F4467">
            <v>10118.25</v>
          </cell>
        </row>
        <row r="4468">
          <cell r="B4468">
            <v>43075</v>
          </cell>
          <cell r="C4468">
            <v>10088.799999999999</v>
          </cell>
          <cell r="D4468">
            <v>10104.200000000001</v>
          </cell>
          <cell r="E4468">
            <v>10033.35</v>
          </cell>
          <cell r="F4468">
            <v>10044.1</v>
          </cell>
        </row>
        <row r="4469">
          <cell r="B4469">
            <v>43076</v>
          </cell>
          <cell r="C4469">
            <v>10063.450000000001</v>
          </cell>
          <cell r="D4469">
            <v>10182.65</v>
          </cell>
          <cell r="E4469">
            <v>10061.9</v>
          </cell>
          <cell r="F4469">
            <v>10166.700000000001</v>
          </cell>
        </row>
        <row r="4470">
          <cell r="B4470">
            <v>43077</v>
          </cell>
          <cell r="C4470">
            <v>10198.450000000001</v>
          </cell>
          <cell r="D4470">
            <v>10270.85</v>
          </cell>
          <cell r="E4470">
            <v>10195.25</v>
          </cell>
          <cell r="F4470">
            <v>10265.65</v>
          </cell>
        </row>
        <row r="4471">
          <cell r="B4471">
            <v>43080</v>
          </cell>
          <cell r="C4471">
            <v>10310.5</v>
          </cell>
          <cell r="D4471">
            <v>10329.200000000001</v>
          </cell>
          <cell r="E4471">
            <v>10282.049999999999</v>
          </cell>
          <cell r="F4471">
            <v>10322.25</v>
          </cell>
        </row>
        <row r="4472">
          <cell r="B4472">
            <v>43081</v>
          </cell>
          <cell r="C4472">
            <v>10324.9</v>
          </cell>
          <cell r="D4472">
            <v>10326.1</v>
          </cell>
          <cell r="E4472">
            <v>10230.200000000001</v>
          </cell>
          <cell r="F4472">
            <v>10240.15</v>
          </cell>
        </row>
        <row r="4473">
          <cell r="B4473">
            <v>43082</v>
          </cell>
          <cell r="C4473">
            <v>10236.6</v>
          </cell>
          <cell r="D4473">
            <v>10296.549999999999</v>
          </cell>
          <cell r="E4473">
            <v>10169.85</v>
          </cell>
          <cell r="F4473">
            <v>10192.950000000001</v>
          </cell>
        </row>
        <row r="4474">
          <cell r="B4474">
            <v>43083</v>
          </cell>
          <cell r="C4474">
            <v>10229.299999999999</v>
          </cell>
          <cell r="D4474">
            <v>10276.1</v>
          </cell>
          <cell r="E4474">
            <v>10141.549999999999</v>
          </cell>
          <cell r="F4474">
            <v>10252.1</v>
          </cell>
        </row>
        <row r="4475">
          <cell r="B4475">
            <v>43084</v>
          </cell>
          <cell r="C4475">
            <v>10345.65</v>
          </cell>
          <cell r="D4475">
            <v>10373.1</v>
          </cell>
          <cell r="E4475">
            <v>10319.65</v>
          </cell>
          <cell r="F4475">
            <v>10333.25</v>
          </cell>
        </row>
        <row r="4476">
          <cell r="B4476">
            <v>43087</v>
          </cell>
          <cell r="C4476">
            <v>10263.1</v>
          </cell>
          <cell r="D4476">
            <v>10443.549999999999</v>
          </cell>
          <cell r="E4476">
            <v>10074.799999999999</v>
          </cell>
          <cell r="F4476">
            <v>10388.75</v>
          </cell>
        </row>
        <row r="4477">
          <cell r="B4477">
            <v>43088</v>
          </cell>
          <cell r="C4477">
            <v>10414.799999999999</v>
          </cell>
          <cell r="D4477">
            <v>10472.200000000001</v>
          </cell>
          <cell r="E4477">
            <v>10406</v>
          </cell>
          <cell r="F4477">
            <v>10463.200000000001</v>
          </cell>
        </row>
        <row r="4478">
          <cell r="B4478">
            <v>43089</v>
          </cell>
          <cell r="C4478">
            <v>10494.4</v>
          </cell>
          <cell r="D4478">
            <v>10494.45</v>
          </cell>
          <cell r="E4478">
            <v>10437.15</v>
          </cell>
          <cell r="F4478">
            <v>10444.200000000001</v>
          </cell>
        </row>
        <row r="4479">
          <cell r="B4479">
            <v>43090</v>
          </cell>
          <cell r="C4479">
            <v>10473.950000000001</v>
          </cell>
          <cell r="D4479">
            <v>10473.950000000001</v>
          </cell>
          <cell r="E4479">
            <v>10426.9</v>
          </cell>
          <cell r="F4479">
            <v>10440.299999999999</v>
          </cell>
        </row>
        <row r="4480">
          <cell r="B4480">
            <v>43091</v>
          </cell>
          <cell r="C4480">
            <v>10457.299999999999</v>
          </cell>
          <cell r="D4480">
            <v>10501.1</v>
          </cell>
          <cell r="E4480">
            <v>10448.25</v>
          </cell>
          <cell r="F4480">
            <v>10493</v>
          </cell>
        </row>
        <row r="4481">
          <cell r="B4481">
            <v>43095</v>
          </cell>
          <cell r="C4481">
            <v>10512.3</v>
          </cell>
          <cell r="D4481">
            <v>10545.45</v>
          </cell>
          <cell r="E4481">
            <v>10477.950000000001</v>
          </cell>
          <cell r="F4481">
            <v>10531.5</v>
          </cell>
        </row>
        <row r="4482">
          <cell r="B4482">
            <v>43096</v>
          </cell>
          <cell r="C4482">
            <v>10531.05</v>
          </cell>
          <cell r="D4482">
            <v>10552.4</v>
          </cell>
          <cell r="E4482">
            <v>10469.25</v>
          </cell>
          <cell r="F4482">
            <v>10490.75</v>
          </cell>
        </row>
        <row r="4483">
          <cell r="B4483">
            <v>43097</v>
          </cell>
          <cell r="C4483">
            <v>10498.2</v>
          </cell>
          <cell r="D4483">
            <v>10534.55</v>
          </cell>
          <cell r="E4483">
            <v>10460.450000000001</v>
          </cell>
          <cell r="F4483">
            <v>10477.9</v>
          </cell>
        </row>
        <row r="4484">
          <cell r="B4484">
            <v>43098</v>
          </cell>
          <cell r="C4484">
            <v>10492.35</v>
          </cell>
          <cell r="D4484">
            <v>10538.7</v>
          </cell>
          <cell r="E4484">
            <v>10488.65</v>
          </cell>
          <cell r="F4484">
            <v>10530.7</v>
          </cell>
        </row>
        <row r="4485">
          <cell r="B4485">
            <v>43101</v>
          </cell>
          <cell r="C4485">
            <v>10531.7</v>
          </cell>
          <cell r="D4485">
            <v>10537.85</v>
          </cell>
          <cell r="E4485">
            <v>10423.1</v>
          </cell>
          <cell r="F4485">
            <v>10435.549999999999</v>
          </cell>
        </row>
        <row r="4486">
          <cell r="B4486">
            <v>43102</v>
          </cell>
          <cell r="C4486">
            <v>10477.549999999999</v>
          </cell>
          <cell r="D4486">
            <v>10495.2</v>
          </cell>
          <cell r="E4486">
            <v>10404.65</v>
          </cell>
          <cell r="F4486">
            <v>10442.200000000001</v>
          </cell>
        </row>
        <row r="4487">
          <cell r="B4487">
            <v>43103</v>
          </cell>
          <cell r="C4487">
            <v>10482.65</v>
          </cell>
          <cell r="D4487">
            <v>10503.6</v>
          </cell>
          <cell r="E4487">
            <v>10429.549999999999</v>
          </cell>
          <cell r="F4487">
            <v>10443.200000000001</v>
          </cell>
        </row>
        <row r="4488">
          <cell r="B4488">
            <v>43104</v>
          </cell>
          <cell r="C4488">
            <v>10469.4</v>
          </cell>
          <cell r="D4488">
            <v>10513</v>
          </cell>
          <cell r="E4488">
            <v>10441.450000000001</v>
          </cell>
          <cell r="F4488">
            <v>10504.8</v>
          </cell>
        </row>
        <row r="4489">
          <cell r="B4489">
            <v>43105</v>
          </cell>
          <cell r="C4489">
            <v>10534.25</v>
          </cell>
          <cell r="D4489">
            <v>10566.1</v>
          </cell>
          <cell r="E4489">
            <v>10520.1</v>
          </cell>
          <cell r="F4489">
            <v>10558.85</v>
          </cell>
        </row>
        <row r="4490">
          <cell r="B4490">
            <v>43108</v>
          </cell>
          <cell r="C4490">
            <v>10591.7</v>
          </cell>
          <cell r="D4490">
            <v>10631.2</v>
          </cell>
          <cell r="E4490">
            <v>10588.55</v>
          </cell>
          <cell r="F4490">
            <v>10623.6</v>
          </cell>
        </row>
        <row r="4491">
          <cell r="B4491">
            <v>43109</v>
          </cell>
          <cell r="C4491">
            <v>10645.1</v>
          </cell>
          <cell r="D4491">
            <v>10659.15</v>
          </cell>
          <cell r="E4491">
            <v>10603.6</v>
          </cell>
          <cell r="F4491">
            <v>10637</v>
          </cell>
        </row>
        <row r="4492">
          <cell r="B4492">
            <v>43110</v>
          </cell>
          <cell r="C4492">
            <v>10652.05</v>
          </cell>
          <cell r="D4492">
            <v>10655.5</v>
          </cell>
          <cell r="E4492">
            <v>10592.7</v>
          </cell>
          <cell r="F4492">
            <v>10632.2</v>
          </cell>
        </row>
        <row r="4493">
          <cell r="B4493">
            <v>43111</v>
          </cell>
          <cell r="C4493">
            <v>10637.05</v>
          </cell>
          <cell r="D4493">
            <v>10664.6</v>
          </cell>
          <cell r="E4493">
            <v>10612.35</v>
          </cell>
          <cell r="F4493">
            <v>10651.2</v>
          </cell>
        </row>
        <row r="4494">
          <cell r="B4494">
            <v>43112</v>
          </cell>
          <cell r="C4494">
            <v>10682.55</v>
          </cell>
          <cell r="D4494">
            <v>10690.4</v>
          </cell>
          <cell r="E4494">
            <v>10597.1</v>
          </cell>
          <cell r="F4494">
            <v>10681.25</v>
          </cell>
        </row>
        <row r="4495">
          <cell r="B4495">
            <v>43115</v>
          </cell>
          <cell r="C4495">
            <v>10718.5</v>
          </cell>
          <cell r="D4495">
            <v>10782.65</v>
          </cell>
          <cell r="E4495">
            <v>10713.8</v>
          </cell>
          <cell r="F4495">
            <v>10741.55</v>
          </cell>
        </row>
        <row r="4496">
          <cell r="B4496">
            <v>43116</v>
          </cell>
          <cell r="C4496">
            <v>10761.5</v>
          </cell>
          <cell r="D4496">
            <v>10762.35</v>
          </cell>
          <cell r="E4496">
            <v>10687.85</v>
          </cell>
          <cell r="F4496">
            <v>10700.45</v>
          </cell>
        </row>
        <row r="4497">
          <cell r="B4497">
            <v>43117</v>
          </cell>
          <cell r="C4497">
            <v>10702.45</v>
          </cell>
          <cell r="D4497">
            <v>10803</v>
          </cell>
          <cell r="E4497">
            <v>10666.75</v>
          </cell>
          <cell r="F4497">
            <v>10788.55</v>
          </cell>
        </row>
        <row r="4498">
          <cell r="B4498">
            <v>43118</v>
          </cell>
          <cell r="C4498">
            <v>10873.4</v>
          </cell>
          <cell r="D4498">
            <v>10887.5</v>
          </cell>
          <cell r="E4498">
            <v>10782.4</v>
          </cell>
          <cell r="F4498">
            <v>10817</v>
          </cell>
        </row>
        <row r="4499">
          <cell r="B4499">
            <v>43119</v>
          </cell>
          <cell r="C4499">
            <v>10829.2</v>
          </cell>
          <cell r="D4499">
            <v>10906.85</v>
          </cell>
          <cell r="E4499">
            <v>10793.9</v>
          </cell>
          <cell r="F4499">
            <v>10894.7</v>
          </cell>
        </row>
        <row r="4500">
          <cell r="B4500">
            <v>43122</v>
          </cell>
          <cell r="C4500">
            <v>10883.2</v>
          </cell>
          <cell r="D4500">
            <v>10975.1</v>
          </cell>
          <cell r="E4500">
            <v>10881.4</v>
          </cell>
          <cell r="F4500">
            <v>10966.2</v>
          </cell>
        </row>
        <row r="4501">
          <cell r="B4501">
            <v>43123</v>
          </cell>
          <cell r="C4501">
            <v>10997.4</v>
          </cell>
          <cell r="D4501">
            <v>11092.9</v>
          </cell>
          <cell r="E4501">
            <v>10994.55</v>
          </cell>
          <cell r="F4501">
            <v>11083.7</v>
          </cell>
        </row>
        <row r="4502">
          <cell r="B4502">
            <v>43124</v>
          </cell>
          <cell r="C4502">
            <v>11069.35</v>
          </cell>
          <cell r="D4502">
            <v>11110.1</v>
          </cell>
          <cell r="E4502">
            <v>11046.15</v>
          </cell>
          <cell r="F4502">
            <v>11086</v>
          </cell>
        </row>
        <row r="4503">
          <cell r="B4503">
            <v>43125</v>
          </cell>
          <cell r="C4503">
            <v>11095.6</v>
          </cell>
          <cell r="D4503">
            <v>11095.6</v>
          </cell>
          <cell r="E4503">
            <v>11009.2</v>
          </cell>
          <cell r="F4503">
            <v>11069.65</v>
          </cell>
        </row>
        <row r="4504">
          <cell r="B4504">
            <v>43129</v>
          </cell>
          <cell r="C4504">
            <v>11079.35</v>
          </cell>
          <cell r="D4504">
            <v>11171.55</v>
          </cell>
          <cell r="E4504">
            <v>11075.95</v>
          </cell>
          <cell r="F4504">
            <v>11130.4</v>
          </cell>
        </row>
        <row r="4505">
          <cell r="B4505">
            <v>43130</v>
          </cell>
          <cell r="C4505">
            <v>11120.85</v>
          </cell>
          <cell r="D4505">
            <v>11121.1</v>
          </cell>
          <cell r="E4505">
            <v>11033.9</v>
          </cell>
          <cell r="F4505">
            <v>11049.65</v>
          </cell>
        </row>
        <row r="4506">
          <cell r="B4506">
            <v>43131</v>
          </cell>
          <cell r="C4506">
            <v>11018.8</v>
          </cell>
          <cell r="D4506">
            <v>11058.5</v>
          </cell>
          <cell r="E4506">
            <v>10979.3</v>
          </cell>
          <cell r="F4506">
            <v>11027.7</v>
          </cell>
        </row>
        <row r="4507">
          <cell r="B4507">
            <v>43132</v>
          </cell>
          <cell r="C4507">
            <v>11044.55</v>
          </cell>
          <cell r="D4507">
            <v>11117.35</v>
          </cell>
          <cell r="E4507">
            <v>10878.8</v>
          </cell>
          <cell r="F4507">
            <v>11016.9</v>
          </cell>
        </row>
        <row r="4508">
          <cell r="B4508">
            <v>43133</v>
          </cell>
          <cell r="C4508">
            <v>10938.2</v>
          </cell>
          <cell r="D4508">
            <v>10954.95</v>
          </cell>
          <cell r="E4508">
            <v>10736.1</v>
          </cell>
          <cell r="F4508">
            <v>10760.6</v>
          </cell>
        </row>
        <row r="4509">
          <cell r="B4509">
            <v>43136</v>
          </cell>
          <cell r="C4509">
            <v>10604.3</v>
          </cell>
          <cell r="D4509">
            <v>10702.75</v>
          </cell>
          <cell r="E4509">
            <v>10586.8</v>
          </cell>
          <cell r="F4509">
            <v>10666.55</v>
          </cell>
        </row>
        <row r="4510">
          <cell r="B4510">
            <v>43137</v>
          </cell>
          <cell r="C4510">
            <v>10295.15</v>
          </cell>
          <cell r="D4510">
            <v>10594.15</v>
          </cell>
          <cell r="E4510">
            <v>10276.299999999999</v>
          </cell>
          <cell r="F4510">
            <v>10498.25</v>
          </cell>
        </row>
        <row r="4511">
          <cell r="B4511">
            <v>43138</v>
          </cell>
          <cell r="C4511">
            <v>10607.2</v>
          </cell>
          <cell r="D4511">
            <v>10614</v>
          </cell>
          <cell r="E4511">
            <v>10446.4</v>
          </cell>
          <cell r="F4511">
            <v>10476.700000000001</v>
          </cell>
        </row>
        <row r="4512">
          <cell r="B4512">
            <v>43139</v>
          </cell>
          <cell r="C4512">
            <v>10518.5</v>
          </cell>
          <cell r="D4512">
            <v>10637.8</v>
          </cell>
          <cell r="E4512">
            <v>10479.549999999999</v>
          </cell>
          <cell r="F4512">
            <v>10576.85</v>
          </cell>
        </row>
        <row r="4513">
          <cell r="B4513">
            <v>43140</v>
          </cell>
          <cell r="C4513">
            <v>10416.5</v>
          </cell>
          <cell r="D4513">
            <v>10480.200000000001</v>
          </cell>
          <cell r="E4513">
            <v>10398.200000000001</v>
          </cell>
          <cell r="F4513">
            <v>10454.950000000001</v>
          </cell>
        </row>
        <row r="4514">
          <cell r="B4514">
            <v>43143</v>
          </cell>
          <cell r="C4514">
            <v>10518.2</v>
          </cell>
          <cell r="D4514">
            <v>10555.5</v>
          </cell>
          <cell r="E4514">
            <v>10485.4</v>
          </cell>
          <cell r="F4514">
            <v>10539.75</v>
          </cell>
        </row>
        <row r="4515">
          <cell r="B4515">
            <v>43145</v>
          </cell>
          <cell r="C4515">
            <v>10585.75</v>
          </cell>
          <cell r="D4515">
            <v>10590.55</v>
          </cell>
          <cell r="E4515">
            <v>10456.65</v>
          </cell>
          <cell r="F4515">
            <v>10500.9</v>
          </cell>
        </row>
        <row r="4516">
          <cell r="B4516">
            <v>43146</v>
          </cell>
          <cell r="C4516">
            <v>10537.9</v>
          </cell>
          <cell r="D4516">
            <v>10618.1</v>
          </cell>
          <cell r="E4516">
            <v>10511.05</v>
          </cell>
          <cell r="F4516">
            <v>10545.5</v>
          </cell>
        </row>
        <row r="4517">
          <cell r="B4517">
            <v>43147</v>
          </cell>
          <cell r="C4517">
            <v>10596.2</v>
          </cell>
          <cell r="D4517">
            <v>10612.9</v>
          </cell>
          <cell r="E4517">
            <v>10434.049999999999</v>
          </cell>
          <cell r="F4517">
            <v>10452.299999999999</v>
          </cell>
        </row>
        <row r="4518">
          <cell r="B4518">
            <v>43150</v>
          </cell>
          <cell r="C4518">
            <v>10488.9</v>
          </cell>
          <cell r="D4518">
            <v>10489.35</v>
          </cell>
          <cell r="E4518">
            <v>10302.75</v>
          </cell>
          <cell r="F4518">
            <v>10378.4</v>
          </cell>
        </row>
        <row r="4519">
          <cell r="B4519">
            <v>43151</v>
          </cell>
          <cell r="C4519">
            <v>10391</v>
          </cell>
          <cell r="D4519">
            <v>10429.35</v>
          </cell>
          <cell r="E4519">
            <v>10347.65</v>
          </cell>
          <cell r="F4519">
            <v>10360.4</v>
          </cell>
        </row>
        <row r="4520">
          <cell r="B4520">
            <v>43152</v>
          </cell>
          <cell r="C4520">
            <v>10426</v>
          </cell>
          <cell r="D4520">
            <v>10426.1</v>
          </cell>
          <cell r="E4520">
            <v>10349.6</v>
          </cell>
          <cell r="F4520">
            <v>10397.450000000001</v>
          </cell>
        </row>
        <row r="4521">
          <cell r="B4521">
            <v>43153</v>
          </cell>
          <cell r="C4521">
            <v>10354.35</v>
          </cell>
          <cell r="D4521">
            <v>10397.549999999999</v>
          </cell>
          <cell r="E4521">
            <v>10340.65</v>
          </cell>
          <cell r="F4521">
            <v>10382.700000000001</v>
          </cell>
        </row>
        <row r="4522">
          <cell r="B4522">
            <v>43154</v>
          </cell>
          <cell r="C4522">
            <v>10408.1</v>
          </cell>
          <cell r="D4522">
            <v>10499.1</v>
          </cell>
          <cell r="E4522">
            <v>10396.65</v>
          </cell>
          <cell r="F4522">
            <v>10491.05</v>
          </cell>
        </row>
        <row r="4523">
          <cell r="B4523">
            <v>43157</v>
          </cell>
          <cell r="C4523">
            <v>10526.55</v>
          </cell>
          <cell r="D4523">
            <v>10592.95</v>
          </cell>
          <cell r="E4523">
            <v>10520.2</v>
          </cell>
          <cell r="F4523">
            <v>10582.6</v>
          </cell>
        </row>
        <row r="4524">
          <cell r="B4524">
            <v>43158</v>
          </cell>
          <cell r="C4524">
            <v>10615.2</v>
          </cell>
          <cell r="D4524">
            <v>10631.65</v>
          </cell>
          <cell r="E4524">
            <v>10537.25</v>
          </cell>
          <cell r="F4524">
            <v>10554.3</v>
          </cell>
        </row>
        <row r="4525">
          <cell r="B4525">
            <v>43159</v>
          </cell>
          <cell r="C4525">
            <v>10488.95</v>
          </cell>
          <cell r="D4525">
            <v>10535.5</v>
          </cell>
          <cell r="E4525">
            <v>10461.549999999999</v>
          </cell>
          <cell r="F4525">
            <v>10492.85</v>
          </cell>
        </row>
        <row r="4526">
          <cell r="B4526">
            <v>43160</v>
          </cell>
          <cell r="C4526">
            <v>10479.950000000001</v>
          </cell>
          <cell r="D4526">
            <v>10525.5</v>
          </cell>
          <cell r="E4526">
            <v>10447.15</v>
          </cell>
          <cell r="F4526">
            <v>10458.35</v>
          </cell>
        </row>
        <row r="4527">
          <cell r="B4527">
            <v>43164</v>
          </cell>
          <cell r="C4527">
            <v>10428.299999999999</v>
          </cell>
          <cell r="D4527">
            <v>10428.700000000001</v>
          </cell>
          <cell r="E4527">
            <v>10323.9</v>
          </cell>
          <cell r="F4527">
            <v>10358.85</v>
          </cell>
        </row>
        <row r="4528">
          <cell r="B4528">
            <v>43165</v>
          </cell>
          <cell r="C4528">
            <v>10420.5</v>
          </cell>
          <cell r="D4528">
            <v>10441.35</v>
          </cell>
          <cell r="E4528">
            <v>10215.9</v>
          </cell>
          <cell r="F4528">
            <v>10249.25</v>
          </cell>
        </row>
        <row r="4529">
          <cell r="B4529">
            <v>43166</v>
          </cell>
          <cell r="C4529">
            <v>10232.950000000001</v>
          </cell>
          <cell r="D4529">
            <v>10243.35</v>
          </cell>
          <cell r="E4529">
            <v>10141.549999999999</v>
          </cell>
          <cell r="F4529">
            <v>10154.200000000001</v>
          </cell>
        </row>
        <row r="4530">
          <cell r="B4530">
            <v>43167</v>
          </cell>
          <cell r="C4530">
            <v>10216.25</v>
          </cell>
          <cell r="D4530">
            <v>10270.35</v>
          </cell>
          <cell r="E4530">
            <v>10146.4</v>
          </cell>
          <cell r="F4530">
            <v>10242.65</v>
          </cell>
        </row>
        <row r="4531">
          <cell r="B4531">
            <v>43168</v>
          </cell>
          <cell r="C4531">
            <v>10271.299999999999</v>
          </cell>
          <cell r="D4531">
            <v>10296.700000000001</v>
          </cell>
          <cell r="E4531">
            <v>10211.9</v>
          </cell>
          <cell r="F4531">
            <v>10226.85</v>
          </cell>
        </row>
        <row r="4532">
          <cell r="B4532">
            <v>43171</v>
          </cell>
          <cell r="C4532">
            <v>10301.6</v>
          </cell>
          <cell r="D4532">
            <v>10433.65</v>
          </cell>
          <cell r="E4532">
            <v>10295.450000000001</v>
          </cell>
          <cell r="F4532">
            <v>10421.4</v>
          </cell>
        </row>
        <row r="4533">
          <cell r="B4533">
            <v>43172</v>
          </cell>
          <cell r="C4533">
            <v>10389.5</v>
          </cell>
          <cell r="D4533">
            <v>10478.6</v>
          </cell>
          <cell r="E4533">
            <v>10377.85</v>
          </cell>
          <cell r="F4533">
            <v>10426.85</v>
          </cell>
        </row>
        <row r="4534">
          <cell r="B4534">
            <v>43173</v>
          </cell>
          <cell r="C4534">
            <v>10393.049999999999</v>
          </cell>
          <cell r="D4534">
            <v>10420.35</v>
          </cell>
          <cell r="E4534">
            <v>10336.299999999999</v>
          </cell>
          <cell r="F4534">
            <v>10410.9</v>
          </cell>
        </row>
        <row r="4535">
          <cell r="B4535">
            <v>43174</v>
          </cell>
          <cell r="C4535">
            <v>10405.450000000001</v>
          </cell>
          <cell r="D4535">
            <v>10420</v>
          </cell>
          <cell r="E4535">
            <v>10346.200000000001</v>
          </cell>
          <cell r="F4535">
            <v>10360.15</v>
          </cell>
        </row>
        <row r="4536">
          <cell r="B4536">
            <v>43175</v>
          </cell>
          <cell r="C4536">
            <v>10345.15</v>
          </cell>
          <cell r="D4536">
            <v>10346.299999999999</v>
          </cell>
          <cell r="E4536">
            <v>10180.25</v>
          </cell>
          <cell r="F4536">
            <v>10195.15</v>
          </cell>
        </row>
        <row r="4537">
          <cell r="B4537">
            <v>43178</v>
          </cell>
          <cell r="C4537">
            <v>10215.35</v>
          </cell>
          <cell r="D4537">
            <v>10224.549999999999</v>
          </cell>
          <cell r="E4537">
            <v>10075.299999999999</v>
          </cell>
          <cell r="F4537">
            <v>10094.25</v>
          </cell>
        </row>
        <row r="4538">
          <cell r="B4538">
            <v>43179</v>
          </cell>
          <cell r="C4538">
            <v>10051.549999999999</v>
          </cell>
          <cell r="D4538">
            <v>10155.65</v>
          </cell>
          <cell r="E4538">
            <v>10049.1</v>
          </cell>
          <cell r="F4538">
            <v>10124.35</v>
          </cell>
        </row>
        <row r="4539">
          <cell r="B4539">
            <v>43180</v>
          </cell>
          <cell r="C4539">
            <v>10181.950000000001</v>
          </cell>
          <cell r="D4539">
            <v>10227.299999999999</v>
          </cell>
          <cell r="E4539">
            <v>10132.950000000001</v>
          </cell>
          <cell r="F4539">
            <v>10155.25</v>
          </cell>
        </row>
        <row r="4540">
          <cell r="B4540">
            <v>43181</v>
          </cell>
          <cell r="C4540">
            <v>10167.5</v>
          </cell>
          <cell r="D4540">
            <v>10207.85</v>
          </cell>
          <cell r="E4540">
            <v>10105.4</v>
          </cell>
          <cell r="F4540">
            <v>10114.75</v>
          </cell>
        </row>
        <row r="4541">
          <cell r="B4541">
            <v>43182</v>
          </cell>
          <cell r="C4541">
            <v>9968.7999999999993</v>
          </cell>
          <cell r="D4541">
            <v>10027.700000000001</v>
          </cell>
          <cell r="E4541">
            <v>9951.9</v>
          </cell>
          <cell r="F4541">
            <v>9998.0499999999993</v>
          </cell>
        </row>
        <row r="4542">
          <cell r="B4542">
            <v>43185</v>
          </cell>
          <cell r="C4542">
            <v>9989.15</v>
          </cell>
          <cell r="D4542">
            <v>10143.5</v>
          </cell>
          <cell r="E4542">
            <v>9958.5499999999993</v>
          </cell>
          <cell r="F4542">
            <v>10130.65</v>
          </cell>
        </row>
        <row r="4543">
          <cell r="B4543">
            <v>43186</v>
          </cell>
          <cell r="C4543">
            <v>10188</v>
          </cell>
          <cell r="D4543">
            <v>10207.9</v>
          </cell>
          <cell r="E4543">
            <v>10139.65</v>
          </cell>
          <cell r="F4543">
            <v>10184.15</v>
          </cell>
        </row>
        <row r="4544">
          <cell r="B4544">
            <v>43187</v>
          </cell>
          <cell r="C4544">
            <v>10143.6</v>
          </cell>
          <cell r="D4544">
            <v>10158.35</v>
          </cell>
          <cell r="E4544">
            <v>10096.9</v>
          </cell>
          <cell r="F4544">
            <v>10113.700000000001</v>
          </cell>
        </row>
        <row r="4545">
          <cell r="B4545">
            <v>43192</v>
          </cell>
          <cell r="C4545">
            <v>10151.65</v>
          </cell>
          <cell r="D4545">
            <v>10220.1</v>
          </cell>
          <cell r="E4545">
            <v>10127.75</v>
          </cell>
          <cell r="F4545">
            <v>10211.799999999999</v>
          </cell>
        </row>
        <row r="4546">
          <cell r="B4546">
            <v>43193</v>
          </cell>
          <cell r="C4546">
            <v>10186.85</v>
          </cell>
          <cell r="D4546">
            <v>10255.35</v>
          </cell>
          <cell r="E4546">
            <v>10171.049999999999</v>
          </cell>
          <cell r="F4546">
            <v>10245</v>
          </cell>
        </row>
        <row r="4547">
          <cell r="B4547">
            <v>43194</v>
          </cell>
          <cell r="C4547">
            <v>10274.6</v>
          </cell>
          <cell r="D4547">
            <v>10279.85</v>
          </cell>
          <cell r="E4547">
            <v>10111.299999999999</v>
          </cell>
          <cell r="F4547">
            <v>10128.4</v>
          </cell>
        </row>
        <row r="4548">
          <cell r="B4548">
            <v>43195</v>
          </cell>
          <cell r="C4548">
            <v>10228.450000000001</v>
          </cell>
          <cell r="D4548">
            <v>10331.799999999999</v>
          </cell>
          <cell r="E4548">
            <v>10227.450000000001</v>
          </cell>
          <cell r="F4548">
            <v>10325.15</v>
          </cell>
        </row>
        <row r="4549">
          <cell r="B4549">
            <v>43196</v>
          </cell>
          <cell r="C4549">
            <v>10322.75</v>
          </cell>
          <cell r="D4549">
            <v>10350.450000000001</v>
          </cell>
          <cell r="E4549">
            <v>10290.85</v>
          </cell>
          <cell r="F4549">
            <v>10331.6</v>
          </cell>
        </row>
        <row r="4550">
          <cell r="B4550">
            <v>43199</v>
          </cell>
          <cell r="C4550">
            <v>10333.700000000001</v>
          </cell>
          <cell r="D4550">
            <v>10397.700000000001</v>
          </cell>
          <cell r="E4550">
            <v>10328.5</v>
          </cell>
          <cell r="F4550">
            <v>10379.35</v>
          </cell>
        </row>
        <row r="4551">
          <cell r="B4551">
            <v>43200</v>
          </cell>
          <cell r="C4551">
            <v>10412.9</v>
          </cell>
          <cell r="D4551">
            <v>10424.85</v>
          </cell>
          <cell r="E4551">
            <v>10381.5</v>
          </cell>
          <cell r="F4551">
            <v>10402.25</v>
          </cell>
        </row>
        <row r="4552">
          <cell r="B4552">
            <v>43201</v>
          </cell>
          <cell r="C4552">
            <v>10428.15</v>
          </cell>
          <cell r="D4552">
            <v>10428.15</v>
          </cell>
          <cell r="E4552">
            <v>10355.6</v>
          </cell>
          <cell r="F4552">
            <v>10417.15</v>
          </cell>
        </row>
        <row r="4553">
          <cell r="B4553">
            <v>43202</v>
          </cell>
          <cell r="C4553">
            <v>10410.65</v>
          </cell>
          <cell r="D4553">
            <v>10469.9</v>
          </cell>
          <cell r="E4553">
            <v>10395.25</v>
          </cell>
          <cell r="F4553">
            <v>10458.65</v>
          </cell>
        </row>
        <row r="4554">
          <cell r="B4554">
            <v>43203</v>
          </cell>
          <cell r="C4554">
            <v>10495.3</v>
          </cell>
          <cell r="D4554">
            <v>10519.9</v>
          </cell>
          <cell r="E4554">
            <v>10451.450000000001</v>
          </cell>
          <cell r="F4554">
            <v>10480.6</v>
          </cell>
        </row>
        <row r="4555">
          <cell r="B4555">
            <v>43206</v>
          </cell>
          <cell r="C4555">
            <v>10398.299999999999</v>
          </cell>
          <cell r="D4555">
            <v>10540.15</v>
          </cell>
          <cell r="E4555">
            <v>10396.35</v>
          </cell>
          <cell r="F4555">
            <v>10528.35</v>
          </cell>
        </row>
        <row r="4556">
          <cell r="B4556">
            <v>43207</v>
          </cell>
          <cell r="C4556">
            <v>10557.3</v>
          </cell>
          <cell r="D4556">
            <v>10560.45</v>
          </cell>
          <cell r="E4556">
            <v>10495.65</v>
          </cell>
          <cell r="F4556">
            <v>10548.7</v>
          </cell>
        </row>
        <row r="4557">
          <cell r="B4557">
            <v>43208</v>
          </cell>
          <cell r="C4557">
            <v>10578.9</v>
          </cell>
          <cell r="D4557">
            <v>10594.2</v>
          </cell>
          <cell r="E4557">
            <v>10509.7</v>
          </cell>
          <cell r="F4557">
            <v>10526.2</v>
          </cell>
        </row>
        <row r="4558">
          <cell r="B4558">
            <v>43209</v>
          </cell>
          <cell r="C4558">
            <v>10563.65</v>
          </cell>
          <cell r="D4558">
            <v>10572.2</v>
          </cell>
          <cell r="E4558">
            <v>10546.2</v>
          </cell>
          <cell r="F4558">
            <v>10565.3</v>
          </cell>
        </row>
        <row r="4559">
          <cell r="B4559">
            <v>43210</v>
          </cell>
          <cell r="C4559">
            <v>10560.35</v>
          </cell>
          <cell r="D4559">
            <v>10582.35</v>
          </cell>
          <cell r="E4559">
            <v>10527.45</v>
          </cell>
          <cell r="F4559">
            <v>10564.05</v>
          </cell>
        </row>
        <row r="4560">
          <cell r="B4560">
            <v>43213</v>
          </cell>
          <cell r="C4560">
            <v>10592.8</v>
          </cell>
          <cell r="D4560">
            <v>10638.35</v>
          </cell>
          <cell r="E4560">
            <v>10514.95</v>
          </cell>
          <cell r="F4560">
            <v>10584.7</v>
          </cell>
        </row>
        <row r="4561">
          <cell r="B4561">
            <v>43214</v>
          </cell>
          <cell r="C4561">
            <v>10578.1</v>
          </cell>
          <cell r="D4561">
            <v>10636.8</v>
          </cell>
          <cell r="E4561">
            <v>10569</v>
          </cell>
          <cell r="F4561">
            <v>10614.35</v>
          </cell>
        </row>
        <row r="4562">
          <cell r="B4562">
            <v>43215</v>
          </cell>
          <cell r="C4562">
            <v>10612.4</v>
          </cell>
          <cell r="D4562">
            <v>10612.6</v>
          </cell>
          <cell r="E4562">
            <v>10536.45</v>
          </cell>
          <cell r="F4562">
            <v>10570.55</v>
          </cell>
        </row>
        <row r="4563">
          <cell r="B4563">
            <v>43216</v>
          </cell>
          <cell r="C4563">
            <v>10586.5</v>
          </cell>
          <cell r="D4563">
            <v>10628.4</v>
          </cell>
          <cell r="E4563">
            <v>10559.65</v>
          </cell>
          <cell r="F4563">
            <v>10617.8</v>
          </cell>
        </row>
        <row r="4564">
          <cell r="B4564">
            <v>43217</v>
          </cell>
          <cell r="C4564">
            <v>10651.65</v>
          </cell>
          <cell r="D4564">
            <v>10719.8</v>
          </cell>
          <cell r="E4564">
            <v>10647.55</v>
          </cell>
          <cell r="F4564">
            <v>10692.3</v>
          </cell>
        </row>
        <row r="4565">
          <cell r="B4565">
            <v>43220</v>
          </cell>
          <cell r="C4565">
            <v>10705.75</v>
          </cell>
          <cell r="D4565">
            <v>10759</v>
          </cell>
          <cell r="E4565">
            <v>10704.6</v>
          </cell>
          <cell r="F4565">
            <v>10739.35</v>
          </cell>
        </row>
        <row r="4566">
          <cell r="B4566">
            <v>43222</v>
          </cell>
          <cell r="C4566">
            <v>10783.85</v>
          </cell>
          <cell r="D4566">
            <v>10784.65</v>
          </cell>
          <cell r="E4566">
            <v>10689.8</v>
          </cell>
          <cell r="F4566">
            <v>10718.05</v>
          </cell>
        </row>
        <row r="4567">
          <cell r="B4567">
            <v>43223</v>
          </cell>
          <cell r="C4567">
            <v>10720.15</v>
          </cell>
          <cell r="D4567">
            <v>10720.6</v>
          </cell>
          <cell r="E4567">
            <v>10647.45</v>
          </cell>
          <cell r="F4567">
            <v>10679.65</v>
          </cell>
        </row>
        <row r="4568">
          <cell r="B4568">
            <v>43224</v>
          </cell>
          <cell r="C4568">
            <v>10700.45</v>
          </cell>
          <cell r="D4568">
            <v>10700.45</v>
          </cell>
          <cell r="E4568">
            <v>10601.6</v>
          </cell>
          <cell r="F4568">
            <v>10618.25</v>
          </cell>
        </row>
        <row r="4569">
          <cell r="B4569">
            <v>43227</v>
          </cell>
          <cell r="C4569">
            <v>10653.15</v>
          </cell>
          <cell r="D4569">
            <v>10725.65</v>
          </cell>
          <cell r="E4569">
            <v>10635.65</v>
          </cell>
          <cell r="F4569">
            <v>10715.5</v>
          </cell>
        </row>
        <row r="4570">
          <cell r="B4570">
            <v>43228</v>
          </cell>
          <cell r="C4570">
            <v>10757.9</v>
          </cell>
          <cell r="D4570">
            <v>10758.55</v>
          </cell>
          <cell r="E4570">
            <v>10689.4</v>
          </cell>
          <cell r="F4570">
            <v>10717.8</v>
          </cell>
        </row>
        <row r="4571">
          <cell r="B4571">
            <v>43229</v>
          </cell>
          <cell r="C4571">
            <v>10693.35</v>
          </cell>
          <cell r="D4571">
            <v>10766.25</v>
          </cell>
          <cell r="E4571">
            <v>10689.85</v>
          </cell>
          <cell r="F4571">
            <v>10741.7</v>
          </cell>
        </row>
        <row r="4572">
          <cell r="B4572">
            <v>43230</v>
          </cell>
          <cell r="C4572">
            <v>10779.65</v>
          </cell>
          <cell r="D4572">
            <v>10785.55</v>
          </cell>
          <cell r="E4572">
            <v>10705</v>
          </cell>
          <cell r="F4572">
            <v>10716.55</v>
          </cell>
        </row>
        <row r="4573">
          <cell r="B4573">
            <v>43231</v>
          </cell>
          <cell r="C4573">
            <v>10741.95</v>
          </cell>
          <cell r="D4573">
            <v>10812.05</v>
          </cell>
          <cell r="E4573">
            <v>10724.45</v>
          </cell>
          <cell r="F4573">
            <v>10806.5</v>
          </cell>
        </row>
        <row r="4574">
          <cell r="B4574">
            <v>43234</v>
          </cell>
          <cell r="C4574">
            <v>10815.15</v>
          </cell>
          <cell r="D4574">
            <v>10834.85</v>
          </cell>
          <cell r="E4574">
            <v>10774.75</v>
          </cell>
          <cell r="F4574">
            <v>10806.6</v>
          </cell>
        </row>
        <row r="4575">
          <cell r="B4575">
            <v>43235</v>
          </cell>
          <cell r="C4575">
            <v>10812.6</v>
          </cell>
          <cell r="D4575">
            <v>10929.2</v>
          </cell>
          <cell r="E4575">
            <v>10781.4</v>
          </cell>
          <cell r="F4575">
            <v>10801.85</v>
          </cell>
        </row>
        <row r="4576">
          <cell r="B4576">
            <v>43236</v>
          </cell>
          <cell r="C4576">
            <v>10751.95</v>
          </cell>
          <cell r="D4576">
            <v>10790.45</v>
          </cell>
          <cell r="E4576">
            <v>10699.7</v>
          </cell>
          <cell r="F4576">
            <v>10741.1</v>
          </cell>
        </row>
        <row r="4577">
          <cell r="B4577">
            <v>43237</v>
          </cell>
          <cell r="C4577">
            <v>10775.6</v>
          </cell>
          <cell r="D4577">
            <v>10777.25</v>
          </cell>
          <cell r="E4577">
            <v>10664.5</v>
          </cell>
          <cell r="F4577">
            <v>10682.7</v>
          </cell>
        </row>
        <row r="4578">
          <cell r="B4578">
            <v>43238</v>
          </cell>
          <cell r="C4578">
            <v>10671.85</v>
          </cell>
          <cell r="D4578">
            <v>10674.95</v>
          </cell>
          <cell r="E4578">
            <v>10589.1</v>
          </cell>
          <cell r="F4578">
            <v>10596.4</v>
          </cell>
        </row>
        <row r="4579">
          <cell r="B4579">
            <v>43241</v>
          </cell>
          <cell r="C4579">
            <v>10616.7</v>
          </cell>
          <cell r="D4579">
            <v>10621.7</v>
          </cell>
          <cell r="E4579">
            <v>10505.8</v>
          </cell>
          <cell r="F4579">
            <v>10516.7</v>
          </cell>
        </row>
        <row r="4580">
          <cell r="B4580">
            <v>43242</v>
          </cell>
          <cell r="C4580">
            <v>10518.45</v>
          </cell>
          <cell r="D4580">
            <v>10558.6</v>
          </cell>
          <cell r="E4580">
            <v>10490.55</v>
          </cell>
          <cell r="F4580">
            <v>10536.7</v>
          </cell>
        </row>
        <row r="4581">
          <cell r="B4581">
            <v>43243</v>
          </cell>
          <cell r="C4581">
            <v>10521.1</v>
          </cell>
          <cell r="D4581">
            <v>10533.55</v>
          </cell>
          <cell r="E4581">
            <v>10417.799999999999</v>
          </cell>
          <cell r="F4581">
            <v>10430.35</v>
          </cell>
        </row>
        <row r="4582">
          <cell r="B4582">
            <v>43244</v>
          </cell>
          <cell r="C4582">
            <v>10464.85</v>
          </cell>
          <cell r="D4582">
            <v>10535.15</v>
          </cell>
          <cell r="E4582">
            <v>10419.799999999999</v>
          </cell>
          <cell r="F4582">
            <v>10513.85</v>
          </cell>
        </row>
        <row r="4583">
          <cell r="B4583">
            <v>43245</v>
          </cell>
          <cell r="C4583">
            <v>10533.05</v>
          </cell>
          <cell r="D4583">
            <v>10628.05</v>
          </cell>
          <cell r="E4583">
            <v>10524</v>
          </cell>
          <cell r="F4583">
            <v>10605.15</v>
          </cell>
        </row>
        <row r="4584">
          <cell r="B4584">
            <v>43248</v>
          </cell>
          <cell r="C4584">
            <v>10648.35</v>
          </cell>
          <cell r="D4584">
            <v>10709.8</v>
          </cell>
          <cell r="E4584">
            <v>10640.55</v>
          </cell>
          <cell r="F4584">
            <v>10688.65</v>
          </cell>
        </row>
        <row r="4585">
          <cell r="B4585">
            <v>43249</v>
          </cell>
          <cell r="C4585">
            <v>10689.4</v>
          </cell>
          <cell r="D4585">
            <v>10717.25</v>
          </cell>
          <cell r="E4585">
            <v>10616.1</v>
          </cell>
          <cell r="F4585">
            <v>10633.3</v>
          </cell>
        </row>
        <row r="4586">
          <cell r="B4586">
            <v>43250</v>
          </cell>
          <cell r="C4586">
            <v>10579</v>
          </cell>
          <cell r="D4586">
            <v>10648.7</v>
          </cell>
          <cell r="E4586">
            <v>10558.45</v>
          </cell>
          <cell r="F4586">
            <v>10614.35</v>
          </cell>
        </row>
        <row r="4587">
          <cell r="B4587">
            <v>43251</v>
          </cell>
          <cell r="C4587">
            <v>10670.1</v>
          </cell>
          <cell r="D4587">
            <v>10763.8</v>
          </cell>
          <cell r="E4587">
            <v>10620.4</v>
          </cell>
          <cell r="F4587">
            <v>10736.15</v>
          </cell>
        </row>
        <row r="4588">
          <cell r="B4588">
            <v>43252</v>
          </cell>
          <cell r="C4588">
            <v>10738.45</v>
          </cell>
          <cell r="D4588">
            <v>10764.75</v>
          </cell>
          <cell r="E4588">
            <v>10681.5</v>
          </cell>
          <cell r="F4588">
            <v>10696.2</v>
          </cell>
        </row>
        <row r="4589">
          <cell r="B4589">
            <v>43255</v>
          </cell>
          <cell r="C4589">
            <v>10765.95</v>
          </cell>
          <cell r="D4589">
            <v>10770.3</v>
          </cell>
          <cell r="E4589">
            <v>10618.35</v>
          </cell>
          <cell r="F4589">
            <v>10628.5</v>
          </cell>
        </row>
        <row r="4590">
          <cell r="B4590">
            <v>43256</v>
          </cell>
          <cell r="C4590">
            <v>10630.7</v>
          </cell>
          <cell r="D4590">
            <v>10633.15</v>
          </cell>
          <cell r="E4590">
            <v>10550.9</v>
          </cell>
          <cell r="F4590">
            <v>10593.15</v>
          </cell>
        </row>
        <row r="4591">
          <cell r="B4591">
            <v>43257</v>
          </cell>
          <cell r="C4591">
            <v>10603.45</v>
          </cell>
          <cell r="D4591">
            <v>10698.35</v>
          </cell>
          <cell r="E4591">
            <v>10587.5</v>
          </cell>
          <cell r="F4591">
            <v>10684.65</v>
          </cell>
        </row>
        <row r="4592">
          <cell r="B4592">
            <v>43258</v>
          </cell>
          <cell r="C4592">
            <v>10722.6</v>
          </cell>
          <cell r="D4592">
            <v>10818</v>
          </cell>
          <cell r="E4592">
            <v>10722.6</v>
          </cell>
          <cell r="F4592">
            <v>10768.35</v>
          </cell>
        </row>
        <row r="4593">
          <cell r="B4593">
            <v>43259</v>
          </cell>
          <cell r="C4593">
            <v>10736.4</v>
          </cell>
          <cell r="D4593">
            <v>10779.45</v>
          </cell>
          <cell r="E4593">
            <v>10709.05</v>
          </cell>
          <cell r="F4593">
            <v>10767.65</v>
          </cell>
        </row>
        <row r="4594">
          <cell r="B4594">
            <v>43262</v>
          </cell>
          <cell r="C4594">
            <v>10781.85</v>
          </cell>
          <cell r="D4594">
            <v>10850.55</v>
          </cell>
          <cell r="E4594">
            <v>10777.05</v>
          </cell>
          <cell r="F4594">
            <v>10786.95</v>
          </cell>
        </row>
        <row r="4595">
          <cell r="B4595">
            <v>43263</v>
          </cell>
          <cell r="C4595">
            <v>10816.15</v>
          </cell>
          <cell r="D4595">
            <v>10856.55</v>
          </cell>
          <cell r="E4595">
            <v>10789.4</v>
          </cell>
          <cell r="F4595">
            <v>10842.85</v>
          </cell>
        </row>
        <row r="4596">
          <cell r="B4596">
            <v>43264</v>
          </cell>
          <cell r="C4596">
            <v>10887.5</v>
          </cell>
          <cell r="D4596">
            <v>10893.25</v>
          </cell>
          <cell r="E4596">
            <v>10842.65</v>
          </cell>
          <cell r="F4596">
            <v>10856.7</v>
          </cell>
        </row>
        <row r="4597">
          <cell r="B4597">
            <v>43265</v>
          </cell>
          <cell r="C4597">
            <v>10832.9</v>
          </cell>
          <cell r="D4597">
            <v>10833.7</v>
          </cell>
          <cell r="E4597">
            <v>10773.55</v>
          </cell>
          <cell r="F4597">
            <v>10808.05</v>
          </cell>
        </row>
        <row r="4598">
          <cell r="B4598">
            <v>43266</v>
          </cell>
          <cell r="C4598">
            <v>10808.65</v>
          </cell>
          <cell r="D4598">
            <v>10834</v>
          </cell>
          <cell r="E4598">
            <v>10755.4</v>
          </cell>
          <cell r="F4598">
            <v>10817.7</v>
          </cell>
        </row>
        <row r="4599">
          <cell r="B4599">
            <v>43269</v>
          </cell>
          <cell r="C4599">
            <v>10830.2</v>
          </cell>
          <cell r="D4599">
            <v>10830.2</v>
          </cell>
          <cell r="E4599">
            <v>10787.35</v>
          </cell>
          <cell r="F4599">
            <v>10799.85</v>
          </cell>
        </row>
        <row r="4600">
          <cell r="B4600">
            <v>43270</v>
          </cell>
          <cell r="C4600">
            <v>10789.45</v>
          </cell>
          <cell r="D4600">
            <v>10789.45</v>
          </cell>
          <cell r="E4600">
            <v>10701.2</v>
          </cell>
          <cell r="F4600">
            <v>10710.45</v>
          </cell>
        </row>
        <row r="4601">
          <cell r="B4601">
            <v>43271</v>
          </cell>
          <cell r="C4601">
            <v>10734.65</v>
          </cell>
          <cell r="D4601">
            <v>10781.8</v>
          </cell>
          <cell r="E4601">
            <v>10724.05</v>
          </cell>
          <cell r="F4601">
            <v>10772.05</v>
          </cell>
        </row>
        <row r="4602">
          <cell r="B4602">
            <v>43272</v>
          </cell>
          <cell r="C4602">
            <v>10808.45</v>
          </cell>
          <cell r="D4602">
            <v>10809.6</v>
          </cell>
          <cell r="E4602">
            <v>10725.9</v>
          </cell>
          <cell r="F4602">
            <v>10741.1</v>
          </cell>
        </row>
        <row r="4603">
          <cell r="B4603">
            <v>43273</v>
          </cell>
          <cell r="C4603">
            <v>10742.7</v>
          </cell>
          <cell r="D4603">
            <v>10837</v>
          </cell>
          <cell r="E4603">
            <v>10710.45</v>
          </cell>
          <cell r="F4603">
            <v>10821.85</v>
          </cell>
        </row>
        <row r="4604">
          <cell r="B4604">
            <v>43276</v>
          </cell>
          <cell r="C4604">
            <v>10822.9</v>
          </cell>
          <cell r="D4604">
            <v>10831.05</v>
          </cell>
          <cell r="E4604">
            <v>10753.05</v>
          </cell>
          <cell r="F4604">
            <v>10762.45</v>
          </cell>
        </row>
        <row r="4605">
          <cell r="B4605">
            <v>43277</v>
          </cell>
          <cell r="C4605">
            <v>10742.7</v>
          </cell>
          <cell r="D4605">
            <v>10805.25</v>
          </cell>
          <cell r="E4605">
            <v>10732.55</v>
          </cell>
          <cell r="F4605">
            <v>10769.15</v>
          </cell>
        </row>
        <row r="4606">
          <cell r="B4606">
            <v>43278</v>
          </cell>
          <cell r="C4606">
            <v>10785.5</v>
          </cell>
          <cell r="D4606">
            <v>10785.5</v>
          </cell>
          <cell r="E4606">
            <v>10652.4</v>
          </cell>
          <cell r="F4606">
            <v>10671.4</v>
          </cell>
        </row>
        <row r="4607">
          <cell r="B4607">
            <v>43279</v>
          </cell>
          <cell r="C4607">
            <v>10660.8</v>
          </cell>
          <cell r="D4607">
            <v>10674.2</v>
          </cell>
          <cell r="E4607">
            <v>10557.7</v>
          </cell>
          <cell r="F4607">
            <v>10589.1</v>
          </cell>
        </row>
        <row r="4608">
          <cell r="B4608">
            <v>43280</v>
          </cell>
          <cell r="C4608">
            <v>10612.85</v>
          </cell>
          <cell r="D4608">
            <v>10723.05</v>
          </cell>
          <cell r="E4608">
            <v>10612.35</v>
          </cell>
          <cell r="F4608">
            <v>10714.3</v>
          </cell>
        </row>
        <row r="4609">
          <cell r="B4609">
            <v>43283</v>
          </cell>
          <cell r="C4609">
            <v>10732.35</v>
          </cell>
          <cell r="D4609">
            <v>10736.15</v>
          </cell>
          <cell r="E4609">
            <v>10604.65</v>
          </cell>
          <cell r="F4609">
            <v>10657.3</v>
          </cell>
        </row>
        <row r="4610">
          <cell r="B4610">
            <v>43284</v>
          </cell>
          <cell r="C4610">
            <v>10668.6</v>
          </cell>
          <cell r="D4610">
            <v>10713.3</v>
          </cell>
          <cell r="E4610">
            <v>10630.25</v>
          </cell>
          <cell r="F4610">
            <v>10699.9</v>
          </cell>
        </row>
        <row r="4611">
          <cell r="B4611">
            <v>43285</v>
          </cell>
          <cell r="C4611">
            <v>10715</v>
          </cell>
          <cell r="D4611">
            <v>10777.15</v>
          </cell>
          <cell r="E4611">
            <v>10677.75</v>
          </cell>
          <cell r="F4611">
            <v>10769.9</v>
          </cell>
        </row>
        <row r="4612">
          <cell r="B4612">
            <v>43286</v>
          </cell>
          <cell r="C4612">
            <v>10786.05</v>
          </cell>
          <cell r="D4612">
            <v>10786.05</v>
          </cell>
          <cell r="E4612">
            <v>10726.25</v>
          </cell>
          <cell r="F4612">
            <v>10749.75</v>
          </cell>
        </row>
        <row r="4613">
          <cell r="B4613">
            <v>43287</v>
          </cell>
          <cell r="C4613">
            <v>10744.15</v>
          </cell>
          <cell r="D4613">
            <v>10816.35</v>
          </cell>
          <cell r="E4613">
            <v>10735.05</v>
          </cell>
          <cell r="F4613">
            <v>10772.65</v>
          </cell>
        </row>
        <row r="4614">
          <cell r="B4614">
            <v>43290</v>
          </cell>
          <cell r="C4614">
            <v>10838.3</v>
          </cell>
          <cell r="D4614">
            <v>10860.35</v>
          </cell>
          <cell r="E4614">
            <v>10807.15</v>
          </cell>
          <cell r="F4614">
            <v>10852.9</v>
          </cell>
        </row>
        <row r="4615">
          <cell r="B4615">
            <v>43291</v>
          </cell>
          <cell r="C4615">
            <v>10902.75</v>
          </cell>
          <cell r="D4615">
            <v>10956.9</v>
          </cell>
          <cell r="E4615">
            <v>10876.65</v>
          </cell>
          <cell r="F4615">
            <v>10947.25</v>
          </cell>
        </row>
        <row r="4616">
          <cell r="B4616">
            <v>43292</v>
          </cell>
          <cell r="C4616">
            <v>10956.4</v>
          </cell>
          <cell r="D4616">
            <v>10976.65</v>
          </cell>
          <cell r="E4616">
            <v>10923</v>
          </cell>
          <cell r="F4616">
            <v>10948.3</v>
          </cell>
        </row>
        <row r="4617">
          <cell r="B4617">
            <v>43293</v>
          </cell>
          <cell r="C4617">
            <v>11006.95</v>
          </cell>
          <cell r="D4617">
            <v>11078.3</v>
          </cell>
          <cell r="E4617">
            <v>10999.65</v>
          </cell>
          <cell r="F4617">
            <v>11023.2</v>
          </cell>
        </row>
        <row r="4618">
          <cell r="B4618">
            <v>43294</v>
          </cell>
          <cell r="C4618">
            <v>11056.9</v>
          </cell>
          <cell r="D4618">
            <v>11071.35</v>
          </cell>
          <cell r="E4618">
            <v>10999.75</v>
          </cell>
          <cell r="F4618">
            <v>11018.9</v>
          </cell>
        </row>
        <row r="4619">
          <cell r="B4619">
            <v>43297</v>
          </cell>
          <cell r="C4619">
            <v>11018.95</v>
          </cell>
          <cell r="D4619">
            <v>11019.5</v>
          </cell>
          <cell r="E4619">
            <v>10926.25</v>
          </cell>
          <cell r="F4619">
            <v>10936.85</v>
          </cell>
        </row>
        <row r="4620">
          <cell r="B4620">
            <v>43298</v>
          </cell>
          <cell r="C4620">
            <v>10939.65</v>
          </cell>
          <cell r="D4620">
            <v>11018.5</v>
          </cell>
          <cell r="E4620">
            <v>10925.6</v>
          </cell>
          <cell r="F4620">
            <v>11008.05</v>
          </cell>
        </row>
        <row r="4621">
          <cell r="B4621">
            <v>43299</v>
          </cell>
          <cell r="C4621">
            <v>11060.2</v>
          </cell>
          <cell r="D4621">
            <v>11076.2</v>
          </cell>
          <cell r="E4621">
            <v>10956.3</v>
          </cell>
          <cell r="F4621">
            <v>10980.45</v>
          </cell>
        </row>
        <row r="4622">
          <cell r="B4622">
            <v>43300</v>
          </cell>
          <cell r="C4622">
            <v>10999.5</v>
          </cell>
          <cell r="D4622">
            <v>11006.5</v>
          </cell>
          <cell r="E4622">
            <v>10935.45</v>
          </cell>
          <cell r="F4622">
            <v>10957.1</v>
          </cell>
        </row>
        <row r="4623">
          <cell r="B4623">
            <v>43301</v>
          </cell>
          <cell r="C4623">
            <v>10963.5</v>
          </cell>
          <cell r="D4623">
            <v>11030.25</v>
          </cell>
          <cell r="E4623">
            <v>10946.2</v>
          </cell>
          <cell r="F4623">
            <v>11010.2</v>
          </cell>
        </row>
        <row r="4624">
          <cell r="B4624">
            <v>43304</v>
          </cell>
          <cell r="C4624">
            <v>11019.85</v>
          </cell>
          <cell r="D4624">
            <v>11093.4</v>
          </cell>
          <cell r="E4624">
            <v>11010.95</v>
          </cell>
          <cell r="F4624">
            <v>11084.75</v>
          </cell>
        </row>
        <row r="4625">
          <cell r="B4625">
            <v>43305</v>
          </cell>
          <cell r="C4625">
            <v>11109</v>
          </cell>
          <cell r="D4625">
            <v>11143.4</v>
          </cell>
          <cell r="E4625">
            <v>11092.5</v>
          </cell>
          <cell r="F4625">
            <v>11134.3</v>
          </cell>
        </row>
        <row r="4626">
          <cell r="B4626">
            <v>43306</v>
          </cell>
          <cell r="C4626">
            <v>11148.4</v>
          </cell>
          <cell r="D4626">
            <v>11157.15</v>
          </cell>
          <cell r="E4626">
            <v>11113.25</v>
          </cell>
          <cell r="F4626">
            <v>11132</v>
          </cell>
        </row>
        <row r="4627">
          <cell r="B4627">
            <v>43307</v>
          </cell>
          <cell r="C4627">
            <v>11132.95</v>
          </cell>
          <cell r="D4627">
            <v>11185.85</v>
          </cell>
          <cell r="E4627">
            <v>11125.7</v>
          </cell>
          <cell r="F4627">
            <v>11167.3</v>
          </cell>
        </row>
        <row r="4628">
          <cell r="B4628">
            <v>43308</v>
          </cell>
          <cell r="C4628">
            <v>11232.75</v>
          </cell>
          <cell r="D4628">
            <v>11283.4</v>
          </cell>
          <cell r="E4628">
            <v>11210.25</v>
          </cell>
          <cell r="F4628">
            <v>11278.35</v>
          </cell>
        </row>
        <row r="4629">
          <cell r="B4629">
            <v>43311</v>
          </cell>
          <cell r="C4629">
            <v>11296.65</v>
          </cell>
          <cell r="D4629">
            <v>11328.1</v>
          </cell>
          <cell r="E4629">
            <v>11261.45</v>
          </cell>
          <cell r="F4629">
            <v>11319.55</v>
          </cell>
        </row>
        <row r="4630">
          <cell r="B4630">
            <v>43312</v>
          </cell>
          <cell r="C4630">
            <v>11311.05</v>
          </cell>
          <cell r="D4630">
            <v>11366</v>
          </cell>
          <cell r="E4630">
            <v>11267.75</v>
          </cell>
          <cell r="F4630">
            <v>11356.5</v>
          </cell>
        </row>
        <row r="4631">
          <cell r="B4631">
            <v>43313</v>
          </cell>
          <cell r="C4631">
            <v>11359.8</v>
          </cell>
          <cell r="D4631">
            <v>11390.55</v>
          </cell>
          <cell r="E4631">
            <v>11313.55</v>
          </cell>
          <cell r="F4631">
            <v>11346.2</v>
          </cell>
        </row>
        <row r="4632">
          <cell r="B4632">
            <v>43314</v>
          </cell>
          <cell r="C4632">
            <v>11328.9</v>
          </cell>
          <cell r="D4632">
            <v>11328.9</v>
          </cell>
          <cell r="E4632">
            <v>11234.95</v>
          </cell>
          <cell r="F4632">
            <v>11244.7</v>
          </cell>
        </row>
        <row r="4633">
          <cell r="B4633">
            <v>43315</v>
          </cell>
          <cell r="C4633">
            <v>11297.8</v>
          </cell>
          <cell r="D4633">
            <v>11368</v>
          </cell>
          <cell r="E4633">
            <v>11294.55</v>
          </cell>
          <cell r="F4633">
            <v>11360.8</v>
          </cell>
        </row>
        <row r="4634">
          <cell r="B4634">
            <v>43318</v>
          </cell>
          <cell r="C4634">
            <v>11401.5</v>
          </cell>
          <cell r="D4634">
            <v>11427.65</v>
          </cell>
          <cell r="E4634">
            <v>11370.6</v>
          </cell>
          <cell r="F4634">
            <v>11387.1</v>
          </cell>
        </row>
        <row r="4635">
          <cell r="B4635">
            <v>43319</v>
          </cell>
          <cell r="C4635">
            <v>11423.15</v>
          </cell>
          <cell r="D4635">
            <v>11428.95</v>
          </cell>
          <cell r="E4635">
            <v>11359.7</v>
          </cell>
          <cell r="F4635">
            <v>11389.45</v>
          </cell>
        </row>
        <row r="4636">
          <cell r="B4636">
            <v>43320</v>
          </cell>
          <cell r="C4636">
            <v>11412.5</v>
          </cell>
          <cell r="D4636">
            <v>11459.95</v>
          </cell>
          <cell r="E4636">
            <v>11379.3</v>
          </cell>
          <cell r="F4636">
            <v>11450</v>
          </cell>
        </row>
        <row r="4637">
          <cell r="B4637">
            <v>43321</v>
          </cell>
          <cell r="C4637">
            <v>11493.25</v>
          </cell>
          <cell r="D4637">
            <v>11495.2</v>
          </cell>
          <cell r="E4637">
            <v>11454.1</v>
          </cell>
          <cell r="F4637">
            <v>11470.7</v>
          </cell>
        </row>
        <row r="4638">
          <cell r="B4638">
            <v>43322</v>
          </cell>
          <cell r="C4638">
            <v>11474.95</v>
          </cell>
          <cell r="D4638">
            <v>11478.75</v>
          </cell>
          <cell r="E4638">
            <v>11419.65</v>
          </cell>
          <cell r="F4638">
            <v>11429.5</v>
          </cell>
        </row>
        <row r="4639">
          <cell r="B4639">
            <v>43325</v>
          </cell>
          <cell r="C4639">
            <v>11369.6</v>
          </cell>
          <cell r="D4639">
            <v>11406.3</v>
          </cell>
          <cell r="E4639">
            <v>11340.3</v>
          </cell>
          <cell r="F4639">
            <v>11355.75</v>
          </cell>
        </row>
        <row r="4640">
          <cell r="B4640">
            <v>43326</v>
          </cell>
          <cell r="C4640">
            <v>11381.7</v>
          </cell>
          <cell r="D4640">
            <v>11452.45</v>
          </cell>
          <cell r="E4640">
            <v>11370.8</v>
          </cell>
          <cell r="F4640">
            <v>11435.1</v>
          </cell>
        </row>
        <row r="4641">
          <cell r="B4641">
            <v>43328</v>
          </cell>
          <cell r="C4641">
            <v>11397.15</v>
          </cell>
          <cell r="D4641">
            <v>11449.85</v>
          </cell>
          <cell r="E4641">
            <v>11366.25</v>
          </cell>
          <cell r="F4641">
            <v>11385.05</v>
          </cell>
        </row>
        <row r="4642">
          <cell r="B4642">
            <v>43329</v>
          </cell>
          <cell r="C4642">
            <v>11437.15</v>
          </cell>
          <cell r="D4642">
            <v>11486.45</v>
          </cell>
          <cell r="E4642">
            <v>11431.8</v>
          </cell>
          <cell r="F4642">
            <v>11470.75</v>
          </cell>
        </row>
        <row r="4643">
          <cell r="B4643">
            <v>43332</v>
          </cell>
          <cell r="C4643">
            <v>11502.1</v>
          </cell>
          <cell r="D4643">
            <v>11565.3</v>
          </cell>
          <cell r="E4643">
            <v>11499.65</v>
          </cell>
          <cell r="F4643">
            <v>11551.75</v>
          </cell>
        </row>
        <row r="4644">
          <cell r="B4644">
            <v>43333</v>
          </cell>
          <cell r="C4644">
            <v>11576.2</v>
          </cell>
          <cell r="D4644">
            <v>11581.75</v>
          </cell>
          <cell r="E4644">
            <v>11539.6</v>
          </cell>
          <cell r="F4644">
            <v>11570.9</v>
          </cell>
        </row>
        <row r="4645">
          <cell r="B4645">
            <v>43335</v>
          </cell>
          <cell r="C4645">
            <v>11620.7</v>
          </cell>
          <cell r="D4645">
            <v>11620.7</v>
          </cell>
          <cell r="E4645">
            <v>11546.7</v>
          </cell>
          <cell r="F4645">
            <v>11582.75</v>
          </cell>
        </row>
        <row r="4646">
          <cell r="B4646">
            <v>43336</v>
          </cell>
          <cell r="C4646">
            <v>11566.6</v>
          </cell>
          <cell r="D4646">
            <v>11604.6</v>
          </cell>
          <cell r="E4646">
            <v>11532</v>
          </cell>
          <cell r="F4646">
            <v>11557.1</v>
          </cell>
        </row>
        <row r="4647">
          <cell r="B4647">
            <v>43339</v>
          </cell>
          <cell r="C4647">
            <v>11605.85</v>
          </cell>
          <cell r="D4647">
            <v>11700.95</v>
          </cell>
          <cell r="E4647">
            <v>11595.6</v>
          </cell>
          <cell r="F4647">
            <v>11691.95</v>
          </cell>
        </row>
        <row r="4648">
          <cell r="B4648">
            <v>43340</v>
          </cell>
          <cell r="C4648">
            <v>11731.95</v>
          </cell>
          <cell r="D4648">
            <v>11760.2</v>
          </cell>
          <cell r="E4648">
            <v>11710.5</v>
          </cell>
          <cell r="F4648">
            <v>11738.5</v>
          </cell>
        </row>
        <row r="4649">
          <cell r="B4649">
            <v>43341</v>
          </cell>
          <cell r="C4649">
            <v>11744.95</v>
          </cell>
          <cell r="D4649">
            <v>11753.2</v>
          </cell>
          <cell r="E4649">
            <v>11678.85</v>
          </cell>
          <cell r="F4649">
            <v>11691.9</v>
          </cell>
        </row>
        <row r="4650">
          <cell r="B4650">
            <v>43342</v>
          </cell>
          <cell r="C4650">
            <v>11694.75</v>
          </cell>
          <cell r="D4650">
            <v>11698.8</v>
          </cell>
          <cell r="E4650">
            <v>11639.7</v>
          </cell>
          <cell r="F4650">
            <v>11676.8</v>
          </cell>
        </row>
        <row r="4651">
          <cell r="B4651">
            <v>43343</v>
          </cell>
          <cell r="C4651">
            <v>11675.85</v>
          </cell>
          <cell r="D4651">
            <v>11727.65</v>
          </cell>
          <cell r="E4651">
            <v>11640.1</v>
          </cell>
          <cell r="F4651">
            <v>11680.5</v>
          </cell>
        </row>
        <row r="4652">
          <cell r="B4652">
            <v>43346</v>
          </cell>
          <cell r="C4652">
            <v>11751.8</v>
          </cell>
          <cell r="D4652">
            <v>11751.8</v>
          </cell>
          <cell r="E4652">
            <v>11567.4</v>
          </cell>
          <cell r="F4652">
            <v>11582.35</v>
          </cell>
        </row>
        <row r="4653">
          <cell r="B4653">
            <v>43347</v>
          </cell>
          <cell r="C4653">
            <v>11598.75</v>
          </cell>
          <cell r="D4653">
            <v>11602.55</v>
          </cell>
          <cell r="E4653">
            <v>11496.85</v>
          </cell>
          <cell r="F4653">
            <v>11520.3</v>
          </cell>
        </row>
        <row r="4654">
          <cell r="B4654">
            <v>43348</v>
          </cell>
          <cell r="C4654">
            <v>11514.85</v>
          </cell>
          <cell r="D4654">
            <v>11542.65</v>
          </cell>
          <cell r="E4654">
            <v>11393.85</v>
          </cell>
          <cell r="F4654">
            <v>11476.95</v>
          </cell>
        </row>
        <row r="4655">
          <cell r="B4655">
            <v>43349</v>
          </cell>
          <cell r="C4655">
            <v>11514.15</v>
          </cell>
          <cell r="D4655">
            <v>11562.25</v>
          </cell>
          <cell r="E4655">
            <v>11436.05</v>
          </cell>
          <cell r="F4655">
            <v>11536.9</v>
          </cell>
        </row>
        <row r="4656">
          <cell r="B4656">
            <v>43350</v>
          </cell>
          <cell r="C4656">
            <v>11558.25</v>
          </cell>
          <cell r="D4656">
            <v>11603</v>
          </cell>
          <cell r="E4656">
            <v>11484.4</v>
          </cell>
          <cell r="F4656">
            <v>11589.1</v>
          </cell>
        </row>
        <row r="4657">
          <cell r="B4657">
            <v>43353</v>
          </cell>
          <cell r="C4657">
            <v>11570.25</v>
          </cell>
          <cell r="D4657">
            <v>11573</v>
          </cell>
          <cell r="E4657">
            <v>11427.3</v>
          </cell>
          <cell r="F4657">
            <v>11438.1</v>
          </cell>
        </row>
        <row r="4658">
          <cell r="B4658">
            <v>43354</v>
          </cell>
          <cell r="C4658">
            <v>11476.85</v>
          </cell>
          <cell r="D4658">
            <v>11479.4</v>
          </cell>
          <cell r="E4658">
            <v>11274</v>
          </cell>
          <cell r="F4658">
            <v>11287.5</v>
          </cell>
        </row>
        <row r="4659">
          <cell r="B4659">
            <v>43355</v>
          </cell>
          <cell r="C4659">
            <v>11340.1</v>
          </cell>
          <cell r="D4659">
            <v>11380.75</v>
          </cell>
          <cell r="E4659">
            <v>11250.2</v>
          </cell>
          <cell r="F4659">
            <v>11369.9</v>
          </cell>
        </row>
        <row r="4660">
          <cell r="B4660">
            <v>43357</v>
          </cell>
          <cell r="C4660">
            <v>11443.5</v>
          </cell>
          <cell r="D4660">
            <v>11523.25</v>
          </cell>
          <cell r="E4660">
            <v>11430.55</v>
          </cell>
          <cell r="F4660">
            <v>11515.2</v>
          </cell>
        </row>
        <row r="4661">
          <cell r="B4661">
            <v>43360</v>
          </cell>
          <cell r="C4661">
            <v>11464.95</v>
          </cell>
          <cell r="D4661">
            <v>11464.95</v>
          </cell>
          <cell r="E4661">
            <v>11366.9</v>
          </cell>
          <cell r="F4661">
            <v>11377.75</v>
          </cell>
        </row>
        <row r="4662">
          <cell r="B4662">
            <v>43361</v>
          </cell>
          <cell r="C4662">
            <v>11381.55</v>
          </cell>
          <cell r="D4662">
            <v>11411.45</v>
          </cell>
          <cell r="E4662">
            <v>11268.95</v>
          </cell>
          <cell r="F4662">
            <v>11278.9</v>
          </cell>
        </row>
        <row r="4663">
          <cell r="B4663">
            <v>43362</v>
          </cell>
          <cell r="C4663">
            <v>11326.65</v>
          </cell>
          <cell r="D4663">
            <v>11332.05</v>
          </cell>
          <cell r="E4663">
            <v>11210.9</v>
          </cell>
          <cell r="F4663">
            <v>11234.35</v>
          </cell>
        </row>
        <row r="4664">
          <cell r="B4664">
            <v>43364</v>
          </cell>
          <cell r="C4664">
            <v>11271.3</v>
          </cell>
          <cell r="D4664">
            <v>11346.8</v>
          </cell>
          <cell r="E4664">
            <v>10866.45</v>
          </cell>
          <cell r="F4664">
            <v>11143.1</v>
          </cell>
        </row>
        <row r="4665">
          <cell r="B4665">
            <v>43367</v>
          </cell>
          <cell r="C4665">
            <v>11164.4</v>
          </cell>
          <cell r="D4665">
            <v>11170.15</v>
          </cell>
          <cell r="E4665">
            <v>10943.6</v>
          </cell>
          <cell r="F4665">
            <v>10967.4</v>
          </cell>
        </row>
        <row r="4666">
          <cell r="B4666">
            <v>43368</v>
          </cell>
          <cell r="C4666">
            <v>10969.95</v>
          </cell>
          <cell r="D4666">
            <v>11080.6</v>
          </cell>
          <cell r="E4666">
            <v>10882.85</v>
          </cell>
          <cell r="F4666">
            <v>11067.45</v>
          </cell>
        </row>
        <row r="4667">
          <cell r="B4667">
            <v>43369</v>
          </cell>
          <cell r="C4667">
            <v>11145.55</v>
          </cell>
          <cell r="D4667">
            <v>11145.55</v>
          </cell>
          <cell r="E4667">
            <v>10993.05</v>
          </cell>
          <cell r="F4667">
            <v>11053.8</v>
          </cell>
        </row>
        <row r="4668">
          <cell r="B4668">
            <v>43370</v>
          </cell>
          <cell r="C4668">
            <v>11079.8</v>
          </cell>
          <cell r="D4668">
            <v>11089.45</v>
          </cell>
          <cell r="E4668">
            <v>10953.35</v>
          </cell>
          <cell r="F4668">
            <v>10977.55</v>
          </cell>
        </row>
        <row r="4669">
          <cell r="B4669">
            <v>43371</v>
          </cell>
          <cell r="C4669">
            <v>11008.1</v>
          </cell>
          <cell r="D4669">
            <v>11034.1</v>
          </cell>
          <cell r="E4669">
            <v>10850.3</v>
          </cell>
          <cell r="F4669">
            <v>10930.45</v>
          </cell>
        </row>
        <row r="4670">
          <cell r="B4670">
            <v>43374</v>
          </cell>
          <cell r="C4670">
            <v>10930.9</v>
          </cell>
          <cell r="D4670">
            <v>11035.65</v>
          </cell>
          <cell r="E4670">
            <v>10821.55</v>
          </cell>
          <cell r="F4670">
            <v>11008.3</v>
          </cell>
        </row>
        <row r="4671">
          <cell r="B4671">
            <v>43376</v>
          </cell>
          <cell r="C4671">
            <v>10982.7</v>
          </cell>
          <cell r="D4671">
            <v>10989.05</v>
          </cell>
          <cell r="E4671">
            <v>10843.75</v>
          </cell>
          <cell r="F4671">
            <v>10858.25</v>
          </cell>
        </row>
        <row r="4672">
          <cell r="B4672">
            <v>43377</v>
          </cell>
          <cell r="C4672">
            <v>10754.7</v>
          </cell>
          <cell r="D4672">
            <v>10754.7</v>
          </cell>
          <cell r="E4672">
            <v>10547.25</v>
          </cell>
          <cell r="F4672">
            <v>10599.25</v>
          </cell>
        </row>
        <row r="4673">
          <cell r="B4673">
            <v>43378</v>
          </cell>
          <cell r="C4673">
            <v>10514.1</v>
          </cell>
          <cell r="D4673">
            <v>10540.65</v>
          </cell>
          <cell r="E4673">
            <v>10261.9</v>
          </cell>
          <cell r="F4673">
            <v>10316.450000000001</v>
          </cell>
        </row>
        <row r="4674">
          <cell r="B4674">
            <v>43381</v>
          </cell>
          <cell r="C4674">
            <v>10310.15</v>
          </cell>
          <cell r="D4674">
            <v>10398.35</v>
          </cell>
          <cell r="E4674">
            <v>10198.4</v>
          </cell>
          <cell r="F4674">
            <v>10348.049999999999</v>
          </cell>
        </row>
        <row r="4675">
          <cell r="B4675">
            <v>43382</v>
          </cell>
          <cell r="C4675">
            <v>10390.299999999999</v>
          </cell>
          <cell r="D4675">
            <v>10397.6</v>
          </cell>
          <cell r="E4675">
            <v>10279.35</v>
          </cell>
          <cell r="F4675">
            <v>10301.049999999999</v>
          </cell>
        </row>
        <row r="4676">
          <cell r="B4676">
            <v>43383</v>
          </cell>
          <cell r="C4676">
            <v>10331.85</v>
          </cell>
          <cell r="D4676">
            <v>10482.35</v>
          </cell>
          <cell r="E4676">
            <v>10318.25</v>
          </cell>
          <cell r="F4676">
            <v>10460.1</v>
          </cell>
        </row>
        <row r="4677">
          <cell r="B4677">
            <v>43384</v>
          </cell>
          <cell r="C4677">
            <v>10169.799999999999</v>
          </cell>
          <cell r="D4677">
            <v>10335.950000000001</v>
          </cell>
          <cell r="E4677">
            <v>10138.6</v>
          </cell>
          <cell r="F4677">
            <v>10234.65</v>
          </cell>
        </row>
        <row r="4678">
          <cell r="B4678">
            <v>43385</v>
          </cell>
          <cell r="C4678">
            <v>10331.549999999999</v>
          </cell>
          <cell r="D4678">
            <v>10492.45</v>
          </cell>
          <cell r="E4678">
            <v>10322.15</v>
          </cell>
          <cell r="F4678">
            <v>10472.5</v>
          </cell>
        </row>
        <row r="4679">
          <cell r="B4679">
            <v>43388</v>
          </cell>
          <cell r="C4679">
            <v>10524.2</v>
          </cell>
          <cell r="D4679">
            <v>10526.3</v>
          </cell>
          <cell r="E4679">
            <v>10410.15</v>
          </cell>
          <cell r="F4679">
            <v>10512.5</v>
          </cell>
        </row>
        <row r="4680">
          <cell r="B4680">
            <v>43389</v>
          </cell>
          <cell r="C4680">
            <v>10550.15</v>
          </cell>
          <cell r="D4680">
            <v>10604.9</v>
          </cell>
          <cell r="E4680">
            <v>10525.3</v>
          </cell>
          <cell r="F4680">
            <v>10584.75</v>
          </cell>
        </row>
        <row r="4681">
          <cell r="B4681">
            <v>43390</v>
          </cell>
          <cell r="C4681">
            <v>10688.7</v>
          </cell>
          <cell r="D4681">
            <v>10710.15</v>
          </cell>
          <cell r="E4681">
            <v>10436.450000000001</v>
          </cell>
          <cell r="F4681">
            <v>10453.049999999999</v>
          </cell>
        </row>
        <row r="4682">
          <cell r="B4682">
            <v>43392</v>
          </cell>
          <cell r="C4682">
            <v>10339.700000000001</v>
          </cell>
          <cell r="D4682">
            <v>10380.1</v>
          </cell>
          <cell r="E4682">
            <v>10249.6</v>
          </cell>
          <cell r="F4682">
            <v>10303.549999999999</v>
          </cell>
        </row>
        <row r="4683">
          <cell r="B4683">
            <v>43395</v>
          </cell>
          <cell r="C4683">
            <v>10405.85</v>
          </cell>
          <cell r="D4683">
            <v>10408.549999999999</v>
          </cell>
          <cell r="E4683">
            <v>10224</v>
          </cell>
          <cell r="F4683">
            <v>10245.25</v>
          </cell>
        </row>
        <row r="4684">
          <cell r="B4684">
            <v>43396</v>
          </cell>
          <cell r="C4684">
            <v>10152.6</v>
          </cell>
          <cell r="D4684">
            <v>10222.1</v>
          </cell>
          <cell r="E4684">
            <v>10102.35</v>
          </cell>
          <cell r="F4684">
            <v>10146.799999999999</v>
          </cell>
        </row>
        <row r="4685">
          <cell r="B4685">
            <v>43397</v>
          </cell>
          <cell r="C4685">
            <v>10278.15</v>
          </cell>
          <cell r="D4685">
            <v>10290.65</v>
          </cell>
          <cell r="E4685">
            <v>10126.700000000001</v>
          </cell>
          <cell r="F4685">
            <v>10224.75</v>
          </cell>
        </row>
        <row r="4686">
          <cell r="B4686">
            <v>43398</v>
          </cell>
          <cell r="C4686">
            <v>10135.049999999999</v>
          </cell>
          <cell r="D4686">
            <v>10166.6</v>
          </cell>
          <cell r="E4686">
            <v>10079.299999999999</v>
          </cell>
          <cell r="F4686">
            <v>10124.9</v>
          </cell>
        </row>
        <row r="4687">
          <cell r="B4687">
            <v>43399</v>
          </cell>
          <cell r="C4687">
            <v>10122.35</v>
          </cell>
          <cell r="D4687">
            <v>10128.85</v>
          </cell>
          <cell r="E4687">
            <v>10004.549999999999</v>
          </cell>
          <cell r="F4687">
            <v>10030</v>
          </cell>
        </row>
        <row r="4688">
          <cell r="B4688">
            <v>43402</v>
          </cell>
          <cell r="C4688">
            <v>10078.1</v>
          </cell>
          <cell r="D4688">
            <v>10275.299999999999</v>
          </cell>
          <cell r="E4688">
            <v>10020.35</v>
          </cell>
          <cell r="F4688">
            <v>10250.85</v>
          </cell>
        </row>
        <row r="4689">
          <cell r="B4689">
            <v>43403</v>
          </cell>
          <cell r="C4689">
            <v>10239.4</v>
          </cell>
          <cell r="D4689">
            <v>10285.1</v>
          </cell>
          <cell r="E4689">
            <v>10175.35</v>
          </cell>
          <cell r="F4689">
            <v>10198.4</v>
          </cell>
        </row>
        <row r="4690">
          <cell r="B4690">
            <v>43404</v>
          </cell>
          <cell r="C4690">
            <v>10209.549999999999</v>
          </cell>
          <cell r="D4690">
            <v>10396</v>
          </cell>
          <cell r="E4690">
            <v>10105.1</v>
          </cell>
          <cell r="F4690">
            <v>10386.6</v>
          </cell>
        </row>
        <row r="4691">
          <cell r="B4691">
            <v>43405</v>
          </cell>
          <cell r="C4691">
            <v>10441.700000000001</v>
          </cell>
          <cell r="D4691">
            <v>10441.9</v>
          </cell>
          <cell r="E4691">
            <v>10341.9</v>
          </cell>
          <cell r="F4691">
            <v>10380.450000000001</v>
          </cell>
        </row>
        <row r="4692">
          <cell r="B4692">
            <v>43406</v>
          </cell>
          <cell r="C4692">
            <v>10462.299999999999</v>
          </cell>
          <cell r="D4692">
            <v>10606.95</v>
          </cell>
          <cell r="E4692">
            <v>10457.700000000001</v>
          </cell>
          <cell r="F4692">
            <v>10553</v>
          </cell>
        </row>
        <row r="4693">
          <cell r="B4693">
            <v>43409</v>
          </cell>
          <cell r="C4693">
            <v>10558.75</v>
          </cell>
          <cell r="D4693">
            <v>10558.8</v>
          </cell>
          <cell r="E4693">
            <v>10477</v>
          </cell>
          <cell r="F4693">
            <v>10524</v>
          </cell>
        </row>
        <row r="4694">
          <cell r="B4694">
            <v>43410</v>
          </cell>
          <cell r="C4694">
            <v>10552</v>
          </cell>
          <cell r="D4694">
            <v>10600.25</v>
          </cell>
          <cell r="E4694">
            <v>10491.45</v>
          </cell>
          <cell r="F4694">
            <v>10530</v>
          </cell>
        </row>
        <row r="4695">
          <cell r="B4695">
            <v>43411</v>
          </cell>
          <cell r="C4695">
            <v>10614.45</v>
          </cell>
          <cell r="D4695">
            <v>10616.45</v>
          </cell>
          <cell r="E4695">
            <v>10582.3</v>
          </cell>
          <cell r="F4695">
            <v>10598.4</v>
          </cell>
        </row>
        <row r="4696">
          <cell r="B4696">
            <v>43413</v>
          </cell>
          <cell r="C4696">
            <v>10614.7</v>
          </cell>
          <cell r="D4696">
            <v>10619.55</v>
          </cell>
          <cell r="E4696">
            <v>10544.85</v>
          </cell>
          <cell r="F4696">
            <v>10585.2</v>
          </cell>
        </row>
        <row r="4697">
          <cell r="B4697">
            <v>43416</v>
          </cell>
          <cell r="C4697">
            <v>10607.8</v>
          </cell>
          <cell r="D4697">
            <v>10645.5</v>
          </cell>
          <cell r="E4697">
            <v>10464.049999999999</v>
          </cell>
          <cell r="F4697">
            <v>10482.200000000001</v>
          </cell>
        </row>
        <row r="4698">
          <cell r="B4698">
            <v>43417</v>
          </cell>
          <cell r="C4698">
            <v>10451.9</v>
          </cell>
          <cell r="D4698">
            <v>10596.25</v>
          </cell>
          <cell r="E4698">
            <v>10440.549999999999</v>
          </cell>
          <cell r="F4698">
            <v>10582.5</v>
          </cell>
        </row>
        <row r="4699">
          <cell r="B4699">
            <v>43418</v>
          </cell>
          <cell r="C4699">
            <v>10634.9</v>
          </cell>
          <cell r="D4699">
            <v>10651.6</v>
          </cell>
          <cell r="E4699">
            <v>10532.7</v>
          </cell>
          <cell r="F4699">
            <v>10576.3</v>
          </cell>
        </row>
        <row r="4700">
          <cell r="B4700">
            <v>43419</v>
          </cell>
          <cell r="C4700">
            <v>10580.6</v>
          </cell>
          <cell r="D4700">
            <v>10646.5</v>
          </cell>
          <cell r="E4700">
            <v>10557.5</v>
          </cell>
          <cell r="F4700">
            <v>10616.7</v>
          </cell>
        </row>
        <row r="4701">
          <cell r="B4701">
            <v>43420</v>
          </cell>
          <cell r="C4701">
            <v>10644</v>
          </cell>
          <cell r="D4701">
            <v>10695.15</v>
          </cell>
          <cell r="E4701">
            <v>10631.15</v>
          </cell>
          <cell r="F4701">
            <v>10682.2</v>
          </cell>
        </row>
        <row r="4702">
          <cell r="B4702">
            <v>43423</v>
          </cell>
          <cell r="C4702">
            <v>10731.25</v>
          </cell>
          <cell r="D4702">
            <v>10774.7</v>
          </cell>
          <cell r="E4702">
            <v>10688.8</v>
          </cell>
          <cell r="F4702">
            <v>10763.4</v>
          </cell>
        </row>
        <row r="4703">
          <cell r="B4703">
            <v>43424</v>
          </cell>
          <cell r="C4703">
            <v>10740.1</v>
          </cell>
          <cell r="D4703">
            <v>10740.85</v>
          </cell>
          <cell r="E4703">
            <v>10640.85</v>
          </cell>
          <cell r="F4703">
            <v>10656.2</v>
          </cell>
        </row>
        <row r="4704">
          <cell r="B4704">
            <v>43425</v>
          </cell>
          <cell r="C4704">
            <v>10670.95</v>
          </cell>
          <cell r="D4704">
            <v>10671.3</v>
          </cell>
          <cell r="E4704">
            <v>10562.35</v>
          </cell>
          <cell r="F4704">
            <v>10600.05</v>
          </cell>
        </row>
        <row r="4705">
          <cell r="B4705">
            <v>43426</v>
          </cell>
          <cell r="C4705">
            <v>10612.65</v>
          </cell>
          <cell r="D4705">
            <v>10646.25</v>
          </cell>
          <cell r="E4705">
            <v>10512</v>
          </cell>
          <cell r="F4705">
            <v>10526.75</v>
          </cell>
        </row>
        <row r="4706">
          <cell r="B4706">
            <v>43430</v>
          </cell>
          <cell r="C4706">
            <v>10568.3</v>
          </cell>
          <cell r="D4706">
            <v>10637.8</v>
          </cell>
          <cell r="E4706">
            <v>10489.75</v>
          </cell>
          <cell r="F4706">
            <v>10628.6</v>
          </cell>
        </row>
        <row r="4707">
          <cell r="B4707">
            <v>43431</v>
          </cell>
          <cell r="C4707">
            <v>10621.45</v>
          </cell>
          <cell r="D4707">
            <v>10695.15</v>
          </cell>
          <cell r="E4707">
            <v>10596.35</v>
          </cell>
          <cell r="F4707">
            <v>10685.6</v>
          </cell>
        </row>
        <row r="4708">
          <cell r="B4708">
            <v>43432</v>
          </cell>
          <cell r="C4708">
            <v>10708.75</v>
          </cell>
          <cell r="D4708">
            <v>10757.8</v>
          </cell>
          <cell r="E4708">
            <v>10699.85</v>
          </cell>
          <cell r="F4708">
            <v>10728.85</v>
          </cell>
        </row>
        <row r="4709">
          <cell r="B4709">
            <v>43433</v>
          </cell>
          <cell r="C4709">
            <v>10808.7</v>
          </cell>
          <cell r="D4709">
            <v>10883.05</v>
          </cell>
          <cell r="E4709">
            <v>10782.35</v>
          </cell>
          <cell r="F4709">
            <v>10858.7</v>
          </cell>
        </row>
        <row r="4710">
          <cell r="B4710">
            <v>43434</v>
          </cell>
          <cell r="C4710">
            <v>10892.1</v>
          </cell>
          <cell r="D4710">
            <v>10922.45</v>
          </cell>
          <cell r="E4710">
            <v>10835.1</v>
          </cell>
          <cell r="F4710">
            <v>10876.75</v>
          </cell>
        </row>
        <row r="4711">
          <cell r="B4711">
            <v>43437</v>
          </cell>
          <cell r="C4711">
            <v>10930.7</v>
          </cell>
          <cell r="D4711">
            <v>10941.2</v>
          </cell>
          <cell r="E4711">
            <v>10845.35</v>
          </cell>
          <cell r="F4711">
            <v>10883.75</v>
          </cell>
        </row>
        <row r="4712">
          <cell r="B4712">
            <v>43438</v>
          </cell>
          <cell r="C4712">
            <v>10877.1</v>
          </cell>
          <cell r="D4712">
            <v>10890.95</v>
          </cell>
          <cell r="E4712">
            <v>10833.35</v>
          </cell>
          <cell r="F4712">
            <v>10869.5</v>
          </cell>
        </row>
        <row r="4713">
          <cell r="B4713">
            <v>43439</v>
          </cell>
          <cell r="C4713">
            <v>10820.45</v>
          </cell>
          <cell r="D4713">
            <v>10821.05</v>
          </cell>
          <cell r="E4713">
            <v>10747.95</v>
          </cell>
          <cell r="F4713">
            <v>10782.9</v>
          </cell>
        </row>
        <row r="4714">
          <cell r="B4714">
            <v>43440</v>
          </cell>
          <cell r="C4714">
            <v>10718.15</v>
          </cell>
          <cell r="D4714">
            <v>10722.65</v>
          </cell>
          <cell r="E4714">
            <v>10588.25</v>
          </cell>
          <cell r="F4714">
            <v>10601.15</v>
          </cell>
        </row>
        <row r="4715">
          <cell r="B4715">
            <v>43441</v>
          </cell>
          <cell r="C4715">
            <v>10644.8</v>
          </cell>
          <cell r="D4715">
            <v>10704.55</v>
          </cell>
          <cell r="E4715">
            <v>10599.35</v>
          </cell>
          <cell r="F4715">
            <v>10693.7</v>
          </cell>
        </row>
        <row r="4716">
          <cell r="B4716">
            <v>43444</v>
          </cell>
          <cell r="C4716">
            <v>10508.7</v>
          </cell>
          <cell r="D4716">
            <v>10558.85</v>
          </cell>
          <cell r="E4716">
            <v>10474.950000000001</v>
          </cell>
          <cell r="F4716">
            <v>10488.45</v>
          </cell>
        </row>
        <row r="4717">
          <cell r="B4717">
            <v>43445</v>
          </cell>
          <cell r="C4717">
            <v>10350.049999999999</v>
          </cell>
          <cell r="D4717">
            <v>10567.15</v>
          </cell>
          <cell r="E4717">
            <v>10333.85</v>
          </cell>
          <cell r="F4717">
            <v>10549.15</v>
          </cell>
        </row>
        <row r="4718">
          <cell r="B4718">
            <v>43446</v>
          </cell>
          <cell r="C4718">
            <v>10591</v>
          </cell>
          <cell r="D4718">
            <v>10752.2</v>
          </cell>
          <cell r="E4718">
            <v>10560.8</v>
          </cell>
          <cell r="F4718">
            <v>10737.6</v>
          </cell>
        </row>
        <row r="4719">
          <cell r="B4719">
            <v>43447</v>
          </cell>
          <cell r="C4719">
            <v>10810.75</v>
          </cell>
          <cell r="D4719">
            <v>10838.6</v>
          </cell>
          <cell r="E4719">
            <v>10749.5</v>
          </cell>
          <cell r="F4719">
            <v>10791.55</v>
          </cell>
        </row>
        <row r="4720">
          <cell r="B4720">
            <v>43448</v>
          </cell>
          <cell r="C4720">
            <v>10784.5</v>
          </cell>
          <cell r="D4720">
            <v>10815.75</v>
          </cell>
          <cell r="E4720">
            <v>10752.1</v>
          </cell>
          <cell r="F4720">
            <v>10805.45</v>
          </cell>
        </row>
        <row r="4721">
          <cell r="B4721">
            <v>43451</v>
          </cell>
          <cell r="C4721">
            <v>10853.2</v>
          </cell>
          <cell r="D4721">
            <v>10900.35</v>
          </cell>
          <cell r="E4721">
            <v>10844.85</v>
          </cell>
          <cell r="F4721">
            <v>10888.35</v>
          </cell>
        </row>
        <row r="4722">
          <cell r="B4722">
            <v>43452</v>
          </cell>
          <cell r="C4722">
            <v>10850.9</v>
          </cell>
          <cell r="D4722">
            <v>10915.4</v>
          </cell>
          <cell r="E4722">
            <v>10819.1</v>
          </cell>
          <cell r="F4722">
            <v>10908.7</v>
          </cell>
        </row>
        <row r="4723">
          <cell r="B4723">
            <v>43453</v>
          </cell>
          <cell r="C4723">
            <v>10930.55</v>
          </cell>
          <cell r="D4723">
            <v>10985.15</v>
          </cell>
          <cell r="E4723">
            <v>10928</v>
          </cell>
          <cell r="F4723">
            <v>10967.3</v>
          </cell>
        </row>
        <row r="4724">
          <cell r="B4724">
            <v>43454</v>
          </cell>
          <cell r="C4724">
            <v>10885.2</v>
          </cell>
          <cell r="D4724">
            <v>10962.55</v>
          </cell>
          <cell r="E4724">
            <v>10880.05</v>
          </cell>
          <cell r="F4724">
            <v>10951.7</v>
          </cell>
        </row>
        <row r="4725">
          <cell r="B4725">
            <v>43455</v>
          </cell>
          <cell r="C4725">
            <v>10944.25</v>
          </cell>
          <cell r="D4725">
            <v>10963.65</v>
          </cell>
          <cell r="E4725">
            <v>10738.65</v>
          </cell>
          <cell r="F4725">
            <v>10754</v>
          </cell>
        </row>
        <row r="4726">
          <cell r="B4726">
            <v>43458</v>
          </cell>
          <cell r="C4726">
            <v>10780.9</v>
          </cell>
          <cell r="D4726">
            <v>10782.3</v>
          </cell>
          <cell r="E4726">
            <v>10649.25</v>
          </cell>
          <cell r="F4726">
            <v>10663.5</v>
          </cell>
        </row>
        <row r="4727">
          <cell r="B4727">
            <v>43460</v>
          </cell>
          <cell r="C4727">
            <v>10635.45</v>
          </cell>
          <cell r="D4727">
            <v>10747.5</v>
          </cell>
          <cell r="E4727">
            <v>10534.55</v>
          </cell>
          <cell r="F4727">
            <v>10729.85</v>
          </cell>
        </row>
        <row r="4728">
          <cell r="B4728">
            <v>43461</v>
          </cell>
          <cell r="C4728">
            <v>10817.9</v>
          </cell>
          <cell r="D4728">
            <v>10834.2</v>
          </cell>
          <cell r="E4728">
            <v>10764.45</v>
          </cell>
          <cell r="F4728">
            <v>10779.8</v>
          </cell>
        </row>
        <row r="4729">
          <cell r="B4729">
            <v>43462</v>
          </cell>
          <cell r="C4729">
            <v>10820.95</v>
          </cell>
          <cell r="D4729">
            <v>10893.6</v>
          </cell>
          <cell r="E4729">
            <v>10817.15</v>
          </cell>
          <cell r="F4729">
            <v>10859.9</v>
          </cell>
        </row>
        <row r="4730">
          <cell r="B4730">
            <v>43465</v>
          </cell>
          <cell r="C4730">
            <v>10913.2</v>
          </cell>
          <cell r="D4730">
            <v>10923.55</v>
          </cell>
          <cell r="E4730">
            <v>10853.2</v>
          </cell>
          <cell r="F4730">
            <v>10862.55</v>
          </cell>
        </row>
        <row r="4731">
          <cell r="B4731">
            <v>43466</v>
          </cell>
          <cell r="C4731">
            <v>10881.7</v>
          </cell>
          <cell r="D4731">
            <v>10923.6</v>
          </cell>
          <cell r="E4731">
            <v>10807.1</v>
          </cell>
          <cell r="F4731">
            <v>10910.1</v>
          </cell>
        </row>
        <row r="4732">
          <cell r="B4732">
            <v>43467</v>
          </cell>
          <cell r="C4732">
            <v>10868.85</v>
          </cell>
          <cell r="D4732">
            <v>10895.35</v>
          </cell>
          <cell r="E4732">
            <v>10735.05</v>
          </cell>
          <cell r="F4732">
            <v>10792.5</v>
          </cell>
        </row>
        <row r="4733">
          <cell r="B4733">
            <v>43468</v>
          </cell>
          <cell r="C4733">
            <v>10796.8</v>
          </cell>
          <cell r="D4733">
            <v>10814.05</v>
          </cell>
          <cell r="E4733">
            <v>10661.25</v>
          </cell>
          <cell r="F4733">
            <v>10672.25</v>
          </cell>
        </row>
        <row r="4734">
          <cell r="B4734">
            <v>43469</v>
          </cell>
          <cell r="C4734">
            <v>10699.7</v>
          </cell>
          <cell r="D4734">
            <v>10741.05</v>
          </cell>
          <cell r="E4734">
            <v>10628.65</v>
          </cell>
          <cell r="F4734">
            <v>10727.35</v>
          </cell>
        </row>
        <row r="4735">
          <cell r="B4735">
            <v>43472</v>
          </cell>
          <cell r="C4735">
            <v>10804.85</v>
          </cell>
          <cell r="D4735">
            <v>10835.95</v>
          </cell>
          <cell r="E4735">
            <v>10750.15</v>
          </cell>
          <cell r="F4735">
            <v>10771.8</v>
          </cell>
        </row>
        <row r="4736">
          <cell r="B4736">
            <v>43473</v>
          </cell>
          <cell r="C4736">
            <v>10786.25</v>
          </cell>
          <cell r="D4736">
            <v>10818.45</v>
          </cell>
          <cell r="E4736">
            <v>10733.25</v>
          </cell>
          <cell r="F4736">
            <v>10802.15</v>
          </cell>
        </row>
        <row r="4737">
          <cell r="B4737">
            <v>43474</v>
          </cell>
          <cell r="C4737">
            <v>10862.4</v>
          </cell>
          <cell r="D4737">
            <v>10870.4</v>
          </cell>
          <cell r="E4737">
            <v>10749.4</v>
          </cell>
          <cell r="F4737">
            <v>10855.15</v>
          </cell>
        </row>
        <row r="4738">
          <cell r="B4738">
            <v>43475</v>
          </cell>
          <cell r="C4738">
            <v>10859.35</v>
          </cell>
          <cell r="D4738">
            <v>10859.35</v>
          </cell>
          <cell r="E4738">
            <v>10801.8</v>
          </cell>
          <cell r="F4738">
            <v>10821.6</v>
          </cell>
        </row>
        <row r="4739">
          <cell r="B4739">
            <v>43476</v>
          </cell>
          <cell r="C4739">
            <v>10834.75</v>
          </cell>
          <cell r="D4739">
            <v>10850.15</v>
          </cell>
          <cell r="E4739">
            <v>10739.4</v>
          </cell>
          <cell r="F4739">
            <v>10794.95</v>
          </cell>
        </row>
        <row r="4740">
          <cell r="B4740">
            <v>43479</v>
          </cell>
          <cell r="C4740">
            <v>10807</v>
          </cell>
          <cell r="D4740">
            <v>10808</v>
          </cell>
          <cell r="E4740">
            <v>10692.35</v>
          </cell>
          <cell r="F4740">
            <v>10737.6</v>
          </cell>
        </row>
        <row r="4741">
          <cell r="B4741">
            <v>43480</v>
          </cell>
          <cell r="C4741">
            <v>10777.55</v>
          </cell>
          <cell r="D4741">
            <v>10896.95</v>
          </cell>
          <cell r="E4741">
            <v>10777.55</v>
          </cell>
          <cell r="F4741">
            <v>10886.8</v>
          </cell>
        </row>
        <row r="4742">
          <cell r="B4742">
            <v>43481</v>
          </cell>
          <cell r="C4742">
            <v>10899.65</v>
          </cell>
          <cell r="D4742">
            <v>10928.15</v>
          </cell>
          <cell r="E4742">
            <v>10876.9</v>
          </cell>
          <cell r="F4742">
            <v>10890.3</v>
          </cell>
        </row>
        <row r="4743">
          <cell r="B4743">
            <v>43482</v>
          </cell>
          <cell r="C4743">
            <v>10920.85</v>
          </cell>
          <cell r="D4743">
            <v>10930.65</v>
          </cell>
          <cell r="E4743">
            <v>10844.65</v>
          </cell>
          <cell r="F4743">
            <v>10905.2</v>
          </cell>
        </row>
        <row r="4744">
          <cell r="B4744">
            <v>43483</v>
          </cell>
          <cell r="C4744">
            <v>10914.85</v>
          </cell>
          <cell r="D4744">
            <v>10928.2</v>
          </cell>
          <cell r="E4744">
            <v>10852.2</v>
          </cell>
          <cell r="F4744">
            <v>10906.95</v>
          </cell>
        </row>
        <row r="4745">
          <cell r="B4745">
            <v>43486</v>
          </cell>
          <cell r="C4745">
            <v>10919.35</v>
          </cell>
          <cell r="D4745">
            <v>10987.45</v>
          </cell>
          <cell r="E4745">
            <v>10885.75</v>
          </cell>
          <cell r="F4745">
            <v>10961.85</v>
          </cell>
        </row>
        <row r="4746">
          <cell r="B4746">
            <v>43487</v>
          </cell>
          <cell r="C4746">
            <v>10949.8</v>
          </cell>
          <cell r="D4746">
            <v>10949.8</v>
          </cell>
          <cell r="E4746">
            <v>10864.15</v>
          </cell>
          <cell r="F4746">
            <v>10922.75</v>
          </cell>
        </row>
        <row r="4747">
          <cell r="B4747">
            <v>43488</v>
          </cell>
          <cell r="C4747">
            <v>10931.05</v>
          </cell>
          <cell r="D4747">
            <v>10944.8</v>
          </cell>
          <cell r="E4747">
            <v>10811.95</v>
          </cell>
          <cell r="F4747">
            <v>10831.5</v>
          </cell>
        </row>
        <row r="4748">
          <cell r="B4748">
            <v>43489</v>
          </cell>
          <cell r="C4748">
            <v>10844.05</v>
          </cell>
          <cell r="D4748">
            <v>10866.6</v>
          </cell>
          <cell r="E4748">
            <v>10798.65</v>
          </cell>
          <cell r="F4748">
            <v>10849.8</v>
          </cell>
        </row>
        <row r="4749">
          <cell r="B4749">
            <v>43490</v>
          </cell>
          <cell r="C4749">
            <v>10859.75</v>
          </cell>
          <cell r="D4749">
            <v>10931.7</v>
          </cell>
          <cell r="E4749">
            <v>10756.45</v>
          </cell>
          <cell r="F4749">
            <v>10780.55</v>
          </cell>
        </row>
        <row r="4750">
          <cell r="B4750">
            <v>43493</v>
          </cell>
          <cell r="C4750">
            <v>10792.45</v>
          </cell>
          <cell r="D4750">
            <v>10804.45</v>
          </cell>
          <cell r="E4750">
            <v>10630.95</v>
          </cell>
          <cell r="F4750">
            <v>10661.55</v>
          </cell>
        </row>
        <row r="4751">
          <cell r="B4751">
            <v>43494</v>
          </cell>
          <cell r="C4751">
            <v>10653.7</v>
          </cell>
          <cell r="D4751">
            <v>10690.35</v>
          </cell>
          <cell r="E4751">
            <v>10583.65</v>
          </cell>
          <cell r="F4751">
            <v>10652.2</v>
          </cell>
        </row>
        <row r="4752">
          <cell r="B4752">
            <v>43495</v>
          </cell>
          <cell r="C4752">
            <v>10702.25</v>
          </cell>
          <cell r="D4752">
            <v>10710.2</v>
          </cell>
          <cell r="E4752">
            <v>10612.85</v>
          </cell>
          <cell r="F4752">
            <v>10651.8</v>
          </cell>
        </row>
        <row r="4753">
          <cell r="B4753">
            <v>43496</v>
          </cell>
          <cell r="C4753">
            <v>10690.55</v>
          </cell>
          <cell r="D4753">
            <v>10838.05</v>
          </cell>
          <cell r="E4753">
            <v>10678.55</v>
          </cell>
          <cell r="F4753">
            <v>10830.95</v>
          </cell>
        </row>
        <row r="4754">
          <cell r="B4754">
            <v>43497</v>
          </cell>
          <cell r="C4754">
            <v>10851.35</v>
          </cell>
          <cell r="D4754">
            <v>10983.45</v>
          </cell>
          <cell r="E4754">
            <v>10813.45</v>
          </cell>
          <cell r="F4754">
            <v>10893.65</v>
          </cell>
        </row>
        <row r="4755">
          <cell r="B4755">
            <v>43500</v>
          </cell>
          <cell r="C4755">
            <v>10876.75</v>
          </cell>
          <cell r="D4755">
            <v>10927.9</v>
          </cell>
          <cell r="E4755">
            <v>10814.15</v>
          </cell>
          <cell r="F4755">
            <v>10912.25</v>
          </cell>
        </row>
        <row r="4756">
          <cell r="B4756">
            <v>43501</v>
          </cell>
          <cell r="C4756">
            <v>10908.65</v>
          </cell>
          <cell r="D4756">
            <v>10956.7</v>
          </cell>
          <cell r="E4756">
            <v>10886.7</v>
          </cell>
          <cell r="F4756">
            <v>10934.35</v>
          </cell>
        </row>
        <row r="4757">
          <cell r="B4757">
            <v>43502</v>
          </cell>
          <cell r="C4757">
            <v>10965.1</v>
          </cell>
          <cell r="D4757">
            <v>11072.6</v>
          </cell>
          <cell r="E4757">
            <v>10962.7</v>
          </cell>
          <cell r="F4757">
            <v>11062.45</v>
          </cell>
        </row>
        <row r="4758">
          <cell r="B4758">
            <v>43503</v>
          </cell>
          <cell r="C4758">
            <v>11070.45</v>
          </cell>
          <cell r="D4758">
            <v>11118.1</v>
          </cell>
          <cell r="E4758">
            <v>11043.6</v>
          </cell>
          <cell r="F4758">
            <v>11069.4</v>
          </cell>
        </row>
        <row r="4759">
          <cell r="B4759">
            <v>43504</v>
          </cell>
          <cell r="C4759">
            <v>11023.5</v>
          </cell>
          <cell r="D4759">
            <v>11041.2</v>
          </cell>
          <cell r="E4759">
            <v>10925.45</v>
          </cell>
          <cell r="F4759">
            <v>10943.6</v>
          </cell>
        </row>
        <row r="4760">
          <cell r="B4760">
            <v>43507</v>
          </cell>
          <cell r="C4760">
            <v>10930.9</v>
          </cell>
          <cell r="D4760">
            <v>10930.9</v>
          </cell>
          <cell r="E4760">
            <v>10857.1</v>
          </cell>
          <cell r="F4760">
            <v>10888.8</v>
          </cell>
        </row>
        <row r="4761">
          <cell r="B4761">
            <v>43508</v>
          </cell>
          <cell r="C4761">
            <v>10879.7</v>
          </cell>
          <cell r="D4761">
            <v>10910.9</v>
          </cell>
          <cell r="E4761">
            <v>10823.8</v>
          </cell>
          <cell r="F4761">
            <v>10831.4</v>
          </cell>
        </row>
        <row r="4762">
          <cell r="B4762">
            <v>43509</v>
          </cell>
          <cell r="C4762">
            <v>10870.55</v>
          </cell>
          <cell r="D4762">
            <v>10891.65</v>
          </cell>
          <cell r="E4762">
            <v>10772.1</v>
          </cell>
          <cell r="F4762">
            <v>10793.65</v>
          </cell>
        </row>
        <row r="4763">
          <cell r="B4763">
            <v>43510</v>
          </cell>
          <cell r="C4763">
            <v>10786.1</v>
          </cell>
          <cell r="D4763">
            <v>10792.7</v>
          </cell>
          <cell r="E4763">
            <v>10718.75</v>
          </cell>
          <cell r="F4763">
            <v>10746.05</v>
          </cell>
        </row>
        <row r="4764">
          <cell r="B4764">
            <v>43511</v>
          </cell>
          <cell r="C4764">
            <v>10780.25</v>
          </cell>
          <cell r="D4764">
            <v>10785.75</v>
          </cell>
          <cell r="E4764">
            <v>10620.4</v>
          </cell>
          <cell r="F4764">
            <v>10724.4</v>
          </cell>
        </row>
        <row r="4765">
          <cell r="B4765">
            <v>43514</v>
          </cell>
          <cell r="C4765">
            <v>10738.65</v>
          </cell>
          <cell r="D4765">
            <v>10759.9</v>
          </cell>
          <cell r="E4765">
            <v>10628.4</v>
          </cell>
          <cell r="F4765">
            <v>10640.95</v>
          </cell>
        </row>
        <row r="4766">
          <cell r="B4766">
            <v>43515</v>
          </cell>
          <cell r="C4766">
            <v>10636.7</v>
          </cell>
          <cell r="D4766">
            <v>10722.85</v>
          </cell>
          <cell r="E4766">
            <v>10585.65</v>
          </cell>
          <cell r="F4766">
            <v>10604.35</v>
          </cell>
        </row>
        <row r="4767">
          <cell r="B4767">
            <v>43516</v>
          </cell>
          <cell r="C4767">
            <v>10655.45</v>
          </cell>
          <cell r="D4767">
            <v>10752.7</v>
          </cell>
          <cell r="E4767">
            <v>10646.4</v>
          </cell>
          <cell r="F4767">
            <v>10735.45</v>
          </cell>
        </row>
        <row r="4768">
          <cell r="B4768">
            <v>43517</v>
          </cell>
          <cell r="C4768">
            <v>10744.1</v>
          </cell>
          <cell r="D4768">
            <v>10808.85</v>
          </cell>
          <cell r="E4768">
            <v>10721.5</v>
          </cell>
          <cell r="F4768">
            <v>10789.85</v>
          </cell>
        </row>
        <row r="4769">
          <cell r="B4769">
            <v>43518</v>
          </cell>
          <cell r="C4769">
            <v>10782.7</v>
          </cell>
          <cell r="D4769">
            <v>10801.55</v>
          </cell>
          <cell r="E4769">
            <v>10758.4</v>
          </cell>
          <cell r="F4769">
            <v>10791.65</v>
          </cell>
        </row>
        <row r="4770">
          <cell r="B4770">
            <v>43521</v>
          </cell>
          <cell r="C4770">
            <v>10813.25</v>
          </cell>
          <cell r="D4770">
            <v>10887.1</v>
          </cell>
          <cell r="E4770">
            <v>10788.05</v>
          </cell>
          <cell r="F4770">
            <v>10880.1</v>
          </cell>
        </row>
        <row r="4771">
          <cell r="B4771">
            <v>43522</v>
          </cell>
          <cell r="C4771">
            <v>10775.3</v>
          </cell>
          <cell r="D4771">
            <v>10888.75</v>
          </cell>
          <cell r="E4771">
            <v>10729.3</v>
          </cell>
          <cell r="F4771">
            <v>10835.3</v>
          </cell>
        </row>
        <row r="4772">
          <cell r="B4772">
            <v>43523</v>
          </cell>
          <cell r="C4772">
            <v>10881.2</v>
          </cell>
          <cell r="D4772">
            <v>10939.7</v>
          </cell>
          <cell r="E4772">
            <v>10751.2</v>
          </cell>
          <cell r="F4772">
            <v>10806.65</v>
          </cell>
        </row>
        <row r="4773">
          <cell r="B4773">
            <v>43524</v>
          </cell>
          <cell r="C4773">
            <v>10865.7</v>
          </cell>
          <cell r="D4773">
            <v>10865.7</v>
          </cell>
          <cell r="E4773">
            <v>10784.85</v>
          </cell>
          <cell r="F4773">
            <v>10792.5</v>
          </cell>
        </row>
        <row r="4774">
          <cell r="B4774">
            <v>43525</v>
          </cell>
          <cell r="C4774">
            <v>10842.65</v>
          </cell>
          <cell r="D4774">
            <v>10877.9</v>
          </cell>
          <cell r="E4774">
            <v>10823.1</v>
          </cell>
          <cell r="F4774">
            <v>10863.5</v>
          </cell>
        </row>
        <row r="4775">
          <cell r="B4775">
            <v>43529</v>
          </cell>
          <cell r="C4775">
            <v>10864.85</v>
          </cell>
          <cell r="D4775">
            <v>10994.9</v>
          </cell>
          <cell r="E4775">
            <v>10817</v>
          </cell>
          <cell r="F4775">
            <v>10987.45</v>
          </cell>
        </row>
        <row r="4776">
          <cell r="B4776">
            <v>43530</v>
          </cell>
          <cell r="C4776">
            <v>11024.85</v>
          </cell>
          <cell r="D4776">
            <v>11062.3</v>
          </cell>
          <cell r="E4776">
            <v>10998.85</v>
          </cell>
          <cell r="F4776">
            <v>11053</v>
          </cell>
        </row>
        <row r="4777">
          <cell r="B4777">
            <v>43531</v>
          </cell>
          <cell r="C4777">
            <v>11077.95</v>
          </cell>
          <cell r="D4777">
            <v>11089.05</v>
          </cell>
          <cell r="E4777">
            <v>11027.1</v>
          </cell>
          <cell r="F4777">
            <v>11058.2</v>
          </cell>
        </row>
        <row r="4778">
          <cell r="B4778">
            <v>43532</v>
          </cell>
          <cell r="C4778">
            <v>11038.85</v>
          </cell>
          <cell r="D4778">
            <v>11049</v>
          </cell>
          <cell r="E4778">
            <v>11008.95</v>
          </cell>
          <cell r="F4778">
            <v>11035.4</v>
          </cell>
        </row>
        <row r="4779">
          <cell r="B4779">
            <v>43535</v>
          </cell>
          <cell r="C4779">
            <v>11068.75</v>
          </cell>
          <cell r="D4779">
            <v>11180.9</v>
          </cell>
          <cell r="E4779">
            <v>11059.85</v>
          </cell>
          <cell r="F4779">
            <v>11168.05</v>
          </cell>
        </row>
        <row r="4780">
          <cell r="B4780">
            <v>43536</v>
          </cell>
          <cell r="C4780">
            <v>11231.35</v>
          </cell>
          <cell r="D4780">
            <v>11320.4</v>
          </cell>
          <cell r="E4780">
            <v>11227</v>
          </cell>
          <cell r="F4780">
            <v>11301.2</v>
          </cell>
        </row>
        <row r="4781">
          <cell r="B4781">
            <v>43537</v>
          </cell>
          <cell r="C4781">
            <v>11326.2</v>
          </cell>
          <cell r="D4781">
            <v>11352.3</v>
          </cell>
          <cell r="E4781">
            <v>11276.6</v>
          </cell>
          <cell r="F4781">
            <v>11341.7</v>
          </cell>
        </row>
        <row r="4782">
          <cell r="B4782">
            <v>43538</v>
          </cell>
          <cell r="C4782">
            <v>11382.5</v>
          </cell>
          <cell r="D4782">
            <v>11383.45</v>
          </cell>
          <cell r="E4782">
            <v>11313.75</v>
          </cell>
          <cell r="F4782">
            <v>11343.25</v>
          </cell>
        </row>
        <row r="4783">
          <cell r="B4783">
            <v>43539</v>
          </cell>
          <cell r="C4783">
            <v>11376.85</v>
          </cell>
          <cell r="D4783">
            <v>11487</v>
          </cell>
          <cell r="E4783">
            <v>11370.8</v>
          </cell>
          <cell r="F4783">
            <v>11426.85</v>
          </cell>
        </row>
        <row r="4784">
          <cell r="B4784">
            <v>43542</v>
          </cell>
          <cell r="C4784">
            <v>11473.85</v>
          </cell>
          <cell r="D4784">
            <v>11530.15</v>
          </cell>
          <cell r="E4784">
            <v>11412.5</v>
          </cell>
          <cell r="F4784">
            <v>11462.2</v>
          </cell>
        </row>
        <row r="4785">
          <cell r="B4785">
            <v>43543</v>
          </cell>
          <cell r="C4785">
            <v>11500.3</v>
          </cell>
          <cell r="D4785">
            <v>11543.85</v>
          </cell>
          <cell r="E4785">
            <v>11451.25</v>
          </cell>
          <cell r="F4785">
            <v>11532.4</v>
          </cell>
        </row>
        <row r="4786">
          <cell r="B4786">
            <v>43544</v>
          </cell>
          <cell r="C4786">
            <v>11553.35</v>
          </cell>
          <cell r="D4786">
            <v>11556.1</v>
          </cell>
          <cell r="E4786">
            <v>11503.1</v>
          </cell>
          <cell r="F4786">
            <v>11521.05</v>
          </cell>
        </row>
        <row r="4787">
          <cell r="B4787">
            <v>43546</v>
          </cell>
          <cell r="C4787">
            <v>11549.2</v>
          </cell>
          <cell r="D4787">
            <v>11572.8</v>
          </cell>
          <cell r="E4787">
            <v>11434.55</v>
          </cell>
          <cell r="F4787">
            <v>11456.9</v>
          </cell>
        </row>
        <row r="4788">
          <cell r="B4788">
            <v>43549</v>
          </cell>
          <cell r="C4788">
            <v>11395.65</v>
          </cell>
          <cell r="D4788">
            <v>11395.65</v>
          </cell>
          <cell r="E4788">
            <v>11311.6</v>
          </cell>
          <cell r="F4788">
            <v>11354.25</v>
          </cell>
        </row>
        <row r="4789">
          <cell r="B4789">
            <v>43550</v>
          </cell>
          <cell r="C4789">
            <v>11375.2</v>
          </cell>
          <cell r="D4789">
            <v>11496.75</v>
          </cell>
          <cell r="E4789">
            <v>11352.45</v>
          </cell>
          <cell r="F4789">
            <v>11483.25</v>
          </cell>
        </row>
        <row r="4790">
          <cell r="B4790">
            <v>43551</v>
          </cell>
          <cell r="C4790">
            <v>11531.45</v>
          </cell>
          <cell r="D4790">
            <v>11546.2</v>
          </cell>
          <cell r="E4790">
            <v>11413</v>
          </cell>
          <cell r="F4790">
            <v>11445.05</v>
          </cell>
        </row>
        <row r="4791">
          <cell r="B4791">
            <v>43552</v>
          </cell>
          <cell r="C4791">
            <v>11463.65</v>
          </cell>
          <cell r="D4791">
            <v>11588.5</v>
          </cell>
          <cell r="E4791">
            <v>11452.45</v>
          </cell>
          <cell r="F4791">
            <v>11570</v>
          </cell>
        </row>
        <row r="4792">
          <cell r="B4792">
            <v>43553</v>
          </cell>
          <cell r="C4792">
            <v>11625.45</v>
          </cell>
          <cell r="D4792">
            <v>11630.35</v>
          </cell>
          <cell r="E4792">
            <v>11570.15</v>
          </cell>
          <cell r="F4792">
            <v>11623.9</v>
          </cell>
        </row>
        <row r="4793">
          <cell r="B4793">
            <v>43556</v>
          </cell>
          <cell r="C4793">
            <v>11665.2</v>
          </cell>
          <cell r="D4793">
            <v>11738.1</v>
          </cell>
          <cell r="E4793">
            <v>11644.75</v>
          </cell>
          <cell r="F4793">
            <v>11669.15</v>
          </cell>
        </row>
        <row r="4794">
          <cell r="B4794">
            <v>43557</v>
          </cell>
          <cell r="C4794">
            <v>11711.55</v>
          </cell>
          <cell r="D4794">
            <v>11729.35</v>
          </cell>
          <cell r="E4794">
            <v>11655.85</v>
          </cell>
          <cell r="F4794">
            <v>11713.2</v>
          </cell>
        </row>
        <row r="4795">
          <cell r="B4795">
            <v>43558</v>
          </cell>
          <cell r="C4795">
            <v>11735.3</v>
          </cell>
          <cell r="D4795">
            <v>11761</v>
          </cell>
          <cell r="E4795">
            <v>11629.15</v>
          </cell>
          <cell r="F4795">
            <v>11643.95</v>
          </cell>
        </row>
        <row r="4796">
          <cell r="B4796">
            <v>43559</v>
          </cell>
          <cell r="C4796">
            <v>11660.2</v>
          </cell>
          <cell r="D4796">
            <v>11662.55</v>
          </cell>
          <cell r="E4796">
            <v>11559.2</v>
          </cell>
          <cell r="F4796">
            <v>11598</v>
          </cell>
        </row>
        <row r="4797">
          <cell r="B4797">
            <v>43560</v>
          </cell>
          <cell r="C4797">
            <v>11638.4</v>
          </cell>
          <cell r="D4797">
            <v>11689.65</v>
          </cell>
          <cell r="E4797">
            <v>11609.5</v>
          </cell>
          <cell r="F4797">
            <v>11665.95</v>
          </cell>
        </row>
        <row r="4798">
          <cell r="B4798">
            <v>43563</v>
          </cell>
          <cell r="C4798">
            <v>11704.35</v>
          </cell>
          <cell r="D4798">
            <v>11710.3</v>
          </cell>
          <cell r="E4798">
            <v>11549.1</v>
          </cell>
          <cell r="F4798">
            <v>11604.5</v>
          </cell>
        </row>
        <row r="4799">
          <cell r="B4799">
            <v>43564</v>
          </cell>
          <cell r="C4799">
            <v>11612.05</v>
          </cell>
          <cell r="D4799">
            <v>11683.9</v>
          </cell>
          <cell r="E4799">
            <v>11569.7</v>
          </cell>
          <cell r="F4799">
            <v>11671.95</v>
          </cell>
        </row>
        <row r="4800">
          <cell r="B4800">
            <v>43565</v>
          </cell>
          <cell r="C4800">
            <v>11646.85</v>
          </cell>
          <cell r="D4800">
            <v>11680.05</v>
          </cell>
          <cell r="E4800">
            <v>11571.75</v>
          </cell>
          <cell r="F4800">
            <v>11584.3</v>
          </cell>
        </row>
        <row r="4801">
          <cell r="B4801">
            <v>43566</v>
          </cell>
          <cell r="C4801">
            <v>11592.55</v>
          </cell>
          <cell r="D4801">
            <v>11606.7</v>
          </cell>
          <cell r="E4801">
            <v>11550.55</v>
          </cell>
          <cell r="F4801">
            <v>11596.7</v>
          </cell>
        </row>
        <row r="4802">
          <cell r="B4802">
            <v>43567</v>
          </cell>
          <cell r="C4802">
            <v>11612.85</v>
          </cell>
          <cell r="D4802">
            <v>11657.35</v>
          </cell>
          <cell r="E4802">
            <v>11578.8</v>
          </cell>
          <cell r="F4802">
            <v>11643.45</v>
          </cell>
        </row>
        <row r="4803">
          <cell r="B4803">
            <v>43570</v>
          </cell>
          <cell r="C4803">
            <v>11667</v>
          </cell>
          <cell r="D4803">
            <v>11704.6</v>
          </cell>
          <cell r="E4803">
            <v>11648.25</v>
          </cell>
          <cell r="F4803">
            <v>11690.35</v>
          </cell>
        </row>
        <row r="4804">
          <cell r="B4804">
            <v>43571</v>
          </cell>
          <cell r="C4804">
            <v>11736.2</v>
          </cell>
          <cell r="D4804">
            <v>11810.95</v>
          </cell>
          <cell r="E4804">
            <v>11731.55</v>
          </cell>
          <cell r="F4804">
            <v>11787.15</v>
          </cell>
        </row>
        <row r="4805">
          <cell r="B4805">
            <v>43573</v>
          </cell>
          <cell r="C4805">
            <v>11856.15</v>
          </cell>
          <cell r="D4805">
            <v>11856.15</v>
          </cell>
          <cell r="E4805">
            <v>11738.5</v>
          </cell>
          <cell r="F4805">
            <v>11752.8</v>
          </cell>
        </row>
        <row r="4806">
          <cell r="B4806">
            <v>43577</v>
          </cell>
          <cell r="C4806">
            <v>11727.05</v>
          </cell>
          <cell r="D4806">
            <v>11727.05</v>
          </cell>
          <cell r="E4806">
            <v>11583.95</v>
          </cell>
          <cell r="F4806">
            <v>11594.45</v>
          </cell>
        </row>
        <row r="4807">
          <cell r="B4807">
            <v>43578</v>
          </cell>
          <cell r="C4807">
            <v>11612.95</v>
          </cell>
          <cell r="D4807">
            <v>11645.95</v>
          </cell>
          <cell r="E4807">
            <v>11564.8</v>
          </cell>
          <cell r="F4807">
            <v>11575.95</v>
          </cell>
        </row>
        <row r="4808">
          <cell r="B4808">
            <v>43579</v>
          </cell>
          <cell r="C4808">
            <v>11601.5</v>
          </cell>
          <cell r="D4808">
            <v>11740.85</v>
          </cell>
          <cell r="E4808">
            <v>11578.85</v>
          </cell>
          <cell r="F4808">
            <v>11726.15</v>
          </cell>
        </row>
        <row r="4809">
          <cell r="B4809">
            <v>43580</v>
          </cell>
          <cell r="C4809">
            <v>11735.7</v>
          </cell>
          <cell r="D4809">
            <v>11796.75</v>
          </cell>
          <cell r="E4809">
            <v>11624.3</v>
          </cell>
          <cell r="F4809">
            <v>11641.8</v>
          </cell>
        </row>
        <row r="4810">
          <cell r="B4810">
            <v>43581</v>
          </cell>
          <cell r="C4810">
            <v>11683.75</v>
          </cell>
          <cell r="D4810">
            <v>11762.9</v>
          </cell>
          <cell r="E4810">
            <v>11661.75</v>
          </cell>
          <cell r="F4810">
            <v>11754.65</v>
          </cell>
        </row>
        <row r="4811">
          <cell r="B4811">
            <v>43585</v>
          </cell>
          <cell r="C4811">
            <v>11748.75</v>
          </cell>
          <cell r="D4811">
            <v>11756.25</v>
          </cell>
          <cell r="E4811">
            <v>11655.9</v>
          </cell>
          <cell r="F4811">
            <v>11748.15</v>
          </cell>
        </row>
        <row r="4812">
          <cell r="B4812">
            <v>43587</v>
          </cell>
          <cell r="C4812">
            <v>11725.55</v>
          </cell>
          <cell r="D4812">
            <v>11789.3</v>
          </cell>
          <cell r="E4812">
            <v>11699.55</v>
          </cell>
          <cell r="F4812">
            <v>11724.75</v>
          </cell>
        </row>
        <row r="4813">
          <cell r="B4813">
            <v>43588</v>
          </cell>
          <cell r="C4813">
            <v>11722.6</v>
          </cell>
          <cell r="D4813">
            <v>11770.9</v>
          </cell>
          <cell r="E4813">
            <v>11699.35</v>
          </cell>
          <cell r="F4813">
            <v>11712.25</v>
          </cell>
        </row>
        <row r="4814">
          <cell r="B4814">
            <v>43591</v>
          </cell>
          <cell r="C4814">
            <v>11605.8</v>
          </cell>
          <cell r="D4814">
            <v>11632.55</v>
          </cell>
          <cell r="E4814">
            <v>11571.35</v>
          </cell>
          <cell r="F4814">
            <v>11598.25</v>
          </cell>
        </row>
        <row r="4815">
          <cell r="B4815">
            <v>43592</v>
          </cell>
          <cell r="C4815">
            <v>11651.5</v>
          </cell>
          <cell r="D4815">
            <v>11657.05</v>
          </cell>
          <cell r="E4815">
            <v>11484.45</v>
          </cell>
          <cell r="F4815">
            <v>11497.9</v>
          </cell>
        </row>
        <row r="4816">
          <cell r="B4816">
            <v>43593</v>
          </cell>
          <cell r="C4816">
            <v>11478.7</v>
          </cell>
          <cell r="D4816">
            <v>11479.1</v>
          </cell>
          <cell r="E4816">
            <v>11346.95</v>
          </cell>
          <cell r="F4816">
            <v>11359.45</v>
          </cell>
        </row>
        <row r="4817">
          <cell r="B4817">
            <v>43594</v>
          </cell>
          <cell r="C4817">
            <v>11322.4</v>
          </cell>
          <cell r="D4817">
            <v>11357.6</v>
          </cell>
          <cell r="E4817">
            <v>11255.05</v>
          </cell>
          <cell r="F4817">
            <v>11301.8</v>
          </cell>
        </row>
        <row r="4818">
          <cell r="B4818">
            <v>43595</v>
          </cell>
          <cell r="C4818">
            <v>11314.15</v>
          </cell>
          <cell r="D4818">
            <v>11345.8</v>
          </cell>
          <cell r="E4818">
            <v>11251.05</v>
          </cell>
          <cell r="F4818">
            <v>11278.9</v>
          </cell>
        </row>
        <row r="4819">
          <cell r="B4819">
            <v>43598</v>
          </cell>
          <cell r="C4819">
            <v>11258.7</v>
          </cell>
          <cell r="D4819">
            <v>11300.2</v>
          </cell>
          <cell r="E4819">
            <v>11125.6</v>
          </cell>
          <cell r="F4819">
            <v>11148.2</v>
          </cell>
        </row>
        <row r="4820">
          <cell r="B4820">
            <v>43599</v>
          </cell>
          <cell r="C4820">
            <v>11151.65</v>
          </cell>
          <cell r="D4820">
            <v>11294.75</v>
          </cell>
          <cell r="E4820">
            <v>11108.3</v>
          </cell>
          <cell r="F4820">
            <v>11222.05</v>
          </cell>
        </row>
        <row r="4821">
          <cell r="B4821">
            <v>43600</v>
          </cell>
          <cell r="C4821">
            <v>11271.7</v>
          </cell>
          <cell r="D4821">
            <v>11286.8</v>
          </cell>
          <cell r="E4821">
            <v>11136.95</v>
          </cell>
          <cell r="F4821">
            <v>11157</v>
          </cell>
        </row>
        <row r="4822">
          <cell r="B4822">
            <v>43601</v>
          </cell>
          <cell r="C4822">
            <v>11180.35</v>
          </cell>
          <cell r="D4822">
            <v>11281.55</v>
          </cell>
          <cell r="E4822">
            <v>11143.35</v>
          </cell>
          <cell r="F4822">
            <v>11257.1</v>
          </cell>
        </row>
        <row r="4823">
          <cell r="B4823">
            <v>43602</v>
          </cell>
          <cell r="C4823">
            <v>11261.9</v>
          </cell>
          <cell r="D4823">
            <v>11426.15</v>
          </cell>
          <cell r="E4823">
            <v>11259.85</v>
          </cell>
          <cell r="F4823">
            <v>11407.15</v>
          </cell>
        </row>
        <row r="4824">
          <cell r="B4824">
            <v>43605</v>
          </cell>
          <cell r="C4824">
            <v>11651.9</v>
          </cell>
          <cell r="D4824">
            <v>11845.2</v>
          </cell>
          <cell r="E4824">
            <v>11591.7</v>
          </cell>
          <cell r="F4824">
            <v>11828.25</v>
          </cell>
        </row>
        <row r="4825">
          <cell r="B4825">
            <v>43606</v>
          </cell>
          <cell r="C4825">
            <v>11863.65</v>
          </cell>
          <cell r="D4825">
            <v>11883.55</v>
          </cell>
          <cell r="E4825">
            <v>11682.8</v>
          </cell>
          <cell r="F4825">
            <v>11709.1</v>
          </cell>
        </row>
        <row r="4826">
          <cell r="B4826">
            <v>43607</v>
          </cell>
          <cell r="C4826">
            <v>11727.95</v>
          </cell>
          <cell r="D4826">
            <v>11784.8</v>
          </cell>
          <cell r="E4826">
            <v>11682.4</v>
          </cell>
          <cell r="F4826">
            <v>11737.9</v>
          </cell>
        </row>
        <row r="4827">
          <cell r="B4827">
            <v>43608</v>
          </cell>
          <cell r="C4827">
            <v>11901.3</v>
          </cell>
          <cell r="D4827">
            <v>12041.15</v>
          </cell>
          <cell r="E4827">
            <v>11614.5</v>
          </cell>
          <cell r="F4827">
            <v>11657.05</v>
          </cell>
        </row>
        <row r="4828">
          <cell r="B4828">
            <v>43609</v>
          </cell>
          <cell r="C4828">
            <v>11748</v>
          </cell>
          <cell r="D4828">
            <v>11859</v>
          </cell>
          <cell r="E4828">
            <v>11658.1</v>
          </cell>
          <cell r="F4828">
            <v>11844.1</v>
          </cell>
        </row>
        <row r="4829">
          <cell r="B4829">
            <v>43612</v>
          </cell>
          <cell r="C4829">
            <v>11855.5</v>
          </cell>
          <cell r="D4829">
            <v>11957.15</v>
          </cell>
          <cell r="E4829">
            <v>11812.4</v>
          </cell>
          <cell r="F4829">
            <v>11924.75</v>
          </cell>
        </row>
        <row r="4830">
          <cell r="B4830">
            <v>43613</v>
          </cell>
          <cell r="C4830">
            <v>11958.35</v>
          </cell>
          <cell r="D4830">
            <v>11958.55</v>
          </cell>
          <cell r="E4830">
            <v>11864.9</v>
          </cell>
          <cell r="F4830">
            <v>11928.75</v>
          </cell>
        </row>
        <row r="4831">
          <cell r="B4831">
            <v>43614</v>
          </cell>
          <cell r="C4831">
            <v>11905.8</v>
          </cell>
          <cell r="D4831">
            <v>11931.9</v>
          </cell>
          <cell r="E4831">
            <v>11836.8</v>
          </cell>
          <cell r="F4831">
            <v>11861.1</v>
          </cell>
        </row>
        <row r="4832">
          <cell r="B4832">
            <v>43615</v>
          </cell>
          <cell r="C4832">
            <v>11865.3</v>
          </cell>
          <cell r="D4832">
            <v>11968.55</v>
          </cell>
          <cell r="E4832">
            <v>11859.4</v>
          </cell>
          <cell r="F4832">
            <v>11945.9</v>
          </cell>
        </row>
        <row r="4833">
          <cell r="B4833">
            <v>43616</v>
          </cell>
          <cell r="C4833">
            <v>11999.8</v>
          </cell>
          <cell r="D4833">
            <v>12039.25</v>
          </cell>
          <cell r="E4833">
            <v>11829.45</v>
          </cell>
          <cell r="F4833">
            <v>11922.8</v>
          </cell>
        </row>
        <row r="4834">
          <cell r="B4834">
            <v>43619</v>
          </cell>
          <cell r="C4834">
            <v>11953.75</v>
          </cell>
          <cell r="D4834">
            <v>12103.05</v>
          </cell>
          <cell r="E4834">
            <v>11920.1</v>
          </cell>
          <cell r="F4834">
            <v>12088.55</v>
          </cell>
        </row>
        <row r="4835">
          <cell r="B4835">
            <v>43620</v>
          </cell>
          <cell r="C4835">
            <v>12052.65</v>
          </cell>
          <cell r="D4835">
            <v>12095.2</v>
          </cell>
          <cell r="E4835">
            <v>12005.85</v>
          </cell>
          <cell r="F4835">
            <v>12021.65</v>
          </cell>
        </row>
        <row r="4836">
          <cell r="B4836">
            <v>43622</v>
          </cell>
          <cell r="C4836">
            <v>12039.8</v>
          </cell>
          <cell r="D4836">
            <v>12039.8</v>
          </cell>
          <cell r="E4836">
            <v>11830.25</v>
          </cell>
          <cell r="F4836">
            <v>11843.75</v>
          </cell>
        </row>
        <row r="4837">
          <cell r="B4837">
            <v>43623</v>
          </cell>
          <cell r="C4837">
            <v>11865.2</v>
          </cell>
          <cell r="D4837">
            <v>11897.5</v>
          </cell>
          <cell r="E4837">
            <v>11769.5</v>
          </cell>
          <cell r="F4837">
            <v>11870.65</v>
          </cell>
        </row>
        <row r="4838">
          <cell r="B4838">
            <v>43626</v>
          </cell>
          <cell r="C4838">
            <v>11934.9</v>
          </cell>
          <cell r="D4838">
            <v>11975.05</v>
          </cell>
          <cell r="E4838">
            <v>11871.75</v>
          </cell>
          <cell r="F4838">
            <v>11922.7</v>
          </cell>
        </row>
        <row r="4839">
          <cell r="B4839">
            <v>43627</v>
          </cell>
          <cell r="C4839">
            <v>11959.85</v>
          </cell>
          <cell r="D4839">
            <v>12000.35</v>
          </cell>
          <cell r="E4839">
            <v>11904.35</v>
          </cell>
          <cell r="F4839">
            <v>11965.6</v>
          </cell>
        </row>
        <row r="4840">
          <cell r="B4840">
            <v>43628</v>
          </cell>
          <cell r="C4840">
            <v>11962.45</v>
          </cell>
          <cell r="D4840">
            <v>11962.45</v>
          </cell>
          <cell r="E4840">
            <v>11866.35</v>
          </cell>
          <cell r="F4840">
            <v>11906.2</v>
          </cell>
        </row>
        <row r="4841">
          <cell r="B4841">
            <v>43629</v>
          </cell>
          <cell r="C4841">
            <v>11873.9</v>
          </cell>
          <cell r="D4841">
            <v>11931.35</v>
          </cell>
          <cell r="E4841">
            <v>11817.05</v>
          </cell>
          <cell r="F4841">
            <v>11914.05</v>
          </cell>
        </row>
        <row r="4842">
          <cell r="B4842">
            <v>43630</v>
          </cell>
          <cell r="C4842">
            <v>11910.1</v>
          </cell>
          <cell r="D4842">
            <v>11911.85</v>
          </cell>
          <cell r="E4842">
            <v>11797.7</v>
          </cell>
          <cell r="F4842">
            <v>11823.3</v>
          </cell>
        </row>
        <row r="4843">
          <cell r="B4843">
            <v>43633</v>
          </cell>
          <cell r="C4843">
            <v>11844</v>
          </cell>
          <cell r="D4843">
            <v>11844.05</v>
          </cell>
          <cell r="E4843">
            <v>11657.75</v>
          </cell>
          <cell r="F4843">
            <v>11672.15</v>
          </cell>
        </row>
        <row r="4844">
          <cell r="B4844">
            <v>43634</v>
          </cell>
          <cell r="C4844">
            <v>11677.05</v>
          </cell>
          <cell r="D4844">
            <v>11727.2</v>
          </cell>
          <cell r="E4844">
            <v>11641.15</v>
          </cell>
          <cell r="F4844">
            <v>11691.5</v>
          </cell>
        </row>
        <row r="4845">
          <cell r="B4845">
            <v>43635</v>
          </cell>
          <cell r="C4845">
            <v>11744.45</v>
          </cell>
          <cell r="D4845">
            <v>11802.5</v>
          </cell>
          <cell r="E4845">
            <v>11625.1</v>
          </cell>
          <cell r="F4845">
            <v>11691.45</v>
          </cell>
        </row>
        <row r="4846">
          <cell r="B4846">
            <v>43636</v>
          </cell>
          <cell r="C4846">
            <v>11653.65</v>
          </cell>
          <cell r="D4846">
            <v>11843.5</v>
          </cell>
          <cell r="E4846">
            <v>11635.05</v>
          </cell>
          <cell r="F4846">
            <v>11831.75</v>
          </cell>
        </row>
        <row r="4847">
          <cell r="B4847">
            <v>43637</v>
          </cell>
          <cell r="C4847">
            <v>11827.6</v>
          </cell>
          <cell r="D4847">
            <v>11827.95</v>
          </cell>
          <cell r="E4847">
            <v>11705.1</v>
          </cell>
          <cell r="F4847">
            <v>11724.1</v>
          </cell>
        </row>
        <row r="4848">
          <cell r="B4848">
            <v>43640</v>
          </cell>
          <cell r="C4848">
            <v>11725.8</v>
          </cell>
          <cell r="D4848">
            <v>11754</v>
          </cell>
          <cell r="E4848">
            <v>11670.2</v>
          </cell>
          <cell r="F4848">
            <v>11699.65</v>
          </cell>
        </row>
        <row r="4849">
          <cell r="B4849">
            <v>43641</v>
          </cell>
          <cell r="C4849">
            <v>11681</v>
          </cell>
          <cell r="D4849">
            <v>11814.4</v>
          </cell>
          <cell r="E4849">
            <v>11651</v>
          </cell>
          <cell r="F4849">
            <v>11796.45</v>
          </cell>
        </row>
        <row r="4850">
          <cell r="B4850">
            <v>43642</v>
          </cell>
          <cell r="C4850">
            <v>11768.15</v>
          </cell>
          <cell r="D4850">
            <v>11871.85</v>
          </cell>
          <cell r="E4850">
            <v>11757.55</v>
          </cell>
          <cell r="F4850">
            <v>11847.55</v>
          </cell>
        </row>
        <row r="4851">
          <cell r="B4851">
            <v>43643</v>
          </cell>
          <cell r="C4851">
            <v>11860.85</v>
          </cell>
          <cell r="D4851">
            <v>11911.15</v>
          </cell>
          <cell r="E4851">
            <v>11821.05</v>
          </cell>
          <cell r="F4851">
            <v>11841.55</v>
          </cell>
        </row>
        <row r="4852">
          <cell r="B4852">
            <v>43644</v>
          </cell>
          <cell r="C4852">
            <v>11861.15</v>
          </cell>
          <cell r="D4852">
            <v>11871.7</v>
          </cell>
          <cell r="E4852">
            <v>11775.5</v>
          </cell>
          <cell r="F4852">
            <v>11788.85</v>
          </cell>
        </row>
        <row r="4853">
          <cell r="B4853">
            <v>43647</v>
          </cell>
          <cell r="C4853">
            <v>11839.9</v>
          </cell>
          <cell r="D4853">
            <v>11884.65</v>
          </cell>
          <cell r="E4853">
            <v>11830.8</v>
          </cell>
          <cell r="F4853">
            <v>11865.6</v>
          </cell>
        </row>
        <row r="4854">
          <cell r="B4854">
            <v>43648</v>
          </cell>
          <cell r="C4854">
            <v>11890.3</v>
          </cell>
          <cell r="D4854">
            <v>11917.45</v>
          </cell>
          <cell r="E4854">
            <v>11814.7</v>
          </cell>
          <cell r="F4854">
            <v>11910.3</v>
          </cell>
        </row>
        <row r="4855">
          <cell r="B4855">
            <v>43649</v>
          </cell>
          <cell r="C4855">
            <v>11932.15</v>
          </cell>
          <cell r="D4855">
            <v>11945.2</v>
          </cell>
          <cell r="E4855">
            <v>11887.05</v>
          </cell>
          <cell r="F4855">
            <v>11916.75</v>
          </cell>
        </row>
        <row r="4856">
          <cell r="B4856">
            <v>43650</v>
          </cell>
          <cell r="C4856">
            <v>11928.8</v>
          </cell>
          <cell r="D4856">
            <v>11969.25</v>
          </cell>
          <cell r="E4856">
            <v>11923.65</v>
          </cell>
          <cell r="F4856">
            <v>11946.75</v>
          </cell>
        </row>
        <row r="4857">
          <cell r="B4857">
            <v>43651</v>
          </cell>
          <cell r="C4857">
            <v>11964.75</v>
          </cell>
          <cell r="D4857">
            <v>11981.75</v>
          </cell>
          <cell r="E4857">
            <v>11797.9</v>
          </cell>
          <cell r="F4857">
            <v>11811.15</v>
          </cell>
        </row>
        <row r="4858">
          <cell r="B4858">
            <v>43654</v>
          </cell>
          <cell r="C4858">
            <v>11770.4</v>
          </cell>
          <cell r="D4858">
            <v>11771.9</v>
          </cell>
          <cell r="E4858">
            <v>11523.3</v>
          </cell>
          <cell r="F4858">
            <v>11558.6</v>
          </cell>
        </row>
        <row r="4859">
          <cell r="B4859">
            <v>43655</v>
          </cell>
          <cell r="C4859">
            <v>11531.6</v>
          </cell>
          <cell r="D4859">
            <v>11582.55</v>
          </cell>
          <cell r="E4859">
            <v>11461</v>
          </cell>
          <cell r="F4859">
            <v>11555.9</v>
          </cell>
        </row>
        <row r="4860">
          <cell r="B4860">
            <v>43656</v>
          </cell>
          <cell r="C4860">
            <v>11536.15</v>
          </cell>
          <cell r="D4860">
            <v>11593.7</v>
          </cell>
          <cell r="E4860">
            <v>11475.65</v>
          </cell>
          <cell r="F4860">
            <v>11498.9</v>
          </cell>
        </row>
        <row r="4861">
          <cell r="B4861">
            <v>43657</v>
          </cell>
          <cell r="C4861">
            <v>11561.45</v>
          </cell>
          <cell r="D4861">
            <v>11599</v>
          </cell>
          <cell r="E4861">
            <v>11519.5</v>
          </cell>
          <cell r="F4861">
            <v>11582.9</v>
          </cell>
        </row>
        <row r="4862">
          <cell r="B4862">
            <v>43658</v>
          </cell>
          <cell r="C4862">
            <v>11601.15</v>
          </cell>
          <cell r="D4862">
            <v>11639.55</v>
          </cell>
          <cell r="E4862">
            <v>11538.6</v>
          </cell>
          <cell r="F4862">
            <v>11552.5</v>
          </cell>
        </row>
        <row r="4863">
          <cell r="B4863">
            <v>43661</v>
          </cell>
          <cell r="C4863">
            <v>11614.75</v>
          </cell>
          <cell r="D4863">
            <v>11618.4</v>
          </cell>
          <cell r="E4863">
            <v>11532.3</v>
          </cell>
          <cell r="F4863">
            <v>11588.35</v>
          </cell>
        </row>
        <row r="4864">
          <cell r="B4864">
            <v>43662</v>
          </cell>
          <cell r="C4864">
            <v>11596.65</v>
          </cell>
          <cell r="D4864">
            <v>11670.05</v>
          </cell>
          <cell r="E4864">
            <v>11573.95</v>
          </cell>
          <cell r="F4864">
            <v>11662.6</v>
          </cell>
        </row>
        <row r="4865">
          <cell r="B4865">
            <v>43663</v>
          </cell>
          <cell r="C4865">
            <v>11670.75</v>
          </cell>
          <cell r="D4865">
            <v>11706.65</v>
          </cell>
          <cell r="E4865">
            <v>11651.15</v>
          </cell>
          <cell r="F4865">
            <v>11687.5</v>
          </cell>
        </row>
        <row r="4866">
          <cell r="B4866">
            <v>43664</v>
          </cell>
          <cell r="C4866">
            <v>11675.6</v>
          </cell>
          <cell r="D4866">
            <v>11677.15</v>
          </cell>
          <cell r="E4866">
            <v>11582.4</v>
          </cell>
          <cell r="F4866">
            <v>11596.9</v>
          </cell>
        </row>
        <row r="4867">
          <cell r="B4867">
            <v>43665</v>
          </cell>
          <cell r="C4867">
            <v>11627.95</v>
          </cell>
          <cell r="D4867">
            <v>11640.35</v>
          </cell>
          <cell r="E4867">
            <v>11399.3</v>
          </cell>
          <cell r="F4867">
            <v>11419.25</v>
          </cell>
        </row>
        <row r="4868">
          <cell r="B4868">
            <v>43668</v>
          </cell>
          <cell r="C4868">
            <v>11392.85</v>
          </cell>
          <cell r="D4868">
            <v>11398.15</v>
          </cell>
          <cell r="E4868">
            <v>11301.25</v>
          </cell>
          <cell r="F4868">
            <v>11346.2</v>
          </cell>
        </row>
        <row r="4869">
          <cell r="B4869">
            <v>43669</v>
          </cell>
          <cell r="C4869">
            <v>11372.25</v>
          </cell>
          <cell r="D4869">
            <v>11398.15</v>
          </cell>
          <cell r="E4869">
            <v>11302.8</v>
          </cell>
          <cell r="F4869">
            <v>11331.05</v>
          </cell>
        </row>
        <row r="4870">
          <cell r="B4870">
            <v>43670</v>
          </cell>
          <cell r="C4870">
            <v>11322.45</v>
          </cell>
          <cell r="D4870">
            <v>11359.75</v>
          </cell>
          <cell r="E4870">
            <v>11229.8</v>
          </cell>
          <cell r="F4870">
            <v>11271.3</v>
          </cell>
        </row>
        <row r="4871">
          <cell r="B4871">
            <v>43671</v>
          </cell>
          <cell r="C4871">
            <v>11290.4</v>
          </cell>
          <cell r="D4871">
            <v>11361.4</v>
          </cell>
          <cell r="E4871">
            <v>11239.35</v>
          </cell>
          <cell r="F4871">
            <v>11252.15</v>
          </cell>
        </row>
        <row r="4872">
          <cell r="B4872">
            <v>43672</v>
          </cell>
          <cell r="C4872">
            <v>11247.45</v>
          </cell>
          <cell r="D4872">
            <v>11307.6</v>
          </cell>
          <cell r="E4872">
            <v>11210.05</v>
          </cell>
          <cell r="F4872">
            <v>11284.3</v>
          </cell>
        </row>
        <row r="4873">
          <cell r="B4873">
            <v>43675</v>
          </cell>
          <cell r="C4873">
            <v>11307.5</v>
          </cell>
          <cell r="D4873">
            <v>11310.95</v>
          </cell>
          <cell r="E4873">
            <v>11152.4</v>
          </cell>
          <cell r="F4873">
            <v>11189.2</v>
          </cell>
        </row>
        <row r="4874">
          <cell r="B4874">
            <v>43676</v>
          </cell>
          <cell r="C4874">
            <v>11213.7</v>
          </cell>
          <cell r="D4874">
            <v>11267.45</v>
          </cell>
          <cell r="E4874">
            <v>11072.65</v>
          </cell>
          <cell r="F4874">
            <v>11085.4</v>
          </cell>
        </row>
        <row r="4875">
          <cell r="B4875">
            <v>43677</v>
          </cell>
          <cell r="C4875">
            <v>11034.05</v>
          </cell>
          <cell r="D4875">
            <v>11145.3</v>
          </cell>
          <cell r="E4875">
            <v>10999.4</v>
          </cell>
          <cell r="F4875">
            <v>11118</v>
          </cell>
        </row>
        <row r="4876">
          <cell r="B4876">
            <v>43678</v>
          </cell>
          <cell r="C4876">
            <v>11060.2</v>
          </cell>
          <cell r="D4876">
            <v>11076.75</v>
          </cell>
          <cell r="E4876">
            <v>10881</v>
          </cell>
          <cell r="F4876">
            <v>10980</v>
          </cell>
        </row>
        <row r="4877">
          <cell r="B4877">
            <v>43679</v>
          </cell>
          <cell r="C4877">
            <v>10930.3</v>
          </cell>
          <cell r="D4877">
            <v>11080.15</v>
          </cell>
          <cell r="E4877">
            <v>10848.95</v>
          </cell>
          <cell r="F4877">
            <v>10997.35</v>
          </cell>
        </row>
        <row r="4878">
          <cell r="B4878">
            <v>43682</v>
          </cell>
          <cell r="C4878">
            <v>10895.8</v>
          </cell>
          <cell r="D4878">
            <v>10895.8</v>
          </cell>
          <cell r="E4878">
            <v>10782.6</v>
          </cell>
          <cell r="F4878">
            <v>10862.6</v>
          </cell>
        </row>
        <row r="4879">
          <cell r="B4879">
            <v>43683</v>
          </cell>
          <cell r="C4879">
            <v>10815.4</v>
          </cell>
          <cell r="D4879">
            <v>11018.55</v>
          </cell>
          <cell r="E4879">
            <v>10813.8</v>
          </cell>
          <cell r="F4879">
            <v>10948.25</v>
          </cell>
        </row>
        <row r="4880">
          <cell r="B4880">
            <v>43684</v>
          </cell>
          <cell r="C4880">
            <v>10958.1</v>
          </cell>
          <cell r="D4880">
            <v>10975.65</v>
          </cell>
          <cell r="E4880">
            <v>10835.9</v>
          </cell>
          <cell r="F4880">
            <v>10855.5</v>
          </cell>
        </row>
        <row r="4881">
          <cell r="B4881">
            <v>43685</v>
          </cell>
          <cell r="C4881">
            <v>10899.2</v>
          </cell>
          <cell r="D4881">
            <v>11058.05</v>
          </cell>
          <cell r="E4881">
            <v>10842.95</v>
          </cell>
          <cell r="F4881">
            <v>11032.45</v>
          </cell>
        </row>
        <row r="4882">
          <cell r="B4882">
            <v>43686</v>
          </cell>
          <cell r="C4882">
            <v>11087.9</v>
          </cell>
          <cell r="D4882">
            <v>11181.45</v>
          </cell>
          <cell r="E4882">
            <v>11062.8</v>
          </cell>
          <cell r="F4882">
            <v>11109.65</v>
          </cell>
        </row>
        <row r="4883">
          <cell r="B4883">
            <v>43690</v>
          </cell>
          <cell r="C4883">
            <v>11139.4</v>
          </cell>
          <cell r="D4883">
            <v>11145.9</v>
          </cell>
          <cell r="E4883">
            <v>10901.6</v>
          </cell>
          <cell r="F4883">
            <v>10925.85</v>
          </cell>
        </row>
        <row r="4884">
          <cell r="B4884">
            <v>43691</v>
          </cell>
          <cell r="C4884">
            <v>11003.25</v>
          </cell>
          <cell r="D4884">
            <v>11078.15</v>
          </cell>
          <cell r="E4884">
            <v>10935.6</v>
          </cell>
          <cell r="F4884">
            <v>11029.4</v>
          </cell>
        </row>
        <row r="4885">
          <cell r="B4885">
            <v>43693</v>
          </cell>
          <cell r="C4885">
            <v>11043.65</v>
          </cell>
          <cell r="D4885">
            <v>11068.65</v>
          </cell>
          <cell r="E4885">
            <v>10924.3</v>
          </cell>
          <cell r="F4885">
            <v>11047.8</v>
          </cell>
        </row>
        <row r="4886">
          <cell r="B4886">
            <v>43696</v>
          </cell>
          <cell r="C4886">
            <v>11094.8</v>
          </cell>
          <cell r="D4886">
            <v>11146.9</v>
          </cell>
          <cell r="E4886">
            <v>11037.85</v>
          </cell>
          <cell r="F4886">
            <v>11053.9</v>
          </cell>
        </row>
        <row r="4887">
          <cell r="B4887">
            <v>43697</v>
          </cell>
          <cell r="C4887">
            <v>11063.9</v>
          </cell>
          <cell r="D4887">
            <v>11076.3</v>
          </cell>
          <cell r="E4887">
            <v>10985.3</v>
          </cell>
          <cell r="F4887">
            <v>11017</v>
          </cell>
        </row>
        <row r="4888">
          <cell r="B4888">
            <v>43698</v>
          </cell>
          <cell r="C4888">
            <v>11018.15</v>
          </cell>
          <cell r="D4888">
            <v>11034.2</v>
          </cell>
          <cell r="E4888">
            <v>10906.65</v>
          </cell>
          <cell r="F4888">
            <v>10918.7</v>
          </cell>
        </row>
        <row r="4889">
          <cell r="B4889">
            <v>43699</v>
          </cell>
          <cell r="C4889">
            <v>10905.3</v>
          </cell>
          <cell r="D4889">
            <v>10908.25</v>
          </cell>
          <cell r="E4889">
            <v>10718.3</v>
          </cell>
          <cell r="F4889">
            <v>10741.35</v>
          </cell>
        </row>
        <row r="4890">
          <cell r="B4890">
            <v>43700</v>
          </cell>
          <cell r="C4890">
            <v>10699.6</v>
          </cell>
          <cell r="D4890">
            <v>10862.55</v>
          </cell>
          <cell r="E4890">
            <v>10637.15</v>
          </cell>
          <cell r="F4890">
            <v>10829.35</v>
          </cell>
        </row>
        <row r="4891">
          <cell r="B4891">
            <v>43703</v>
          </cell>
          <cell r="C4891">
            <v>11000.3</v>
          </cell>
          <cell r="D4891">
            <v>11070.3</v>
          </cell>
          <cell r="E4891">
            <v>10756.55</v>
          </cell>
          <cell r="F4891">
            <v>11057.85</v>
          </cell>
        </row>
        <row r="4892">
          <cell r="B4892">
            <v>43704</v>
          </cell>
          <cell r="C4892">
            <v>11106.55</v>
          </cell>
          <cell r="D4892">
            <v>11141.75</v>
          </cell>
          <cell r="E4892">
            <v>11049.5</v>
          </cell>
          <cell r="F4892">
            <v>11105.35</v>
          </cell>
        </row>
        <row r="4893">
          <cell r="B4893">
            <v>43705</v>
          </cell>
          <cell r="C4893">
            <v>11101.3</v>
          </cell>
          <cell r="D4893">
            <v>11129.65</v>
          </cell>
          <cell r="E4893">
            <v>10987.65</v>
          </cell>
          <cell r="F4893">
            <v>11046.1</v>
          </cell>
        </row>
        <row r="4894">
          <cell r="B4894">
            <v>43706</v>
          </cell>
          <cell r="C4894">
            <v>10996.05</v>
          </cell>
          <cell r="D4894">
            <v>11021.1</v>
          </cell>
          <cell r="E4894">
            <v>10922.4</v>
          </cell>
          <cell r="F4894">
            <v>10948.3</v>
          </cell>
        </row>
        <row r="4895">
          <cell r="B4895">
            <v>43707</v>
          </cell>
          <cell r="C4895">
            <v>10987.8</v>
          </cell>
          <cell r="D4895">
            <v>11042.6</v>
          </cell>
          <cell r="E4895">
            <v>10874.8</v>
          </cell>
          <cell r="F4895">
            <v>11023.25</v>
          </cell>
        </row>
        <row r="4896">
          <cell r="B4896">
            <v>43711</v>
          </cell>
          <cell r="C4896">
            <v>10960.95</v>
          </cell>
          <cell r="D4896">
            <v>10967.5</v>
          </cell>
          <cell r="E4896">
            <v>10772.7</v>
          </cell>
          <cell r="F4896">
            <v>10797.9</v>
          </cell>
        </row>
        <row r="4897">
          <cell r="B4897">
            <v>43712</v>
          </cell>
          <cell r="C4897">
            <v>10790.4</v>
          </cell>
          <cell r="D4897">
            <v>10858.75</v>
          </cell>
          <cell r="E4897">
            <v>10746.35</v>
          </cell>
          <cell r="F4897">
            <v>10844.65</v>
          </cell>
        </row>
        <row r="4898">
          <cell r="B4898">
            <v>43713</v>
          </cell>
          <cell r="C4898">
            <v>10860.95</v>
          </cell>
          <cell r="D4898">
            <v>10920.1</v>
          </cell>
          <cell r="E4898">
            <v>10816</v>
          </cell>
          <cell r="F4898">
            <v>10847.9</v>
          </cell>
        </row>
        <row r="4899">
          <cell r="B4899">
            <v>43714</v>
          </cell>
          <cell r="C4899">
            <v>10883.8</v>
          </cell>
          <cell r="D4899">
            <v>10957.05</v>
          </cell>
          <cell r="E4899">
            <v>10867.45</v>
          </cell>
          <cell r="F4899">
            <v>10946.2</v>
          </cell>
        </row>
        <row r="4900">
          <cell r="B4900">
            <v>43717</v>
          </cell>
          <cell r="C4900">
            <v>10936.7</v>
          </cell>
          <cell r="D4900">
            <v>11028.85</v>
          </cell>
          <cell r="E4900">
            <v>10889.8</v>
          </cell>
          <cell r="F4900">
            <v>11003.05</v>
          </cell>
        </row>
        <row r="4901">
          <cell r="B4901">
            <v>43719</v>
          </cell>
          <cell r="C4901">
            <v>11028.5</v>
          </cell>
          <cell r="D4901">
            <v>11054.8</v>
          </cell>
          <cell r="E4901">
            <v>11011.65</v>
          </cell>
          <cell r="F4901">
            <v>11035.7</v>
          </cell>
        </row>
        <row r="4902">
          <cell r="B4902">
            <v>43720</v>
          </cell>
          <cell r="C4902">
            <v>11058.3</v>
          </cell>
          <cell r="D4902">
            <v>11081.75</v>
          </cell>
          <cell r="E4902">
            <v>10964.95</v>
          </cell>
          <cell r="F4902">
            <v>10982.8</v>
          </cell>
        </row>
        <row r="4903">
          <cell r="B4903">
            <v>43721</v>
          </cell>
          <cell r="C4903">
            <v>10986.8</v>
          </cell>
          <cell r="D4903">
            <v>11084.45</v>
          </cell>
          <cell r="E4903">
            <v>10945.75</v>
          </cell>
          <cell r="F4903">
            <v>11075.9</v>
          </cell>
        </row>
        <row r="4904">
          <cell r="B4904">
            <v>43724</v>
          </cell>
          <cell r="C4904">
            <v>10994.85</v>
          </cell>
          <cell r="D4904">
            <v>11052.7</v>
          </cell>
          <cell r="E4904">
            <v>10968.2</v>
          </cell>
          <cell r="F4904">
            <v>11003.5</v>
          </cell>
        </row>
        <row r="4905">
          <cell r="B4905">
            <v>43725</v>
          </cell>
          <cell r="C4905">
            <v>11000.1</v>
          </cell>
          <cell r="D4905">
            <v>11000.1</v>
          </cell>
          <cell r="E4905">
            <v>10796.5</v>
          </cell>
          <cell r="F4905">
            <v>10817.6</v>
          </cell>
        </row>
        <row r="4906">
          <cell r="B4906">
            <v>43726</v>
          </cell>
          <cell r="C4906">
            <v>10872.8</v>
          </cell>
          <cell r="D4906">
            <v>10885.15</v>
          </cell>
          <cell r="E4906">
            <v>10804.85</v>
          </cell>
          <cell r="F4906">
            <v>10840.65</v>
          </cell>
        </row>
        <row r="4907">
          <cell r="B4907">
            <v>43727</v>
          </cell>
          <cell r="C4907">
            <v>10845.2</v>
          </cell>
          <cell r="D4907">
            <v>10845.2</v>
          </cell>
          <cell r="E4907">
            <v>10670.25</v>
          </cell>
          <cell r="F4907">
            <v>10704.8</v>
          </cell>
        </row>
        <row r="4908">
          <cell r="B4908">
            <v>43728</v>
          </cell>
          <cell r="C4908">
            <v>10746.8</v>
          </cell>
          <cell r="D4908">
            <v>11381.9</v>
          </cell>
          <cell r="E4908">
            <v>10691</v>
          </cell>
          <cell r="F4908">
            <v>11274.2</v>
          </cell>
        </row>
        <row r="4909">
          <cell r="B4909">
            <v>43731</v>
          </cell>
          <cell r="C4909">
            <v>11542.7</v>
          </cell>
          <cell r="D4909">
            <v>11694.85</v>
          </cell>
          <cell r="E4909">
            <v>11471.35</v>
          </cell>
          <cell r="F4909">
            <v>11600.2</v>
          </cell>
        </row>
        <row r="4910">
          <cell r="B4910">
            <v>43732</v>
          </cell>
          <cell r="C4910">
            <v>11590.7</v>
          </cell>
          <cell r="D4910">
            <v>11655.05</v>
          </cell>
          <cell r="E4910">
            <v>11539.2</v>
          </cell>
          <cell r="F4910">
            <v>11588.2</v>
          </cell>
        </row>
        <row r="4911">
          <cell r="B4911">
            <v>43733</v>
          </cell>
          <cell r="C4911">
            <v>11564.85</v>
          </cell>
          <cell r="D4911">
            <v>11564.95</v>
          </cell>
          <cell r="E4911">
            <v>11416.1</v>
          </cell>
          <cell r="F4911">
            <v>11440.2</v>
          </cell>
        </row>
        <row r="4912">
          <cell r="B4912">
            <v>43734</v>
          </cell>
          <cell r="C4912">
            <v>11469.85</v>
          </cell>
          <cell r="D4912">
            <v>11610.85</v>
          </cell>
          <cell r="E4912">
            <v>11466.35</v>
          </cell>
          <cell r="F4912">
            <v>11571.2</v>
          </cell>
        </row>
        <row r="4913">
          <cell r="B4913">
            <v>43735</v>
          </cell>
          <cell r="C4913">
            <v>11556.35</v>
          </cell>
          <cell r="D4913">
            <v>11593.6</v>
          </cell>
          <cell r="E4913">
            <v>11499.75</v>
          </cell>
          <cell r="F4913">
            <v>11512.4</v>
          </cell>
        </row>
        <row r="4914">
          <cell r="B4914">
            <v>43738</v>
          </cell>
          <cell r="C4914">
            <v>11491.15</v>
          </cell>
          <cell r="D4914">
            <v>11508.25</v>
          </cell>
          <cell r="E4914">
            <v>11390.8</v>
          </cell>
          <cell r="F4914">
            <v>11474.45</v>
          </cell>
        </row>
        <row r="4915">
          <cell r="B4915">
            <v>43739</v>
          </cell>
          <cell r="C4915">
            <v>11515.4</v>
          </cell>
          <cell r="D4915">
            <v>11554.2</v>
          </cell>
          <cell r="E4915">
            <v>11247.9</v>
          </cell>
          <cell r="F4915">
            <v>11359.9</v>
          </cell>
        </row>
        <row r="4916">
          <cell r="B4916">
            <v>43741</v>
          </cell>
          <cell r="C4916">
            <v>11322.25</v>
          </cell>
          <cell r="D4916">
            <v>11370.4</v>
          </cell>
          <cell r="E4916">
            <v>11257.35</v>
          </cell>
          <cell r="F4916">
            <v>11314</v>
          </cell>
        </row>
        <row r="4917">
          <cell r="B4917">
            <v>43742</v>
          </cell>
          <cell r="C4917">
            <v>11388.45</v>
          </cell>
          <cell r="D4917">
            <v>11400.3</v>
          </cell>
          <cell r="E4917">
            <v>11158.35</v>
          </cell>
          <cell r="F4917">
            <v>11174.75</v>
          </cell>
        </row>
        <row r="4918">
          <cell r="B4918">
            <v>43745</v>
          </cell>
          <cell r="C4918">
            <v>11196.2</v>
          </cell>
          <cell r="D4918">
            <v>11233.85</v>
          </cell>
          <cell r="E4918">
            <v>11112.65</v>
          </cell>
          <cell r="F4918">
            <v>11126.4</v>
          </cell>
        </row>
        <row r="4919">
          <cell r="B4919">
            <v>43747</v>
          </cell>
          <cell r="C4919">
            <v>11152.95</v>
          </cell>
          <cell r="D4919">
            <v>11321.6</v>
          </cell>
          <cell r="E4919">
            <v>11090.15</v>
          </cell>
          <cell r="F4919">
            <v>11313.3</v>
          </cell>
        </row>
        <row r="4920">
          <cell r="B4920">
            <v>43748</v>
          </cell>
          <cell r="C4920">
            <v>11280.5</v>
          </cell>
          <cell r="D4920">
            <v>11293.35</v>
          </cell>
          <cell r="E4920">
            <v>11208.55</v>
          </cell>
          <cell r="F4920">
            <v>11234.55</v>
          </cell>
        </row>
        <row r="4921">
          <cell r="B4921">
            <v>43749</v>
          </cell>
          <cell r="C4921">
            <v>11257.7</v>
          </cell>
          <cell r="D4921">
            <v>11362.9</v>
          </cell>
          <cell r="E4921">
            <v>11189.4</v>
          </cell>
          <cell r="F4921">
            <v>11305.05</v>
          </cell>
        </row>
        <row r="4922">
          <cell r="B4922">
            <v>43752</v>
          </cell>
          <cell r="C4922">
            <v>11335.9</v>
          </cell>
          <cell r="D4922">
            <v>11420.45</v>
          </cell>
          <cell r="E4922">
            <v>11290.05</v>
          </cell>
          <cell r="F4922">
            <v>11341.15</v>
          </cell>
        </row>
        <row r="4923">
          <cell r="B4923">
            <v>43753</v>
          </cell>
          <cell r="C4923">
            <v>11360.85</v>
          </cell>
          <cell r="D4923">
            <v>11462.35</v>
          </cell>
          <cell r="E4923">
            <v>11342.1</v>
          </cell>
          <cell r="F4923">
            <v>11428.3</v>
          </cell>
        </row>
        <row r="4924">
          <cell r="B4924">
            <v>43754</v>
          </cell>
          <cell r="C4924">
            <v>11464.95</v>
          </cell>
          <cell r="D4924">
            <v>11481.05</v>
          </cell>
          <cell r="E4924">
            <v>11411.1</v>
          </cell>
          <cell r="F4924">
            <v>11464</v>
          </cell>
        </row>
        <row r="4925">
          <cell r="B4925">
            <v>43755</v>
          </cell>
          <cell r="C4925">
            <v>11466.3</v>
          </cell>
          <cell r="D4925">
            <v>11599.1</v>
          </cell>
          <cell r="E4925">
            <v>11439.65</v>
          </cell>
          <cell r="F4925">
            <v>11586.35</v>
          </cell>
        </row>
        <row r="4926">
          <cell r="B4926">
            <v>43756</v>
          </cell>
          <cell r="C4926">
            <v>11580.3</v>
          </cell>
          <cell r="D4926">
            <v>11684.7</v>
          </cell>
          <cell r="E4926">
            <v>11553.15</v>
          </cell>
          <cell r="F4926">
            <v>11661.85</v>
          </cell>
        </row>
        <row r="4927">
          <cell r="B4927">
            <v>43760</v>
          </cell>
          <cell r="C4927">
            <v>11657.15</v>
          </cell>
          <cell r="D4927">
            <v>11714.35</v>
          </cell>
          <cell r="E4927">
            <v>11573.65</v>
          </cell>
          <cell r="F4927">
            <v>11588.35</v>
          </cell>
        </row>
        <row r="4928">
          <cell r="B4928">
            <v>43761</v>
          </cell>
          <cell r="C4928">
            <v>11596.2</v>
          </cell>
          <cell r="D4928">
            <v>11651.6</v>
          </cell>
          <cell r="E4928">
            <v>11554.4</v>
          </cell>
          <cell r="F4928">
            <v>11604.1</v>
          </cell>
        </row>
        <row r="4929">
          <cell r="B4929">
            <v>43762</v>
          </cell>
          <cell r="C4929">
            <v>11661.65</v>
          </cell>
          <cell r="D4929">
            <v>11679.6</v>
          </cell>
          <cell r="E4929">
            <v>11534.65</v>
          </cell>
          <cell r="F4929">
            <v>11582.6</v>
          </cell>
        </row>
        <row r="4930">
          <cell r="B4930">
            <v>43763</v>
          </cell>
          <cell r="C4930">
            <v>11646.15</v>
          </cell>
          <cell r="D4930">
            <v>11646.9</v>
          </cell>
          <cell r="E4930">
            <v>11490.75</v>
          </cell>
          <cell r="F4930">
            <v>11583.9</v>
          </cell>
        </row>
        <row r="4931">
          <cell r="B4931">
            <v>43765</v>
          </cell>
          <cell r="C4931">
            <v>11662.25</v>
          </cell>
          <cell r="D4931">
            <v>11672.4</v>
          </cell>
          <cell r="E4931">
            <v>11604.6</v>
          </cell>
          <cell r="F4931">
            <v>11627.15</v>
          </cell>
        </row>
        <row r="4932">
          <cell r="B4932">
            <v>43767</v>
          </cell>
          <cell r="C4932">
            <v>11643.95</v>
          </cell>
          <cell r="D4932">
            <v>11809.4</v>
          </cell>
          <cell r="E4932">
            <v>11627.35</v>
          </cell>
          <cell r="F4932">
            <v>11786.85</v>
          </cell>
        </row>
        <row r="4933">
          <cell r="B4933">
            <v>43768</v>
          </cell>
          <cell r="C4933">
            <v>11883.9</v>
          </cell>
          <cell r="D4933">
            <v>11883.95</v>
          </cell>
          <cell r="E4933">
            <v>11784.45</v>
          </cell>
          <cell r="F4933">
            <v>11844.1</v>
          </cell>
        </row>
        <row r="4934">
          <cell r="B4934">
            <v>43769</v>
          </cell>
          <cell r="C4934">
            <v>11890.45</v>
          </cell>
          <cell r="D4934">
            <v>11945</v>
          </cell>
          <cell r="E4934">
            <v>11855.1</v>
          </cell>
          <cell r="F4934">
            <v>11877.45</v>
          </cell>
        </row>
        <row r="4935">
          <cell r="B4935">
            <v>43770</v>
          </cell>
          <cell r="C4935">
            <v>11886.6</v>
          </cell>
          <cell r="D4935">
            <v>11918.3</v>
          </cell>
          <cell r="E4935">
            <v>11843.35</v>
          </cell>
          <cell r="F4935">
            <v>11890.6</v>
          </cell>
        </row>
        <row r="4936">
          <cell r="B4936">
            <v>43773</v>
          </cell>
          <cell r="C4936">
            <v>11928.9</v>
          </cell>
          <cell r="D4936">
            <v>11989.15</v>
          </cell>
          <cell r="E4936">
            <v>11905.35</v>
          </cell>
          <cell r="F4936">
            <v>11941.3</v>
          </cell>
        </row>
        <row r="4937">
          <cell r="B4937">
            <v>43774</v>
          </cell>
          <cell r="C4937">
            <v>11974.6</v>
          </cell>
          <cell r="D4937">
            <v>11978.95</v>
          </cell>
          <cell r="E4937">
            <v>11861.9</v>
          </cell>
          <cell r="F4937">
            <v>11917.2</v>
          </cell>
        </row>
        <row r="4938">
          <cell r="B4938">
            <v>43775</v>
          </cell>
          <cell r="C4938">
            <v>11911.5</v>
          </cell>
          <cell r="D4938">
            <v>12002.9</v>
          </cell>
          <cell r="E4938">
            <v>11850.25</v>
          </cell>
          <cell r="F4938">
            <v>11966.05</v>
          </cell>
        </row>
        <row r="4939">
          <cell r="B4939">
            <v>43776</v>
          </cell>
          <cell r="C4939">
            <v>12021.1</v>
          </cell>
          <cell r="D4939">
            <v>12021.4</v>
          </cell>
          <cell r="E4939">
            <v>11946.85</v>
          </cell>
          <cell r="F4939">
            <v>12012.05</v>
          </cell>
        </row>
        <row r="4940">
          <cell r="B4940">
            <v>43777</v>
          </cell>
          <cell r="C4940">
            <v>11987.15</v>
          </cell>
          <cell r="D4940">
            <v>12034.15</v>
          </cell>
          <cell r="E4940">
            <v>11888.75</v>
          </cell>
          <cell r="F4940">
            <v>11908.15</v>
          </cell>
        </row>
        <row r="4941">
          <cell r="B4941">
            <v>43780</v>
          </cell>
          <cell r="C4941">
            <v>11879.2</v>
          </cell>
          <cell r="D4941">
            <v>11932.65</v>
          </cell>
          <cell r="E4941">
            <v>11853.95</v>
          </cell>
          <cell r="F4941">
            <v>11913.45</v>
          </cell>
        </row>
        <row r="4942">
          <cell r="B4942">
            <v>43782</v>
          </cell>
          <cell r="C4942">
            <v>11908.3</v>
          </cell>
          <cell r="D4942">
            <v>11946.8</v>
          </cell>
          <cell r="E4942">
            <v>11823.2</v>
          </cell>
          <cell r="F4942">
            <v>11840.45</v>
          </cell>
        </row>
        <row r="4943">
          <cell r="B4943">
            <v>43783</v>
          </cell>
          <cell r="C4943">
            <v>11858.75</v>
          </cell>
          <cell r="D4943">
            <v>11895.65</v>
          </cell>
          <cell r="E4943">
            <v>11802.65</v>
          </cell>
          <cell r="F4943">
            <v>11872.1</v>
          </cell>
        </row>
        <row r="4944">
          <cell r="B4944">
            <v>43784</v>
          </cell>
          <cell r="C4944">
            <v>11904.2</v>
          </cell>
          <cell r="D4944">
            <v>11973.65</v>
          </cell>
          <cell r="E4944">
            <v>11879.25</v>
          </cell>
          <cell r="F4944">
            <v>11895.45</v>
          </cell>
        </row>
        <row r="4945">
          <cell r="B4945">
            <v>43787</v>
          </cell>
          <cell r="C4945">
            <v>11915.15</v>
          </cell>
          <cell r="D4945">
            <v>11946.2</v>
          </cell>
          <cell r="E4945">
            <v>11867.6</v>
          </cell>
          <cell r="F4945">
            <v>11884.5</v>
          </cell>
        </row>
        <row r="4946">
          <cell r="B4946">
            <v>43788</v>
          </cell>
          <cell r="C4946">
            <v>11919.45</v>
          </cell>
          <cell r="D4946">
            <v>11958.85</v>
          </cell>
          <cell r="E4946">
            <v>11881.75</v>
          </cell>
          <cell r="F4946">
            <v>11940.1</v>
          </cell>
        </row>
        <row r="4947">
          <cell r="B4947">
            <v>43789</v>
          </cell>
          <cell r="C4947">
            <v>12004.75</v>
          </cell>
          <cell r="D4947">
            <v>12038.6</v>
          </cell>
          <cell r="E4947">
            <v>11966.05</v>
          </cell>
          <cell r="F4947">
            <v>11999.1</v>
          </cell>
        </row>
        <row r="4948">
          <cell r="B4948">
            <v>43790</v>
          </cell>
          <cell r="C4948">
            <v>12025.65</v>
          </cell>
          <cell r="D4948">
            <v>12028.2</v>
          </cell>
          <cell r="E4948">
            <v>11956.9</v>
          </cell>
          <cell r="F4948">
            <v>11968.4</v>
          </cell>
        </row>
        <row r="4949">
          <cell r="B4949">
            <v>43791</v>
          </cell>
          <cell r="C4949">
            <v>11967.3</v>
          </cell>
          <cell r="D4949">
            <v>11968.1</v>
          </cell>
          <cell r="E4949">
            <v>11883.5</v>
          </cell>
          <cell r="F4949">
            <v>11914.4</v>
          </cell>
        </row>
        <row r="4950">
          <cell r="B4950">
            <v>43794</v>
          </cell>
          <cell r="C4950">
            <v>11922.45</v>
          </cell>
          <cell r="D4950">
            <v>12084.5</v>
          </cell>
          <cell r="E4950">
            <v>11919.75</v>
          </cell>
          <cell r="F4950">
            <v>12073.75</v>
          </cell>
        </row>
        <row r="4951">
          <cell r="B4951">
            <v>43795</v>
          </cell>
          <cell r="C4951">
            <v>12110.2</v>
          </cell>
          <cell r="D4951">
            <v>12132.45</v>
          </cell>
          <cell r="E4951">
            <v>12006.35</v>
          </cell>
          <cell r="F4951">
            <v>12037.7</v>
          </cell>
        </row>
        <row r="4952">
          <cell r="B4952">
            <v>43796</v>
          </cell>
          <cell r="C4952">
            <v>12068.5</v>
          </cell>
          <cell r="D4952">
            <v>12114.9</v>
          </cell>
          <cell r="E4952">
            <v>12055.15</v>
          </cell>
          <cell r="F4952">
            <v>12100.7</v>
          </cell>
        </row>
        <row r="4953">
          <cell r="B4953">
            <v>43797</v>
          </cell>
          <cell r="C4953">
            <v>12132.1</v>
          </cell>
          <cell r="D4953">
            <v>12158.8</v>
          </cell>
          <cell r="E4953">
            <v>12099.95</v>
          </cell>
          <cell r="F4953">
            <v>12151.15</v>
          </cell>
        </row>
        <row r="4954">
          <cell r="B4954">
            <v>43798</v>
          </cell>
          <cell r="C4954">
            <v>12146.2</v>
          </cell>
          <cell r="D4954">
            <v>12147.4</v>
          </cell>
          <cell r="E4954">
            <v>12017.4</v>
          </cell>
          <cell r="F4954">
            <v>12056.05</v>
          </cell>
        </row>
        <row r="4955">
          <cell r="B4955">
            <v>43801</v>
          </cell>
          <cell r="C4955">
            <v>12137.05</v>
          </cell>
          <cell r="D4955">
            <v>12137.15</v>
          </cell>
          <cell r="E4955">
            <v>12023.7</v>
          </cell>
          <cell r="F4955">
            <v>12048.2</v>
          </cell>
        </row>
        <row r="4956">
          <cell r="B4956">
            <v>43802</v>
          </cell>
          <cell r="C4956">
            <v>12067.65</v>
          </cell>
          <cell r="D4956">
            <v>12068.6</v>
          </cell>
          <cell r="E4956">
            <v>11956.4</v>
          </cell>
          <cell r="F4956">
            <v>11994.2</v>
          </cell>
        </row>
        <row r="4957">
          <cell r="B4957">
            <v>43803</v>
          </cell>
          <cell r="C4957">
            <v>11969.95</v>
          </cell>
          <cell r="D4957">
            <v>12054.7</v>
          </cell>
          <cell r="E4957">
            <v>11935.3</v>
          </cell>
          <cell r="F4957">
            <v>12043.2</v>
          </cell>
        </row>
        <row r="4958">
          <cell r="B4958">
            <v>43804</v>
          </cell>
          <cell r="C4958">
            <v>12071.25</v>
          </cell>
          <cell r="D4958">
            <v>12081.2</v>
          </cell>
          <cell r="E4958">
            <v>11998.75</v>
          </cell>
          <cell r="F4958">
            <v>12018.4</v>
          </cell>
        </row>
        <row r="4959">
          <cell r="B4959">
            <v>43805</v>
          </cell>
          <cell r="C4959">
            <v>12047.35</v>
          </cell>
          <cell r="D4959">
            <v>12057.05</v>
          </cell>
          <cell r="E4959">
            <v>11888.85</v>
          </cell>
          <cell r="F4959">
            <v>11921.5</v>
          </cell>
        </row>
        <row r="4960">
          <cell r="B4960">
            <v>43808</v>
          </cell>
          <cell r="C4960">
            <v>11939.1</v>
          </cell>
          <cell r="D4960">
            <v>11981.95</v>
          </cell>
          <cell r="E4960">
            <v>11888.05</v>
          </cell>
          <cell r="F4960">
            <v>11937.5</v>
          </cell>
        </row>
        <row r="4961">
          <cell r="B4961">
            <v>43809</v>
          </cell>
          <cell r="C4961">
            <v>11950.5</v>
          </cell>
          <cell r="D4961">
            <v>11953.2</v>
          </cell>
          <cell r="E4961">
            <v>11844.7</v>
          </cell>
          <cell r="F4961">
            <v>11856.8</v>
          </cell>
        </row>
        <row r="4962">
          <cell r="B4962">
            <v>43810</v>
          </cell>
          <cell r="C4962">
            <v>11867.35</v>
          </cell>
          <cell r="D4962">
            <v>11923.2</v>
          </cell>
          <cell r="E4962">
            <v>11832.3</v>
          </cell>
          <cell r="F4962">
            <v>11910.15</v>
          </cell>
        </row>
        <row r="4963">
          <cell r="B4963">
            <v>43811</v>
          </cell>
          <cell r="C4963">
            <v>11944.3</v>
          </cell>
          <cell r="D4963">
            <v>12005.5</v>
          </cell>
          <cell r="E4963">
            <v>11934</v>
          </cell>
          <cell r="F4963">
            <v>11971.8</v>
          </cell>
        </row>
        <row r="4964">
          <cell r="B4964">
            <v>43812</v>
          </cell>
          <cell r="C4964">
            <v>12026.4</v>
          </cell>
          <cell r="D4964">
            <v>12098.85</v>
          </cell>
          <cell r="E4964">
            <v>12023.6</v>
          </cell>
          <cell r="F4964">
            <v>12086.7</v>
          </cell>
        </row>
        <row r="4965">
          <cell r="B4965">
            <v>43815</v>
          </cell>
          <cell r="C4965">
            <v>12131.35</v>
          </cell>
          <cell r="D4965">
            <v>12134.65</v>
          </cell>
          <cell r="E4965">
            <v>12046.3</v>
          </cell>
          <cell r="F4965">
            <v>12053.95</v>
          </cell>
        </row>
        <row r="4966">
          <cell r="B4966">
            <v>43816</v>
          </cell>
          <cell r="C4966">
            <v>12082.45</v>
          </cell>
          <cell r="D4966">
            <v>12182.75</v>
          </cell>
          <cell r="E4966">
            <v>12070.35</v>
          </cell>
          <cell r="F4966">
            <v>12165</v>
          </cell>
        </row>
        <row r="4967">
          <cell r="B4967">
            <v>43817</v>
          </cell>
          <cell r="C4967">
            <v>12197</v>
          </cell>
          <cell r="D4967">
            <v>12237.7</v>
          </cell>
          <cell r="E4967">
            <v>12163.45</v>
          </cell>
          <cell r="F4967">
            <v>12221.65</v>
          </cell>
        </row>
        <row r="4968">
          <cell r="B4968">
            <v>43818</v>
          </cell>
          <cell r="C4968">
            <v>12223.4</v>
          </cell>
          <cell r="D4968">
            <v>12268.35</v>
          </cell>
          <cell r="E4968">
            <v>12191.15</v>
          </cell>
          <cell r="F4968">
            <v>12259.7</v>
          </cell>
        </row>
        <row r="4969">
          <cell r="B4969">
            <v>43819</v>
          </cell>
          <cell r="C4969">
            <v>12266.45</v>
          </cell>
          <cell r="D4969">
            <v>12293.9</v>
          </cell>
          <cell r="E4969">
            <v>12252.75</v>
          </cell>
          <cell r="F4969">
            <v>12271.8</v>
          </cell>
        </row>
        <row r="4970">
          <cell r="B4970">
            <v>43822</v>
          </cell>
          <cell r="C4970">
            <v>12235.45</v>
          </cell>
          <cell r="D4970">
            <v>12287.15</v>
          </cell>
          <cell r="E4970">
            <v>12213.25</v>
          </cell>
          <cell r="F4970">
            <v>12262.75</v>
          </cell>
        </row>
        <row r="4971">
          <cell r="B4971">
            <v>43823</v>
          </cell>
          <cell r="C4971">
            <v>12269.25</v>
          </cell>
          <cell r="D4971">
            <v>12283.7</v>
          </cell>
          <cell r="E4971">
            <v>12202.1</v>
          </cell>
          <cell r="F4971">
            <v>12214.55</v>
          </cell>
        </row>
        <row r="4972">
          <cell r="B4972">
            <v>43825</v>
          </cell>
          <cell r="C4972">
            <v>12211.85</v>
          </cell>
          <cell r="D4972">
            <v>12221.55</v>
          </cell>
          <cell r="E4972">
            <v>12118.85</v>
          </cell>
          <cell r="F4972">
            <v>12126.55</v>
          </cell>
        </row>
        <row r="4973">
          <cell r="B4973">
            <v>43826</v>
          </cell>
          <cell r="C4973">
            <v>12172.9</v>
          </cell>
          <cell r="D4973">
            <v>12258.45</v>
          </cell>
          <cell r="E4973">
            <v>12157.9</v>
          </cell>
          <cell r="F4973">
            <v>12245.8</v>
          </cell>
        </row>
        <row r="4974">
          <cell r="B4974">
            <v>43829</v>
          </cell>
          <cell r="C4974">
            <v>12274.9</v>
          </cell>
          <cell r="D4974">
            <v>12286.45</v>
          </cell>
          <cell r="E4974">
            <v>12213.8</v>
          </cell>
          <cell r="F4974">
            <v>12255.85</v>
          </cell>
        </row>
        <row r="4975">
          <cell r="B4975">
            <v>43830</v>
          </cell>
          <cell r="C4975">
            <v>12247.1</v>
          </cell>
          <cell r="D4975">
            <v>12247.1</v>
          </cell>
          <cell r="E4975">
            <v>12151.8</v>
          </cell>
          <cell r="F4975">
            <v>12168.45</v>
          </cell>
        </row>
        <row r="4976">
          <cell r="B4976">
            <v>43831</v>
          </cell>
          <cell r="C4976">
            <v>12202.15</v>
          </cell>
          <cell r="D4976">
            <v>12222.2</v>
          </cell>
          <cell r="E4976">
            <v>12165.3</v>
          </cell>
          <cell r="F4976">
            <v>12182.5</v>
          </cell>
        </row>
        <row r="4977">
          <cell r="B4977">
            <v>43832</v>
          </cell>
          <cell r="C4977">
            <v>12198.55</v>
          </cell>
          <cell r="D4977">
            <v>12289.9</v>
          </cell>
          <cell r="E4977">
            <v>12195.25</v>
          </cell>
          <cell r="F4977">
            <v>12282.2</v>
          </cell>
        </row>
        <row r="4978">
          <cell r="B4978">
            <v>43833</v>
          </cell>
          <cell r="C4978">
            <v>12261.1</v>
          </cell>
          <cell r="D4978">
            <v>12265.6</v>
          </cell>
          <cell r="E4978">
            <v>12191.35</v>
          </cell>
          <cell r="F4978">
            <v>12226.65</v>
          </cell>
        </row>
        <row r="4979">
          <cell r="B4979">
            <v>43836</v>
          </cell>
          <cell r="C4979">
            <v>12170.6</v>
          </cell>
          <cell r="D4979">
            <v>12179.1</v>
          </cell>
          <cell r="E4979">
            <v>11974.2</v>
          </cell>
          <cell r="F4979">
            <v>11993.05</v>
          </cell>
        </row>
        <row r="4980">
          <cell r="B4980">
            <v>43837</v>
          </cell>
          <cell r="C4980">
            <v>12079.1</v>
          </cell>
          <cell r="D4980">
            <v>12152.15</v>
          </cell>
          <cell r="E4980">
            <v>12005.35</v>
          </cell>
          <cell r="F4980">
            <v>12052.95</v>
          </cell>
        </row>
        <row r="4981">
          <cell r="B4981">
            <v>43838</v>
          </cell>
          <cell r="C4981">
            <v>11939.1</v>
          </cell>
          <cell r="D4981">
            <v>12044.95</v>
          </cell>
          <cell r="E4981">
            <v>11929.6</v>
          </cell>
          <cell r="F4981">
            <v>12025.35</v>
          </cell>
        </row>
        <row r="4982">
          <cell r="B4982">
            <v>43839</v>
          </cell>
          <cell r="C4982">
            <v>12153.15</v>
          </cell>
          <cell r="D4982">
            <v>12224.05</v>
          </cell>
          <cell r="E4982">
            <v>12132.55</v>
          </cell>
          <cell r="F4982">
            <v>12215.9</v>
          </cell>
        </row>
        <row r="4983">
          <cell r="B4983">
            <v>43840</v>
          </cell>
          <cell r="C4983">
            <v>12271</v>
          </cell>
          <cell r="D4983">
            <v>12311.2</v>
          </cell>
          <cell r="E4983">
            <v>12213.2</v>
          </cell>
          <cell r="F4983">
            <v>12256.8</v>
          </cell>
        </row>
        <row r="4984">
          <cell r="B4984">
            <v>43843</v>
          </cell>
          <cell r="C4984">
            <v>12296.7</v>
          </cell>
          <cell r="D4984">
            <v>12337.75</v>
          </cell>
          <cell r="E4984">
            <v>12285.8</v>
          </cell>
          <cell r="F4984">
            <v>12329.55</v>
          </cell>
        </row>
        <row r="4985">
          <cell r="B4985">
            <v>43844</v>
          </cell>
          <cell r="C4985">
            <v>12333.1</v>
          </cell>
          <cell r="D4985">
            <v>12374.25</v>
          </cell>
          <cell r="E4985">
            <v>12308.7</v>
          </cell>
          <cell r="F4985">
            <v>12362.3</v>
          </cell>
        </row>
        <row r="4986">
          <cell r="B4986">
            <v>43845</v>
          </cell>
          <cell r="C4986">
            <v>12349.4</v>
          </cell>
          <cell r="D4986">
            <v>12355.15</v>
          </cell>
          <cell r="E4986">
            <v>12278.75</v>
          </cell>
          <cell r="F4986">
            <v>12343.3</v>
          </cell>
        </row>
        <row r="4987">
          <cell r="B4987">
            <v>43846</v>
          </cell>
          <cell r="C4987">
            <v>12347.1</v>
          </cell>
          <cell r="D4987">
            <v>12389.05</v>
          </cell>
          <cell r="E4987">
            <v>12315.8</v>
          </cell>
          <cell r="F4987">
            <v>12355.5</v>
          </cell>
        </row>
        <row r="4988">
          <cell r="B4988">
            <v>43847</v>
          </cell>
          <cell r="C4988">
            <v>12328.4</v>
          </cell>
          <cell r="D4988">
            <v>12385.45</v>
          </cell>
          <cell r="E4988">
            <v>12321.4</v>
          </cell>
          <cell r="F4988">
            <v>12352.35</v>
          </cell>
        </row>
        <row r="4989">
          <cell r="B4989">
            <v>43850</v>
          </cell>
          <cell r="C4989">
            <v>12430.5</v>
          </cell>
          <cell r="D4989">
            <v>12430.5</v>
          </cell>
          <cell r="E4989">
            <v>12216.9</v>
          </cell>
          <cell r="F4989">
            <v>12224.55</v>
          </cell>
        </row>
        <row r="4990">
          <cell r="B4990">
            <v>43851</v>
          </cell>
          <cell r="C4990">
            <v>12195.3</v>
          </cell>
          <cell r="D4990">
            <v>12230.05</v>
          </cell>
          <cell r="E4990">
            <v>12162.3</v>
          </cell>
          <cell r="F4990">
            <v>12169.85</v>
          </cell>
        </row>
        <row r="4991">
          <cell r="B4991">
            <v>43852</v>
          </cell>
          <cell r="C4991">
            <v>12218.35</v>
          </cell>
          <cell r="D4991">
            <v>12225.05</v>
          </cell>
          <cell r="E4991">
            <v>12087.9</v>
          </cell>
          <cell r="F4991">
            <v>12106.9</v>
          </cell>
        </row>
        <row r="4992">
          <cell r="B4992">
            <v>43853</v>
          </cell>
          <cell r="C4992">
            <v>12123.75</v>
          </cell>
          <cell r="D4992">
            <v>12189</v>
          </cell>
          <cell r="E4992">
            <v>12094.1</v>
          </cell>
          <cell r="F4992">
            <v>12180.35</v>
          </cell>
        </row>
        <row r="4993">
          <cell r="B4993">
            <v>43854</v>
          </cell>
          <cell r="C4993">
            <v>12174.55</v>
          </cell>
          <cell r="D4993">
            <v>12272.15</v>
          </cell>
          <cell r="E4993">
            <v>12149.65</v>
          </cell>
          <cell r="F4993">
            <v>12248.25</v>
          </cell>
        </row>
        <row r="4994">
          <cell r="B4994">
            <v>43857</v>
          </cell>
          <cell r="C4994">
            <v>12197.1</v>
          </cell>
          <cell r="D4994">
            <v>12216.6</v>
          </cell>
          <cell r="E4994">
            <v>12107</v>
          </cell>
          <cell r="F4994">
            <v>12119</v>
          </cell>
        </row>
        <row r="4995">
          <cell r="B4995">
            <v>43858</v>
          </cell>
          <cell r="C4995">
            <v>12148.1</v>
          </cell>
          <cell r="D4995">
            <v>12163.55</v>
          </cell>
          <cell r="E4995">
            <v>12024.5</v>
          </cell>
          <cell r="F4995">
            <v>12055.8</v>
          </cell>
        </row>
        <row r="4996">
          <cell r="B4996">
            <v>43859</v>
          </cell>
          <cell r="C4996">
            <v>12114.9</v>
          </cell>
          <cell r="D4996">
            <v>12169.6</v>
          </cell>
          <cell r="E4996">
            <v>12103.8</v>
          </cell>
          <cell r="F4996">
            <v>12129.5</v>
          </cell>
        </row>
        <row r="4997">
          <cell r="B4997">
            <v>43860</v>
          </cell>
          <cell r="C4997">
            <v>12147.75</v>
          </cell>
          <cell r="D4997">
            <v>12150.3</v>
          </cell>
          <cell r="E4997">
            <v>12010.6</v>
          </cell>
          <cell r="F4997">
            <v>12035.8</v>
          </cell>
        </row>
        <row r="4998">
          <cell r="B4998">
            <v>43861</v>
          </cell>
          <cell r="C4998">
            <v>12100.4</v>
          </cell>
          <cell r="D4998">
            <v>12103.55</v>
          </cell>
          <cell r="E4998">
            <v>11945.85</v>
          </cell>
          <cell r="F4998">
            <v>11962.1</v>
          </cell>
        </row>
        <row r="4999">
          <cell r="B4999">
            <v>43862</v>
          </cell>
          <cell r="C4999">
            <v>11939</v>
          </cell>
          <cell r="D4999">
            <v>12017.35</v>
          </cell>
          <cell r="E4999">
            <v>11633.3</v>
          </cell>
          <cell r="F4999">
            <v>11661.85</v>
          </cell>
        </row>
        <row r="5000">
          <cell r="B5000">
            <v>43864</v>
          </cell>
          <cell r="C5000">
            <v>11627.45</v>
          </cell>
          <cell r="D5000">
            <v>11749.85</v>
          </cell>
          <cell r="E5000">
            <v>11614.5</v>
          </cell>
          <cell r="F5000">
            <v>11707.9</v>
          </cell>
        </row>
        <row r="5001">
          <cell r="B5001">
            <v>43865</v>
          </cell>
          <cell r="C5001">
            <v>11786.25</v>
          </cell>
          <cell r="D5001">
            <v>11986.15</v>
          </cell>
          <cell r="E5001">
            <v>11783.4</v>
          </cell>
          <cell r="F5001">
            <v>11979.65</v>
          </cell>
        </row>
        <row r="5002">
          <cell r="B5002">
            <v>43866</v>
          </cell>
          <cell r="C5002">
            <v>12005.85</v>
          </cell>
          <cell r="D5002">
            <v>12098.15</v>
          </cell>
          <cell r="E5002">
            <v>11953.35</v>
          </cell>
          <cell r="F5002">
            <v>12089.15</v>
          </cell>
        </row>
        <row r="5003">
          <cell r="B5003">
            <v>43867</v>
          </cell>
          <cell r="C5003">
            <v>12120</v>
          </cell>
          <cell r="D5003">
            <v>12160.6</v>
          </cell>
          <cell r="E5003">
            <v>12084.65</v>
          </cell>
          <cell r="F5003">
            <v>12137.95</v>
          </cell>
        </row>
        <row r="5004">
          <cell r="B5004">
            <v>43868</v>
          </cell>
          <cell r="C5004">
            <v>12151.15</v>
          </cell>
          <cell r="D5004">
            <v>12154.7</v>
          </cell>
          <cell r="E5004">
            <v>12073.95</v>
          </cell>
          <cell r="F5004">
            <v>12098.35</v>
          </cell>
        </row>
        <row r="5005">
          <cell r="B5005">
            <v>43871</v>
          </cell>
          <cell r="C5005">
            <v>12102.35</v>
          </cell>
          <cell r="D5005">
            <v>12103.55</v>
          </cell>
          <cell r="E5005">
            <v>11990.75</v>
          </cell>
          <cell r="F5005">
            <v>12031.5</v>
          </cell>
        </row>
        <row r="5006">
          <cell r="B5006">
            <v>43872</v>
          </cell>
          <cell r="C5006">
            <v>12108.4</v>
          </cell>
          <cell r="D5006">
            <v>12172.3</v>
          </cell>
          <cell r="E5006">
            <v>12099</v>
          </cell>
          <cell r="F5006">
            <v>12107.9</v>
          </cell>
        </row>
        <row r="5007">
          <cell r="B5007">
            <v>43873</v>
          </cell>
          <cell r="C5007">
            <v>12151</v>
          </cell>
          <cell r="D5007">
            <v>12231.75</v>
          </cell>
          <cell r="E5007">
            <v>12144.3</v>
          </cell>
          <cell r="F5007">
            <v>12201.2</v>
          </cell>
        </row>
        <row r="5008">
          <cell r="B5008">
            <v>43874</v>
          </cell>
          <cell r="C5008">
            <v>12219.55</v>
          </cell>
          <cell r="D5008">
            <v>12225.65</v>
          </cell>
          <cell r="E5008">
            <v>12139.8</v>
          </cell>
          <cell r="F5008">
            <v>12174.65</v>
          </cell>
        </row>
        <row r="5009">
          <cell r="B5009">
            <v>43875</v>
          </cell>
          <cell r="C5009">
            <v>12190.15</v>
          </cell>
          <cell r="D5009">
            <v>12246.7</v>
          </cell>
          <cell r="E5009">
            <v>12091.2</v>
          </cell>
          <cell r="F5009">
            <v>12113.45</v>
          </cell>
        </row>
        <row r="5010">
          <cell r="B5010">
            <v>43878</v>
          </cell>
          <cell r="C5010">
            <v>12131.8</v>
          </cell>
          <cell r="D5010">
            <v>12159.6</v>
          </cell>
          <cell r="E5010">
            <v>12037</v>
          </cell>
          <cell r="F5010">
            <v>12045.8</v>
          </cell>
        </row>
        <row r="5011">
          <cell r="B5011">
            <v>43879</v>
          </cell>
          <cell r="C5011">
            <v>12028.25</v>
          </cell>
          <cell r="D5011">
            <v>12030.75</v>
          </cell>
          <cell r="E5011">
            <v>11908.05</v>
          </cell>
          <cell r="F5011">
            <v>11992.5</v>
          </cell>
        </row>
        <row r="5012">
          <cell r="B5012">
            <v>43880</v>
          </cell>
          <cell r="C5012">
            <v>12090.6</v>
          </cell>
          <cell r="D5012">
            <v>12134.7</v>
          </cell>
          <cell r="E5012">
            <v>12042.1</v>
          </cell>
          <cell r="F5012">
            <v>12125.9</v>
          </cell>
        </row>
        <row r="5013">
          <cell r="B5013">
            <v>43881</v>
          </cell>
          <cell r="C5013">
            <v>12119</v>
          </cell>
          <cell r="D5013">
            <v>12152</v>
          </cell>
          <cell r="E5013">
            <v>12071.45</v>
          </cell>
          <cell r="F5013">
            <v>12080.85</v>
          </cell>
        </row>
        <row r="5014">
          <cell r="B5014">
            <v>43885</v>
          </cell>
          <cell r="C5014">
            <v>12012.55</v>
          </cell>
          <cell r="D5014">
            <v>12012.55</v>
          </cell>
          <cell r="E5014">
            <v>11813.4</v>
          </cell>
          <cell r="F5014">
            <v>11829.4</v>
          </cell>
        </row>
        <row r="5015">
          <cell r="B5015">
            <v>43886</v>
          </cell>
          <cell r="C5015">
            <v>11877.5</v>
          </cell>
          <cell r="D5015">
            <v>11883.05</v>
          </cell>
          <cell r="E5015">
            <v>11779.9</v>
          </cell>
          <cell r="F5015">
            <v>11797.9</v>
          </cell>
        </row>
        <row r="5016">
          <cell r="B5016">
            <v>43887</v>
          </cell>
          <cell r="C5016">
            <v>11738.55</v>
          </cell>
          <cell r="D5016">
            <v>11783.25</v>
          </cell>
          <cell r="E5016">
            <v>11639.6</v>
          </cell>
          <cell r="F5016">
            <v>11678.5</v>
          </cell>
        </row>
        <row r="5017">
          <cell r="B5017">
            <v>43888</v>
          </cell>
          <cell r="C5017">
            <v>11661.25</v>
          </cell>
          <cell r="D5017">
            <v>11663.85</v>
          </cell>
          <cell r="E5017">
            <v>11536.7</v>
          </cell>
          <cell r="F5017">
            <v>11633.3</v>
          </cell>
        </row>
        <row r="5018">
          <cell r="B5018">
            <v>43889</v>
          </cell>
          <cell r="C5018">
            <v>11382</v>
          </cell>
          <cell r="D5018">
            <v>11384.8</v>
          </cell>
          <cell r="E5018">
            <v>11175.05</v>
          </cell>
          <cell r="F5018">
            <v>11201.75</v>
          </cell>
        </row>
        <row r="5019">
          <cell r="B5019">
            <v>43892</v>
          </cell>
          <cell r="C5019">
            <v>11387.35</v>
          </cell>
          <cell r="D5019">
            <v>11433</v>
          </cell>
          <cell r="E5019">
            <v>11036.25</v>
          </cell>
          <cell r="F5019">
            <v>11132.75</v>
          </cell>
        </row>
        <row r="5020">
          <cell r="B5020">
            <v>43893</v>
          </cell>
          <cell r="C5020">
            <v>11217.55</v>
          </cell>
          <cell r="D5020">
            <v>11342.25</v>
          </cell>
          <cell r="E5020">
            <v>11152.55</v>
          </cell>
          <cell r="F5020">
            <v>11303.3</v>
          </cell>
        </row>
        <row r="5021">
          <cell r="B5021">
            <v>43894</v>
          </cell>
          <cell r="C5021">
            <v>11351.35</v>
          </cell>
          <cell r="D5021">
            <v>11356.6</v>
          </cell>
          <cell r="E5021">
            <v>11082.15</v>
          </cell>
          <cell r="F5021">
            <v>11251</v>
          </cell>
        </row>
        <row r="5022">
          <cell r="B5022">
            <v>43895</v>
          </cell>
          <cell r="C5022">
            <v>11306.05</v>
          </cell>
          <cell r="D5022">
            <v>11389.5</v>
          </cell>
          <cell r="E5022">
            <v>11244.6</v>
          </cell>
          <cell r="F5022">
            <v>11269</v>
          </cell>
        </row>
        <row r="5023">
          <cell r="B5023">
            <v>43896</v>
          </cell>
          <cell r="C5023">
            <v>10942.65</v>
          </cell>
          <cell r="D5023">
            <v>11035.1</v>
          </cell>
          <cell r="E5023">
            <v>10827.4</v>
          </cell>
          <cell r="F5023">
            <v>10989.45</v>
          </cell>
        </row>
        <row r="5024">
          <cell r="B5024">
            <v>43899</v>
          </cell>
          <cell r="C5024">
            <v>10742.05</v>
          </cell>
          <cell r="D5024">
            <v>10751.55</v>
          </cell>
          <cell r="E5024">
            <v>10294.450000000001</v>
          </cell>
          <cell r="F5024">
            <v>10451.450000000001</v>
          </cell>
        </row>
        <row r="5025">
          <cell r="B5025">
            <v>43901</v>
          </cell>
          <cell r="C5025">
            <v>10334.299999999999</v>
          </cell>
          <cell r="D5025">
            <v>10545.1</v>
          </cell>
          <cell r="E5025">
            <v>10334</v>
          </cell>
          <cell r="F5025">
            <v>10458.4</v>
          </cell>
        </row>
        <row r="5026">
          <cell r="B5026">
            <v>43902</v>
          </cell>
          <cell r="C5026">
            <v>10039.950000000001</v>
          </cell>
          <cell r="D5026">
            <v>10040.75</v>
          </cell>
          <cell r="E5026">
            <v>9508</v>
          </cell>
          <cell r="F5026">
            <v>9590.15</v>
          </cell>
        </row>
        <row r="5027">
          <cell r="B5027">
            <v>43903</v>
          </cell>
          <cell r="C5027">
            <v>9107.6</v>
          </cell>
          <cell r="D5027">
            <v>10159.4</v>
          </cell>
          <cell r="E5027">
            <v>8555.15</v>
          </cell>
          <cell r="F5027">
            <v>9955.2000000000007</v>
          </cell>
        </row>
        <row r="5028">
          <cell r="B5028">
            <v>43906</v>
          </cell>
          <cell r="C5028">
            <v>9587.7999999999993</v>
          </cell>
          <cell r="D5028">
            <v>9602.2000000000007</v>
          </cell>
          <cell r="E5028">
            <v>9165.1</v>
          </cell>
          <cell r="F5028">
            <v>9197.4</v>
          </cell>
        </row>
        <row r="5029">
          <cell r="B5029">
            <v>43907</v>
          </cell>
          <cell r="C5029">
            <v>9285.4</v>
          </cell>
          <cell r="D5029">
            <v>9403.7999999999993</v>
          </cell>
          <cell r="E5029">
            <v>8915.6</v>
          </cell>
          <cell r="F5029">
            <v>8967.0499999999993</v>
          </cell>
        </row>
        <row r="5030">
          <cell r="B5030">
            <v>43908</v>
          </cell>
          <cell r="C5030">
            <v>9088.4500000000007</v>
          </cell>
          <cell r="D5030">
            <v>9127.5499999999993</v>
          </cell>
          <cell r="E5030">
            <v>8407.0499999999993</v>
          </cell>
          <cell r="F5030">
            <v>8468.7999999999993</v>
          </cell>
        </row>
        <row r="5031">
          <cell r="B5031">
            <v>43909</v>
          </cell>
          <cell r="C5031">
            <v>8063.3</v>
          </cell>
          <cell r="D5031">
            <v>8575.4500000000007</v>
          </cell>
          <cell r="E5031">
            <v>7832.55</v>
          </cell>
          <cell r="F5031">
            <v>8263.4500000000007</v>
          </cell>
        </row>
        <row r="5032">
          <cell r="B5032">
            <v>43910</v>
          </cell>
          <cell r="C5032">
            <v>8284.4500000000007</v>
          </cell>
          <cell r="D5032">
            <v>8883</v>
          </cell>
          <cell r="E5032">
            <v>8178.2</v>
          </cell>
          <cell r="F5032">
            <v>8745.4500000000007</v>
          </cell>
        </row>
        <row r="5033">
          <cell r="B5033">
            <v>43913</v>
          </cell>
          <cell r="C5033">
            <v>7945.7</v>
          </cell>
          <cell r="D5033">
            <v>8159.25</v>
          </cell>
          <cell r="E5033">
            <v>7583.6</v>
          </cell>
          <cell r="F5033">
            <v>7610.25</v>
          </cell>
        </row>
        <row r="5034">
          <cell r="B5034">
            <v>43914</v>
          </cell>
          <cell r="C5034">
            <v>7848.3</v>
          </cell>
          <cell r="D5034">
            <v>8036.95</v>
          </cell>
          <cell r="E5034">
            <v>7511.1</v>
          </cell>
          <cell r="F5034">
            <v>7801.05</v>
          </cell>
        </row>
        <row r="5035">
          <cell r="B5035">
            <v>43915</v>
          </cell>
          <cell r="C5035">
            <v>7735.15</v>
          </cell>
          <cell r="D5035">
            <v>8376.75</v>
          </cell>
          <cell r="E5035">
            <v>7714.75</v>
          </cell>
          <cell r="F5035">
            <v>8317.85</v>
          </cell>
        </row>
        <row r="5036">
          <cell r="B5036">
            <v>43916</v>
          </cell>
          <cell r="C5036">
            <v>8451</v>
          </cell>
          <cell r="D5036">
            <v>8749.0499999999993</v>
          </cell>
          <cell r="E5036">
            <v>8304.9</v>
          </cell>
          <cell r="F5036">
            <v>8641.4500000000007</v>
          </cell>
        </row>
        <row r="5037">
          <cell r="B5037">
            <v>43917</v>
          </cell>
          <cell r="C5037">
            <v>8949.1</v>
          </cell>
          <cell r="D5037">
            <v>9038.9</v>
          </cell>
          <cell r="E5037">
            <v>8522.9</v>
          </cell>
          <cell r="F5037">
            <v>8660.25</v>
          </cell>
        </row>
        <row r="5038">
          <cell r="B5038">
            <v>43920</v>
          </cell>
          <cell r="C5038">
            <v>8385.9500000000007</v>
          </cell>
          <cell r="D5038">
            <v>8576</v>
          </cell>
          <cell r="E5038">
            <v>8244</v>
          </cell>
          <cell r="F5038">
            <v>8281.1</v>
          </cell>
        </row>
        <row r="5039">
          <cell r="B5039">
            <v>43921</v>
          </cell>
          <cell r="C5039">
            <v>8529.35</v>
          </cell>
          <cell r="D5039">
            <v>8678.2999999999993</v>
          </cell>
          <cell r="E5039">
            <v>8358</v>
          </cell>
          <cell r="F5039">
            <v>8597.75</v>
          </cell>
        </row>
        <row r="5040">
          <cell r="B5040">
            <v>43922</v>
          </cell>
          <cell r="C5040">
            <v>8584.1</v>
          </cell>
          <cell r="D5040">
            <v>8588.1</v>
          </cell>
          <cell r="E5040">
            <v>8198.35</v>
          </cell>
          <cell r="F5040">
            <v>8253.7999999999993</v>
          </cell>
        </row>
        <row r="5041">
          <cell r="B5041">
            <v>43924</v>
          </cell>
          <cell r="C5041">
            <v>8356.5499999999993</v>
          </cell>
          <cell r="D5041">
            <v>8356.5499999999993</v>
          </cell>
          <cell r="E5041">
            <v>8055.8</v>
          </cell>
          <cell r="F5041">
            <v>8083.8</v>
          </cell>
        </row>
        <row r="5042">
          <cell r="B5042">
            <v>43928</v>
          </cell>
          <cell r="C5042">
            <v>8446.2999999999993</v>
          </cell>
          <cell r="D5042">
            <v>8819.4</v>
          </cell>
          <cell r="E5042">
            <v>8360.9500000000007</v>
          </cell>
          <cell r="F5042">
            <v>8792.2000000000007</v>
          </cell>
        </row>
        <row r="5043">
          <cell r="B5043">
            <v>43929</v>
          </cell>
          <cell r="C5043">
            <v>8688.9</v>
          </cell>
          <cell r="D5043">
            <v>9131.7000000000007</v>
          </cell>
          <cell r="E5043">
            <v>8653.9</v>
          </cell>
          <cell r="F5043">
            <v>8748.75</v>
          </cell>
        </row>
        <row r="5044">
          <cell r="B5044">
            <v>43930</v>
          </cell>
          <cell r="C5044">
            <v>8973.0499999999993</v>
          </cell>
          <cell r="D5044">
            <v>9128.35</v>
          </cell>
          <cell r="E5044">
            <v>8904.5499999999993</v>
          </cell>
          <cell r="F5044">
            <v>9111.9</v>
          </cell>
        </row>
        <row r="5045">
          <cell r="B5045">
            <v>43934</v>
          </cell>
          <cell r="C5045">
            <v>9103.9500000000007</v>
          </cell>
          <cell r="D5045">
            <v>9112.0499999999993</v>
          </cell>
          <cell r="E5045">
            <v>8912.4</v>
          </cell>
          <cell r="F5045">
            <v>8993.85</v>
          </cell>
        </row>
        <row r="5046">
          <cell r="B5046">
            <v>43936</v>
          </cell>
          <cell r="C5046">
            <v>9196.4</v>
          </cell>
          <cell r="D5046">
            <v>9261.2000000000007</v>
          </cell>
          <cell r="E5046">
            <v>8874.1</v>
          </cell>
          <cell r="F5046">
            <v>8925.2999999999993</v>
          </cell>
        </row>
        <row r="5047">
          <cell r="B5047">
            <v>43937</v>
          </cell>
          <cell r="C5047">
            <v>8851.25</v>
          </cell>
          <cell r="D5047">
            <v>9053.75</v>
          </cell>
          <cell r="E5047">
            <v>8821.9</v>
          </cell>
          <cell r="F5047">
            <v>8992.7999999999993</v>
          </cell>
        </row>
        <row r="5048">
          <cell r="B5048">
            <v>43938</v>
          </cell>
          <cell r="C5048">
            <v>9323.4500000000007</v>
          </cell>
          <cell r="D5048">
            <v>9324</v>
          </cell>
          <cell r="E5048">
            <v>9091.35</v>
          </cell>
          <cell r="F5048">
            <v>9266.75</v>
          </cell>
        </row>
        <row r="5049">
          <cell r="B5049">
            <v>43941</v>
          </cell>
          <cell r="C5049">
            <v>9390.2000000000007</v>
          </cell>
          <cell r="D5049">
            <v>9390.85</v>
          </cell>
          <cell r="E5049">
            <v>9230.7999999999993</v>
          </cell>
          <cell r="F5049">
            <v>9261.85</v>
          </cell>
        </row>
        <row r="5050">
          <cell r="B5050">
            <v>43942</v>
          </cell>
          <cell r="C5050">
            <v>9016.9500000000007</v>
          </cell>
          <cell r="D5050">
            <v>9044.4</v>
          </cell>
          <cell r="E5050">
            <v>8909.4</v>
          </cell>
          <cell r="F5050">
            <v>8981.4500000000007</v>
          </cell>
        </row>
        <row r="5051">
          <cell r="B5051">
            <v>43943</v>
          </cell>
          <cell r="C5051">
            <v>9026.75</v>
          </cell>
          <cell r="D5051">
            <v>9209.75</v>
          </cell>
          <cell r="E5051">
            <v>8946.25</v>
          </cell>
          <cell r="F5051">
            <v>9187.2999999999993</v>
          </cell>
        </row>
        <row r="5052">
          <cell r="B5052">
            <v>43944</v>
          </cell>
          <cell r="C5052">
            <v>9232.35</v>
          </cell>
          <cell r="D5052">
            <v>9343.6</v>
          </cell>
          <cell r="E5052">
            <v>9170.15</v>
          </cell>
          <cell r="F5052">
            <v>9313.9</v>
          </cell>
        </row>
        <row r="5053">
          <cell r="B5053">
            <v>43945</v>
          </cell>
          <cell r="C5053">
            <v>9163.9</v>
          </cell>
          <cell r="D5053">
            <v>9296.9</v>
          </cell>
          <cell r="E5053">
            <v>9141.2999999999993</v>
          </cell>
          <cell r="F5053">
            <v>9154.4</v>
          </cell>
        </row>
        <row r="5054">
          <cell r="B5054">
            <v>43948</v>
          </cell>
          <cell r="C5054">
            <v>9259.7000000000007</v>
          </cell>
          <cell r="D5054">
            <v>9377.1</v>
          </cell>
          <cell r="E5054">
            <v>9250.35</v>
          </cell>
          <cell r="F5054">
            <v>9282.2999999999993</v>
          </cell>
        </row>
        <row r="5055">
          <cell r="B5055">
            <v>43949</v>
          </cell>
          <cell r="C5055">
            <v>9389.7999999999993</v>
          </cell>
          <cell r="D5055">
            <v>9404.4</v>
          </cell>
          <cell r="E5055">
            <v>9260</v>
          </cell>
          <cell r="F5055">
            <v>9380.9</v>
          </cell>
        </row>
        <row r="5056">
          <cell r="B5056">
            <v>43950</v>
          </cell>
          <cell r="C5056">
            <v>9408.6</v>
          </cell>
          <cell r="D5056">
            <v>9599.85</v>
          </cell>
          <cell r="E5056">
            <v>9392.35</v>
          </cell>
          <cell r="F5056">
            <v>9553.35</v>
          </cell>
        </row>
        <row r="5057">
          <cell r="B5057">
            <v>43951</v>
          </cell>
          <cell r="C5057">
            <v>9753.5</v>
          </cell>
          <cell r="D5057">
            <v>9889.0499999999993</v>
          </cell>
          <cell r="E5057">
            <v>9731.5</v>
          </cell>
          <cell r="F5057">
            <v>9859.9</v>
          </cell>
        </row>
        <row r="5058">
          <cell r="B5058">
            <v>43955</v>
          </cell>
          <cell r="C5058">
            <v>9533.5</v>
          </cell>
          <cell r="D5058">
            <v>9533.5</v>
          </cell>
          <cell r="E5058">
            <v>9266.9500000000007</v>
          </cell>
          <cell r="F5058">
            <v>9293.5</v>
          </cell>
        </row>
        <row r="5059">
          <cell r="B5059">
            <v>43956</v>
          </cell>
          <cell r="C5059">
            <v>9429.4</v>
          </cell>
          <cell r="D5059">
            <v>9450.9</v>
          </cell>
          <cell r="E5059">
            <v>9190.75</v>
          </cell>
          <cell r="F5059">
            <v>9205.6</v>
          </cell>
        </row>
        <row r="5060">
          <cell r="B5060">
            <v>43957</v>
          </cell>
          <cell r="C5060">
            <v>9226.7999999999993</v>
          </cell>
          <cell r="D5060">
            <v>9346.9</v>
          </cell>
          <cell r="E5060">
            <v>9116.5</v>
          </cell>
          <cell r="F5060">
            <v>9270.9</v>
          </cell>
        </row>
        <row r="5061">
          <cell r="B5061">
            <v>43958</v>
          </cell>
          <cell r="C5061">
            <v>9234.0499999999993</v>
          </cell>
          <cell r="D5061">
            <v>9277.85</v>
          </cell>
          <cell r="E5061">
            <v>9175.9</v>
          </cell>
          <cell r="F5061">
            <v>9199.0499999999993</v>
          </cell>
        </row>
        <row r="5062">
          <cell r="B5062">
            <v>43959</v>
          </cell>
          <cell r="C5062">
            <v>9376.9500000000007</v>
          </cell>
          <cell r="D5062">
            <v>9382.65</v>
          </cell>
          <cell r="E5062">
            <v>9238.2000000000007</v>
          </cell>
          <cell r="F5062">
            <v>9251.5</v>
          </cell>
        </row>
        <row r="5063">
          <cell r="B5063">
            <v>43962</v>
          </cell>
          <cell r="C5063">
            <v>9348.15</v>
          </cell>
          <cell r="D5063">
            <v>9439.9</v>
          </cell>
          <cell r="E5063">
            <v>9219.9500000000007</v>
          </cell>
          <cell r="F5063">
            <v>9239.2000000000007</v>
          </cell>
        </row>
        <row r="5064">
          <cell r="B5064">
            <v>43963</v>
          </cell>
          <cell r="C5064">
            <v>9168.85</v>
          </cell>
          <cell r="D5064">
            <v>9240.85</v>
          </cell>
          <cell r="E5064">
            <v>9043.9500000000007</v>
          </cell>
          <cell r="F5064">
            <v>9196.5499999999993</v>
          </cell>
        </row>
        <row r="5065">
          <cell r="B5065">
            <v>43964</v>
          </cell>
          <cell r="C5065">
            <v>9584.2000000000007</v>
          </cell>
          <cell r="D5065">
            <v>9584.5</v>
          </cell>
          <cell r="E5065">
            <v>9351.1</v>
          </cell>
          <cell r="F5065">
            <v>9383.5499999999993</v>
          </cell>
        </row>
        <row r="5066">
          <cell r="B5066">
            <v>43965</v>
          </cell>
          <cell r="C5066">
            <v>9213.9500000000007</v>
          </cell>
          <cell r="D5066">
            <v>9281.1</v>
          </cell>
          <cell r="E5066">
            <v>9119.75</v>
          </cell>
          <cell r="F5066">
            <v>9142.75</v>
          </cell>
        </row>
        <row r="5067">
          <cell r="B5067">
            <v>43966</v>
          </cell>
          <cell r="C5067">
            <v>9182.4</v>
          </cell>
          <cell r="D5067">
            <v>9182.4</v>
          </cell>
          <cell r="E5067">
            <v>9050</v>
          </cell>
          <cell r="F5067">
            <v>9136.85</v>
          </cell>
        </row>
        <row r="5068">
          <cell r="B5068">
            <v>43969</v>
          </cell>
          <cell r="C5068">
            <v>9158.2999999999993</v>
          </cell>
          <cell r="D5068">
            <v>9158.2999999999993</v>
          </cell>
          <cell r="E5068">
            <v>8806.75</v>
          </cell>
          <cell r="F5068">
            <v>8823.25</v>
          </cell>
        </row>
        <row r="5069">
          <cell r="B5069">
            <v>43970</v>
          </cell>
          <cell r="C5069">
            <v>8961.7000000000007</v>
          </cell>
          <cell r="D5069">
            <v>9030.35</v>
          </cell>
          <cell r="E5069">
            <v>8855.2999999999993</v>
          </cell>
          <cell r="F5069">
            <v>8879.1</v>
          </cell>
        </row>
        <row r="5070">
          <cell r="B5070">
            <v>43971</v>
          </cell>
          <cell r="C5070">
            <v>8889.15</v>
          </cell>
          <cell r="D5070">
            <v>9093.7999999999993</v>
          </cell>
          <cell r="E5070">
            <v>8875.35</v>
          </cell>
          <cell r="F5070">
            <v>9066.5499999999993</v>
          </cell>
        </row>
        <row r="5071">
          <cell r="B5071">
            <v>43972</v>
          </cell>
          <cell r="C5071">
            <v>9079.4500000000007</v>
          </cell>
          <cell r="D5071">
            <v>9178.5499999999993</v>
          </cell>
          <cell r="E5071">
            <v>9056.1</v>
          </cell>
          <cell r="F5071">
            <v>9106.25</v>
          </cell>
        </row>
        <row r="5072">
          <cell r="B5072">
            <v>43973</v>
          </cell>
          <cell r="C5072">
            <v>9067.9</v>
          </cell>
          <cell r="D5072">
            <v>9149.6</v>
          </cell>
          <cell r="E5072">
            <v>8968.5499999999993</v>
          </cell>
          <cell r="F5072">
            <v>9039.25</v>
          </cell>
        </row>
        <row r="5073">
          <cell r="B5073">
            <v>43977</v>
          </cell>
          <cell r="C5073">
            <v>9099.75</v>
          </cell>
          <cell r="D5073">
            <v>9161.65</v>
          </cell>
          <cell r="E5073">
            <v>8996.65</v>
          </cell>
          <cell r="F5073">
            <v>9029.0499999999993</v>
          </cell>
        </row>
        <row r="5074">
          <cell r="B5074">
            <v>43978</v>
          </cell>
          <cell r="C5074">
            <v>9082.2000000000007</v>
          </cell>
          <cell r="D5074">
            <v>9334</v>
          </cell>
          <cell r="E5074">
            <v>9004.25</v>
          </cell>
          <cell r="F5074">
            <v>9314.9500000000007</v>
          </cell>
        </row>
        <row r="5075">
          <cell r="B5075">
            <v>43979</v>
          </cell>
          <cell r="C5075">
            <v>9364.9500000000007</v>
          </cell>
          <cell r="D5075">
            <v>9511.25</v>
          </cell>
          <cell r="E5075">
            <v>9336.5</v>
          </cell>
          <cell r="F5075">
            <v>9490.1</v>
          </cell>
        </row>
        <row r="5076">
          <cell r="B5076">
            <v>43980</v>
          </cell>
          <cell r="C5076">
            <v>9422.2000000000007</v>
          </cell>
          <cell r="D5076">
            <v>9598.85</v>
          </cell>
          <cell r="E5076">
            <v>9376.9</v>
          </cell>
          <cell r="F5076">
            <v>9580.2999999999993</v>
          </cell>
        </row>
        <row r="5077">
          <cell r="B5077">
            <v>43983</v>
          </cell>
          <cell r="C5077">
            <v>9726.85</v>
          </cell>
          <cell r="D5077">
            <v>9931.6</v>
          </cell>
          <cell r="E5077">
            <v>9706.9500000000007</v>
          </cell>
          <cell r="F5077">
            <v>9826.15</v>
          </cell>
        </row>
        <row r="5078">
          <cell r="B5078">
            <v>43984</v>
          </cell>
          <cell r="C5078">
            <v>9880.85</v>
          </cell>
          <cell r="D5078">
            <v>9995.6</v>
          </cell>
          <cell r="E5078">
            <v>9824.0499999999993</v>
          </cell>
          <cell r="F5078">
            <v>9979.1</v>
          </cell>
        </row>
        <row r="5079">
          <cell r="B5079">
            <v>43985</v>
          </cell>
          <cell r="C5079">
            <v>10108.299999999999</v>
          </cell>
          <cell r="D5079">
            <v>10176.200000000001</v>
          </cell>
          <cell r="E5079">
            <v>10035.549999999999</v>
          </cell>
          <cell r="F5079">
            <v>10061.549999999999</v>
          </cell>
        </row>
        <row r="5080">
          <cell r="B5080">
            <v>43986</v>
          </cell>
          <cell r="C5080">
            <v>10054.25</v>
          </cell>
          <cell r="D5080">
            <v>10123.85</v>
          </cell>
          <cell r="E5080">
            <v>9944.25</v>
          </cell>
          <cell r="F5080">
            <v>10029.1</v>
          </cell>
        </row>
        <row r="5081">
          <cell r="B5081">
            <v>43987</v>
          </cell>
          <cell r="C5081">
            <v>10093.799999999999</v>
          </cell>
          <cell r="D5081">
            <v>10177.799999999999</v>
          </cell>
          <cell r="E5081">
            <v>10040.75</v>
          </cell>
          <cell r="F5081">
            <v>10142.15</v>
          </cell>
        </row>
        <row r="5082">
          <cell r="B5082">
            <v>43990</v>
          </cell>
          <cell r="C5082">
            <v>10326.75</v>
          </cell>
          <cell r="D5082">
            <v>10328.5</v>
          </cell>
          <cell r="E5082">
            <v>10120.25</v>
          </cell>
          <cell r="F5082">
            <v>10167.450000000001</v>
          </cell>
        </row>
        <row r="5083">
          <cell r="B5083">
            <v>43991</v>
          </cell>
          <cell r="C5083">
            <v>10181.15</v>
          </cell>
          <cell r="D5083">
            <v>10291.15</v>
          </cell>
          <cell r="E5083">
            <v>10021.450000000001</v>
          </cell>
          <cell r="F5083">
            <v>10046.65</v>
          </cell>
        </row>
        <row r="5084">
          <cell r="B5084">
            <v>43992</v>
          </cell>
          <cell r="C5084">
            <v>10072.6</v>
          </cell>
          <cell r="D5084">
            <v>10148.75</v>
          </cell>
          <cell r="E5084">
            <v>10036.85</v>
          </cell>
          <cell r="F5084">
            <v>10116.15</v>
          </cell>
        </row>
        <row r="5085">
          <cell r="B5085">
            <v>43993</v>
          </cell>
          <cell r="C5085">
            <v>10094.1</v>
          </cell>
          <cell r="D5085">
            <v>10112.049999999999</v>
          </cell>
          <cell r="E5085">
            <v>9885.0499999999993</v>
          </cell>
          <cell r="F5085">
            <v>9902</v>
          </cell>
        </row>
        <row r="5086">
          <cell r="B5086">
            <v>43994</v>
          </cell>
          <cell r="C5086">
            <v>9544.9500000000007</v>
          </cell>
          <cell r="D5086">
            <v>9996.0499999999993</v>
          </cell>
          <cell r="E5086">
            <v>9544.35</v>
          </cell>
          <cell r="F5086">
            <v>9972.9</v>
          </cell>
        </row>
        <row r="5087">
          <cell r="B5087">
            <v>43997</v>
          </cell>
          <cell r="C5087">
            <v>9919.35</v>
          </cell>
          <cell r="D5087">
            <v>9943.35</v>
          </cell>
          <cell r="E5087">
            <v>9726.35</v>
          </cell>
          <cell r="F5087">
            <v>9813.7000000000007</v>
          </cell>
        </row>
        <row r="5088">
          <cell r="B5088">
            <v>43998</v>
          </cell>
          <cell r="C5088">
            <v>10014.799999999999</v>
          </cell>
          <cell r="D5088">
            <v>10046.15</v>
          </cell>
          <cell r="E5088">
            <v>9728.5</v>
          </cell>
          <cell r="F5088">
            <v>9914</v>
          </cell>
        </row>
        <row r="5089">
          <cell r="B5089">
            <v>43999</v>
          </cell>
          <cell r="C5089">
            <v>9876.7000000000007</v>
          </cell>
          <cell r="D5089">
            <v>10003.6</v>
          </cell>
          <cell r="E5089">
            <v>9833.7999999999993</v>
          </cell>
          <cell r="F5089">
            <v>9881.15</v>
          </cell>
        </row>
        <row r="5090">
          <cell r="B5090">
            <v>44000</v>
          </cell>
          <cell r="C5090">
            <v>9863.25</v>
          </cell>
          <cell r="D5090">
            <v>10111.200000000001</v>
          </cell>
          <cell r="E5090">
            <v>9845.0499999999993</v>
          </cell>
          <cell r="F5090">
            <v>10091.65</v>
          </cell>
        </row>
        <row r="5091">
          <cell r="B5091">
            <v>44001</v>
          </cell>
          <cell r="C5091">
            <v>10119</v>
          </cell>
          <cell r="D5091">
            <v>10272.4</v>
          </cell>
          <cell r="E5091">
            <v>10072.65</v>
          </cell>
          <cell r="F5091">
            <v>10244.4</v>
          </cell>
        </row>
        <row r="5092">
          <cell r="B5092">
            <v>44004</v>
          </cell>
          <cell r="C5092">
            <v>10318.75</v>
          </cell>
          <cell r="D5092">
            <v>10393.65</v>
          </cell>
          <cell r="E5092">
            <v>10277.6</v>
          </cell>
          <cell r="F5092">
            <v>10311.200000000001</v>
          </cell>
        </row>
        <row r="5093">
          <cell r="B5093">
            <v>44005</v>
          </cell>
          <cell r="C5093">
            <v>10347.950000000001</v>
          </cell>
          <cell r="D5093">
            <v>10484.700000000001</v>
          </cell>
          <cell r="E5093">
            <v>10301.75</v>
          </cell>
          <cell r="F5093">
            <v>10471</v>
          </cell>
        </row>
        <row r="5094">
          <cell r="B5094">
            <v>44006</v>
          </cell>
          <cell r="C5094">
            <v>10529.25</v>
          </cell>
          <cell r="D5094">
            <v>10553.15</v>
          </cell>
          <cell r="E5094">
            <v>10281.950000000001</v>
          </cell>
          <cell r="F5094">
            <v>10305.299999999999</v>
          </cell>
        </row>
        <row r="5095">
          <cell r="B5095">
            <v>44007</v>
          </cell>
          <cell r="C5095">
            <v>10235.549999999999</v>
          </cell>
          <cell r="D5095">
            <v>10361.799999999999</v>
          </cell>
          <cell r="E5095">
            <v>10194.5</v>
          </cell>
          <cell r="F5095">
            <v>10288.9</v>
          </cell>
        </row>
        <row r="5096">
          <cell r="B5096">
            <v>44008</v>
          </cell>
          <cell r="C5096">
            <v>10378.9</v>
          </cell>
          <cell r="D5096">
            <v>10409.85</v>
          </cell>
          <cell r="E5096">
            <v>10311.25</v>
          </cell>
          <cell r="F5096">
            <v>10383</v>
          </cell>
        </row>
        <row r="5097">
          <cell r="B5097">
            <v>44011</v>
          </cell>
          <cell r="C5097">
            <v>10311.950000000001</v>
          </cell>
          <cell r="D5097">
            <v>10337.950000000001</v>
          </cell>
          <cell r="E5097">
            <v>10223.6</v>
          </cell>
          <cell r="F5097">
            <v>10312.4</v>
          </cell>
        </row>
        <row r="5098">
          <cell r="B5098">
            <v>44012</v>
          </cell>
          <cell r="C5098">
            <v>10382.6</v>
          </cell>
          <cell r="D5098">
            <v>10401.049999999999</v>
          </cell>
          <cell r="E5098">
            <v>10267.35</v>
          </cell>
          <cell r="F5098">
            <v>10302.1</v>
          </cell>
        </row>
        <row r="5099">
          <cell r="B5099">
            <v>44013</v>
          </cell>
          <cell r="C5099">
            <v>10323.799999999999</v>
          </cell>
          <cell r="D5099">
            <v>10447.049999999999</v>
          </cell>
          <cell r="E5099">
            <v>10299.6</v>
          </cell>
          <cell r="F5099">
            <v>10430.049999999999</v>
          </cell>
        </row>
        <row r="5100">
          <cell r="B5100">
            <v>44014</v>
          </cell>
          <cell r="C5100">
            <v>10493.05</v>
          </cell>
          <cell r="D5100">
            <v>10598.2</v>
          </cell>
          <cell r="E5100">
            <v>10485.549999999999</v>
          </cell>
          <cell r="F5100">
            <v>10551.7</v>
          </cell>
        </row>
        <row r="5101">
          <cell r="B5101">
            <v>44015</v>
          </cell>
          <cell r="C5101">
            <v>10614.95</v>
          </cell>
          <cell r="D5101">
            <v>10631.3</v>
          </cell>
          <cell r="E5101">
            <v>10562.65</v>
          </cell>
          <cell r="F5101">
            <v>10607.35</v>
          </cell>
        </row>
        <row r="5102">
          <cell r="B5102">
            <v>44018</v>
          </cell>
          <cell r="C5102">
            <v>10723.85</v>
          </cell>
          <cell r="D5102">
            <v>10811.4</v>
          </cell>
          <cell r="E5102">
            <v>10695.1</v>
          </cell>
          <cell r="F5102">
            <v>10763.65</v>
          </cell>
        </row>
        <row r="5103">
          <cell r="B5103">
            <v>44019</v>
          </cell>
          <cell r="C5103">
            <v>10802.85</v>
          </cell>
          <cell r="D5103">
            <v>10813.8</v>
          </cell>
          <cell r="E5103">
            <v>10689.7</v>
          </cell>
          <cell r="F5103">
            <v>10799.65</v>
          </cell>
        </row>
        <row r="5104">
          <cell r="B5104">
            <v>44020</v>
          </cell>
          <cell r="C5104">
            <v>10818.65</v>
          </cell>
          <cell r="D5104">
            <v>10847.85</v>
          </cell>
          <cell r="E5104">
            <v>10676.55</v>
          </cell>
          <cell r="F5104">
            <v>10705.75</v>
          </cell>
        </row>
        <row r="5105">
          <cell r="B5105">
            <v>44021</v>
          </cell>
          <cell r="C5105">
            <v>10755.55</v>
          </cell>
          <cell r="D5105">
            <v>10836.85</v>
          </cell>
          <cell r="E5105">
            <v>10733</v>
          </cell>
          <cell r="F5105">
            <v>10813.45</v>
          </cell>
        </row>
        <row r="5106">
          <cell r="B5106">
            <v>44022</v>
          </cell>
          <cell r="C5106">
            <v>10764.1</v>
          </cell>
          <cell r="D5106">
            <v>10819.4</v>
          </cell>
          <cell r="E5106">
            <v>10713</v>
          </cell>
          <cell r="F5106">
            <v>10768.05</v>
          </cell>
        </row>
        <row r="5107">
          <cell r="B5107">
            <v>44025</v>
          </cell>
          <cell r="C5107">
            <v>10851.85</v>
          </cell>
          <cell r="D5107">
            <v>10894.05</v>
          </cell>
          <cell r="E5107">
            <v>10756.05</v>
          </cell>
          <cell r="F5107">
            <v>10802.7</v>
          </cell>
        </row>
        <row r="5108">
          <cell r="B5108">
            <v>44026</v>
          </cell>
          <cell r="C5108">
            <v>10750.85</v>
          </cell>
          <cell r="D5108">
            <v>10755.65</v>
          </cell>
          <cell r="E5108">
            <v>10562.9</v>
          </cell>
          <cell r="F5108">
            <v>10607.35</v>
          </cell>
        </row>
        <row r="5109">
          <cell r="B5109">
            <v>44027</v>
          </cell>
          <cell r="C5109">
            <v>10701</v>
          </cell>
          <cell r="D5109">
            <v>10827.45</v>
          </cell>
          <cell r="E5109">
            <v>10577.75</v>
          </cell>
          <cell r="F5109">
            <v>10618.2</v>
          </cell>
        </row>
        <row r="5110">
          <cell r="B5110">
            <v>44028</v>
          </cell>
          <cell r="C5110">
            <v>10706.2</v>
          </cell>
          <cell r="D5110">
            <v>10755.3</v>
          </cell>
          <cell r="E5110">
            <v>10595.2</v>
          </cell>
          <cell r="F5110">
            <v>10739.95</v>
          </cell>
        </row>
        <row r="5111">
          <cell r="B5111">
            <v>44029</v>
          </cell>
          <cell r="C5111">
            <v>10752</v>
          </cell>
          <cell r="D5111">
            <v>10933.45</v>
          </cell>
          <cell r="E5111">
            <v>10749.65</v>
          </cell>
          <cell r="F5111">
            <v>10901.7</v>
          </cell>
        </row>
        <row r="5112">
          <cell r="B5112">
            <v>44032</v>
          </cell>
          <cell r="C5112">
            <v>10999.45</v>
          </cell>
          <cell r="D5112">
            <v>11037.9</v>
          </cell>
          <cell r="E5112">
            <v>10953</v>
          </cell>
          <cell r="F5112">
            <v>11022.2</v>
          </cell>
        </row>
        <row r="5113">
          <cell r="B5113">
            <v>44033</v>
          </cell>
          <cell r="C5113">
            <v>11126.1</v>
          </cell>
          <cell r="D5113">
            <v>11179.55</v>
          </cell>
          <cell r="E5113">
            <v>11113.25</v>
          </cell>
          <cell r="F5113">
            <v>11162.25</v>
          </cell>
        </row>
        <row r="5114">
          <cell r="B5114">
            <v>44034</v>
          </cell>
          <cell r="C5114">
            <v>11231.2</v>
          </cell>
          <cell r="D5114">
            <v>11238.1</v>
          </cell>
          <cell r="E5114">
            <v>11056.55</v>
          </cell>
          <cell r="F5114">
            <v>11132.6</v>
          </cell>
        </row>
        <row r="5115">
          <cell r="B5115">
            <v>44035</v>
          </cell>
          <cell r="C5115">
            <v>11135</v>
          </cell>
          <cell r="D5115">
            <v>11239.8</v>
          </cell>
          <cell r="E5115">
            <v>11103.15</v>
          </cell>
          <cell r="F5115">
            <v>11215.45</v>
          </cell>
        </row>
        <row r="5116">
          <cell r="B5116">
            <v>44036</v>
          </cell>
          <cell r="C5116">
            <v>11149.95</v>
          </cell>
          <cell r="D5116">
            <v>11225.4</v>
          </cell>
          <cell r="E5116">
            <v>11090.3</v>
          </cell>
          <cell r="F5116">
            <v>11194.15</v>
          </cell>
        </row>
        <row r="5117">
          <cell r="B5117">
            <v>44039</v>
          </cell>
          <cell r="C5117">
            <v>11225</v>
          </cell>
          <cell r="D5117">
            <v>11225</v>
          </cell>
          <cell r="E5117">
            <v>11087.85</v>
          </cell>
          <cell r="F5117">
            <v>11131.8</v>
          </cell>
        </row>
        <row r="5118">
          <cell r="B5118">
            <v>44040</v>
          </cell>
          <cell r="C5118">
            <v>11154.1</v>
          </cell>
          <cell r="D5118">
            <v>11317.75</v>
          </cell>
          <cell r="E5118">
            <v>11151.4</v>
          </cell>
          <cell r="F5118">
            <v>11300.55</v>
          </cell>
        </row>
        <row r="5119">
          <cell r="B5119">
            <v>44041</v>
          </cell>
          <cell r="C5119">
            <v>11276.9</v>
          </cell>
          <cell r="D5119">
            <v>11341.4</v>
          </cell>
          <cell r="E5119">
            <v>11149.75</v>
          </cell>
          <cell r="F5119">
            <v>11202.85</v>
          </cell>
        </row>
        <row r="5120">
          <cell r="B5120">
            <v>44042</v>
          </cell>
          <cell r="C5120">
            <v>11254.3</v>
          </cell>
          <cell r="D5120">
            <v>11299.95</v>
          </cell>
          <cell r="E5120">
            <v>11084.95</v>
          </cell>
          <cell r="F5120">
            <v>11102.15</v>
          </cell>
        </row>
        <row r="5121">
          <cell r="B5121">
            <v>44043</v>
          </cell>
          <cell r="C5121">
            <v>11139.5</v>
          </cell>
          <cell r="D5121">
            <v>11150.4</v>
          </cell>
          <cell r="E5121">
            <v>11026.65</v>
          </cell>
          <cell r="F5121">
            <v>11073.45</v>
          </cell>
        </row>
        <row r="5122">
          <cell r="B5122">
            <v>44046</v>
          </cell>
          <cell r="C5122">
            <v>11057.55</v>
          </cell>
          <cell r="D5122">
            <v>11058.05</v>
          </cell>
          <cell r="E5122">
            <v>10882.25</v>
          </cell>
          <cell r="F5122">
            <v>10891.6</v>
          </cell>
        </row>
        <row r="5123">
          <cell r="B5123">
            <v>44047</v>
          </cell>
          <cell r="C5123">
            <v>10946.65</v>
          </cell>
          <cell r="D5123">
            <v>11112.25</v>
          </cell>
          <cell r="E5123">
            <v>10908.1</v>
          </cell>
          <cell r="F5123">
            <v>11095.25</v>
          </cell>
        </row>
        <row r="5124">
          <cell r="B5124">
            <v>44048</v>
          </cell>
          <cell r="C5124">
            <v>11155.75</v>
          </cell>
          <cell r="D5124">
            <v>11225.65</v>
          </cell>
          <cell r="E5124">
            <v>11064.05</v>
          </cell>
          <cell r="F5124">
            <v>11101.65</v>
          </cell>
        </row>
        <row r="5125">
          <cell r="B5125">
            <v>44049</v>
          </cell>
          <cell r="C5125">
            <v>11185.7</v>
          </cell>
          <cell r="D5125">
            <v>11256.8</v>
          </cell>
          <cell r="E5125">
            <v>11127.3</v>
          </cell>
          <cell r="F5125">
            <v>11200.15</v>
          </cell>
        </row>
        <row r="5126">
          <cell r="B5126">
            <v>44050</v>
          </cell>
          <cell r="C5126">
            <v>11186.65</v>
          </cell>
          <cell r="D5126">
            <v>11231.9</v>
          </cell>
          <cell r="E5126">
            <v>11142.05</v>
          </cell>
          <cell r="F5126">
            <v>11214.05</v>
          </cell>
        </row>
        <row r="5127">
          <cell r="B5127">
            <v>44053</v>
          </cell>
          <cell r="C5127">
            <v>11270.25</v>
          </cell>
          <cell r="D5127">
            <v>11337.3</v>
          </cell>
          <cell r="E5127">
            <v>11238</v>
          </cell>
          <cell r="F5127">
            <v>11270.15</v>
          </cell>
        </row>
        <row r="5128">
          <cell r="B5128">
            <v>44054</v>
          </cell>
          <cell r="C5128">
            <v>11322.25</v>
          </cell>
          <cell r="D5128">
            <v>11373.6</v>
          </cell>
          <cell r="E5128">
            <v>11299.15</v>
          </cell>
          <cell r="F5128">
            <v>11322.5</v>
          </cell>
        </row>
        <row r="5129">
          <cell r="B5129">
            <v>44055</v>
          </cell>
          <cell r="C5129">
            <v>11289</v>
          </cell>
          <cell r="D5129">
            <v>11322</v>
          </cell>
          <cell r="E5129">
            <v>11242.65</v>
          </cell>
          <cell r="F5129">
            <v>11308.4</v>
          </cell>
        </row>
        <row r="5130">
          <cell r="B5130">
            <v>44056</v>
          </cell>
          <cell r="C5130">
            <v>11334.85</v>
          </cell>
          <cell r="D5130">
            <v>11359.3</v>
          </cell>
          <cell r="E5130">
            <v>11269.95</v>
          </cell>
          <cell r="F5130">
            <v>11300.45</v>
          </cell>
        </row>
        <row r="5131">
          <cell r="B5131">
            <v>44057</v>
          </cell>
          <cell r="C5131">
            <v>11353.3</v>
          </cell>
          <cell r="D5131">
            <v>11366.25</v>
          </cell>
          <cell r="E5131">
            <v>11111.45</v>
          </cell>
          <cell r="F5131">
            <v>11178.4</v>
          </cell>
        </row>
        <row r="5132">
          <cell r="B5132">
            <v>44060</v>
          </cell>
          <cell r="C5132">
            <v>11248.9</v>
          </cell>
          <cell r="D5132">
            <v>11267.1</v>
          </cell>
          <cell r="E5132">
            <v>11144.5</v>
          </cell>
          <cell r="F5132">
            <v>11247.1</v>
          </cell>
        </row>
        <row r="5133">
          <cell r="B5133">
            <v>44061</v>
          </cell>
          <cell r="C5133">
            <v>11259.8</v>
          </cell>
          <cell r="D5133">
            <v>11401.7</v>
          </cell>
          <cell r="E5133">
            <v>11253.15</v>
          </cell>
          <cell r="F5133">
            <v>11385.35</v>
          </cell>
        </row>
        <row r="5134">
          <cell r="B5134">
            <v>44062</v>
          </cell>
          <cell r="C5134">
            <v>11452.15</v>
          </cell>
          <cell r="D5134">
            <v>11460.35</v>
          </cell>
          <cell r="E5134">
            <v>11394.1</v>
          </cell>
          <cell r="F5134">
            <v>11408.4</v>
          </cell>
        </row>
        <row r="5135">
          <cell r="B5135">
            <v>44063</v>
          </cell>
          <cell r="C5135">
            <v>11317.45</v>
          </cell>
          <cell r="D5135">
            <v>11361.45</v>
          </cell>
          <cell r="E5135">
            <v>11289.8</v>
          </cell>
          <cell r="F5135">
            <v>11312.2</v>
          </cell>
        </row>
        <row r="5136">
          <cell r="B5136">
            <v>44064</v>
          </cell>
          <cell r="C5136">
            <v>11409.65</v>
          </cell>
          <cell r="D5136">
            <v>11418.5</v>
          </cell>
          <cell r="E5136">
            <v>11362.2</v>
          </cell>
          <cell r="F5136">
            <v>11371.6</v>
          </cell>
        </row>
        <row r="5137">
          <cell r="B5137">
            <v>44067</v>
          </cell>
          <cell r="C5137">
            <v>11412</v>
          </cell>
          <cell r="D5137">
            <v>11497.25</v>
          </cell>
          <cell r="E5137">
            <v>11410.65</v>
          </cell>
          <cell r="F5137">
            <v>11466.45</v>
          </cell>
        </row>
        <row r="5138">
          <cell r="B5138">
            <v>44068</v>
          </cell>
          <cell r="C5138">
            <v>11513.1</v>
          </cell>
          <cell r="D5138">
            <v>11525.9</v>
          </cell>
          <cell r="E5138">
            <v>11423.35</v>
          </cell>
          <cell r="F5138">
            <v>11472.25</v>
          </cell>
        </row>
        <row r="5139">
          <cell r="B5139">
            <v>44069</v>
          </cell>
          <cell r="C5139">
            <v>11512.85</v>
          </cell>
          <cell r="D5139">
            <v>11561.75</v>
          </cell>
          <cell r="E5139">
            <v>11461.85</v>
          </cell>
          <cell r="F5139">
            <v>11549.6</v>
          </cell>
        </row>
        <row r="5140">
          <cell r="B5140">
            <v>44070</v>
          </cell>
          <cell r="C5140">
            <v>11609.3</v>
          </cell>
          <cell r="D5140">
            <v>11617.35</v>
          </cell>
          <cell r="E5140">
            <v>11540.6</v>
          </cell>
          <cell r="F5140">
            <v>11559.25</v>
          </cell>
        </row>
        <row r="5141">
          <cell r="B5141">
            <v>44071</v>
          </cell>
          <cell r="C5141">
            <v>11602.95</v>
          </cell>
          <cell r="D5141">
            <v>11686.05</v>
          </cell>
          <cell r="E5141">
            <v>11589.4</v>
          </cell>
          <cell r="F5141">
            <v>11647.6</v>
          </cell>
        </row>
        <row r="5142">
          <cell r="B5142">
            <v>44074</v>
          </cell>
          <cell r="C5142">
            <v>11777.55</v>
          </cell>
          <cell r="D5142">
            <v>11794.25</v>
          </cell>
          <cell r="E5142">
            <v>11325.85</v>
          </cell>
          <cell r="F5142">
            <v>11387.5</v>
          </cell>
        </row>
        <row r="5143">
          <cell r="B5143">
            <v>44075</v>
          </cell>
          <cell r="C5143">
            <v>11464.3</v>
          </cell>
          <cell r="D5143">
            <v>11553.55</v>
          </cell>
          <cell r="E5143">
            <v>11366.9</v>
          </cell>
          <cell r="F5143">
            <v>11470.25</v>
          </cell>
        </row>
        <row r="5144">
          <cell r="B5144">
            <v>44076</v>
          </cell>
          <cell r="C5144">
            <v>11478.55</v>
          </cell>
          <cell r="D5144">
            <v>11554.75</v>
          </cell>
          <cell r="E5144">
            <v>11430.4</v>
          </cell>
          <cell r="F5144">
            <v>11535</v>
          </cell>
        </row>
        <row r="5145">
          <cell r="B5145">
            <v>44077</v>
          </cell>
          <cell r="C5145">
            <v>11566.2</v>
          </cell>
          <cell r="D5145">
            <v>11584.95</v>
          </cell>
          <cell r="E5145">
            <v>11507.65</v>
          </cell>
          <cell r="F5145">
            <v>11527.45</v>
          </cell>
        </row>
        <row r="5146">
          <cell r="B5146">
            <v>44078</v>
          </cell>
          <cell r="C5146">
            <v>11354.4</v>
          </cell>
          <cell r="D5146">
            <v>11452.05</v>
          </cell>
          <cell r="E5146">
            <v>11303.65</v>
          </cell>
          <cell r="F5146">
            <v>11333.85</v>
          </cell>
        </row>
        <row r="5147">
          <cell r="B5147">
            <v>44081</v>
          </cell>
          <cell r="C5147">
            <v>11359.6</v>
          </cell>
          <cell r="D5147">
            <v>11381.15</v>
          </cell>
          <cell r="E5147">
            <v>11251.7</v>
          </cell>
          <cell r="F5147">
            <v>11355.05</v>
          </cell>
        </row>
        <row r="5148">
          <cell r="B5148">
            <v>44082</v>
          </cell>
          <cell r="C5148">
            <v>11378.55</v>
          </cell>
          <cell r="D5148">
            <v>11437.25</v>
          </cell>
          <cell r="E5148">
            <v>11290.45</v>
          </cell>
          <cell r="F5148">
            <v>11317.35</v>
          </cell>
        </row>
        <row r="5149">
          <cell r="B5149">
            <v>44083</v>
          </cell>
          <cell r="C5149">
            <v>11218.6</v>
          </cell>
          <cell r="D5149">
            <v>11298.15</v>
          </cell>
          <cell r="E5149">
            <v>11185.15</v>
          </cell>
          <cell r="F5149">
            <v>11278</v>
          </cell>
        </row>
        <row r="5150">
          <cell r="B5150">
            <v>44084</v>
          </cell>
          <cell r="C5150">
            <v>11363.3</v>
          </cell>
          <cell r="D5150">
            <v>11464.05</v>
          </cell>
          <cell r="E5150">
            <v>11327.4</v>
          </cell>
          <cell r="F5150">
            <v>11449.25</v>
          </cell>
        </row>
        <row r="5151">
          <cell r="B5151">
            <v>44085</v>
          </cell>
          <cell r="C5151">
            <v>11447.8</v>
          </cell>
          <cell r="D5151">
            <v>11493.5</v>
          </cell>
          <cell r="E5151">
            <v>11419.9</v>
          </cell>
          <cell r="F5151">
            <v>11464.45</v>
          </cell>
        </row>
        <row r="5152">
          <cell r="B5152">
            <v>44088</v>
          </cell>
          <cell r="C5152">
            <v>11540.15</v>
          </cell>
          <cell r="D5152">
            <v>11568.9</v>
          </cell>
          <cell r="E5152">
            <v>11383.55</v>
          </cell>
          <cell r="F5152">
            <v>11440.05</v>
          </cell>
        </row>
        <row r="5153">
          <cell r="B5153">
            <v>44089</v>
          </cell>
          <cell r="C5153">
            <v>11487.2</v>
          </cell>
          <cell r="D5153">
            <v>11535.95</v>
          </cell>
          <cell r="E5153">
            <v>11442.25</v>
          </cell>
          <cell r="F5153">
            <v>11521.8</v>
          </cell>
        </row>
        <row r="5154">
          <cell r="B5154">
            <v>44090</v>
          </cell>
          <cell r="C5154">
            <v>11538.45</v>
          </cell>
          <cell r="D5154">
            <v>11618.1</v>
          </cell>
          <cell r="E5154">
            <v>11516.75</v>
          </cell>
          <cell r="F5154">
            <v>11604.55</v>
          </cell>
        </row>
        <row r="5155">
          <cell r="B5155">
            <v>44091</v>
          </cell>
          <cell r="C5155">
            <v>11539.4</v>
          </cell>
          <cell r="D5155">
            <v>11587.2</v>
          </cell>
          <cell r="E5155">
            <v>11498.5</v>
          </cell>
          <cell r="F5155">
            <v>11516.1</v>
          </cell>
        </row>
        <row r="5156">
          <cell r="B5156">
            <v>44092</v>
          </cell>
          <cell r="C5156">
            <v>11584.1</v>
          </cell>
          <cell r="D5156">
            <v>11584.1</v>
          </cell>
          <cell r="E5156">
            <v>11446.1</v>
          </cell>
          <cell r="F5156">
            <v>11504.95</v>
          </cell>
        </row>
        <row r="5157">
          <cell r="B5157">
            <v>44095</v>
          </cell>
          <cell r="C5157">
            <v>11503.8</v>
          </cell>
          <cell r="D5157">
            <v>11535.25</v>
          </cell>
          <cell r="E5157">
            <v>11218.5</v>
          </cell>
          <cell r="F5157">
            <v>11250.55</v>
          </cell>
        </row>
        <row r="5158">
          <cell r="B5158">
            <v>44096</v>
          </cell>
          <cell r="C5158">
            <v>11301.75</v>
          </cell>
          <cell r="D5158">
            <v>11302.2</v>
          </cell>
          <cell r="E5158">
            <v>11084.65</v>
          </cell>
          <cell r="F5158">
            <v>11153.65</v>
          </cell>
        </row>
        <row r="5159">
          <cell r="B5159">
            <v>44097</v>
          </cell>
          <cell r="C5159">
            <v>11258.75</v>
          </cell>
          <cell r="D5159">
            <v>11259.55</v>
          </cell>
          <cell r="E5159">
            <v>11024.4</v>
          </cell>
          <cell r="F5159">
            <v>11131.85</v>
          </cell>
        </row>
        <row r="5160">
          <cell r="B5160">
            <v>44098</v>
          </cell>
          <cell r="C5160">
            <v>11011</v>
          </cell>
          <cell r="D5160">
            <v>11015.3</v>
          </cell>
          <cell r="E5160">
            <v>10790.2</v>
          </cell>
          <cell r="F5160">
            <v>10805.55</v>
          </cell>
        </row>
        <row r="5161">
          <cell r="B5161">
            <v>44099</v>
          </cell>
          <cell r="C5161">
            <v>10910.4</v>
          </cell>
          <cell r="D5161">
            <v>11072.6</v>
          </cell>
          <cell r="E5161">
            <v>10854.85</v>
          </cell>
          <cell r="F5161">
            <v>11050.25</v>
          </cell>
        </row>
        <row r="5162">
          <cell r="B5162">
            <v>44102</v>
          </cell>
          <cell r="C5162">
            <v>11140.85</v>
          </cell>
          <cell r="D5162">
            <v>11239.35</v>
          </cell>
          <cell r="E5162">
            <v>11099.85</v>
          </cell>
          <cell r="F5162">
            <v>11227.55</v>
          </cell>
        </row>
        <row r="5163">
          <cell r="B5163">
            <v>44103</v>
          </cell>
          <cell r="C5163">
            <v>11288.6</v>
          </cell>
          <cell r="D5163">
            <v>11305.4</v>
          </cell>
          <cell r="E5163">
            <v>11181</v>
          </cell>
          <cell r="F5163">
            <v>11222.4</v>
          </cell>
        </row>
        <row r="5164">
          <cell r="B5164">
            <v>44104</v>
          </cell>
          <cell r="C5164">
            <v>11244.45</v>
          </cell>
          <cell r="D5164">
            <v>11295.4</v>
          </cell>
          <cell r="E5164">
            <v>11184.55</v>
          </cell>
          <cell r="F5164">
            <v>11247.55</v>
          </cell>
        </row>
        <row r="5165">
          <cell r="B5165">
            <v>44105</v>
          </cell>
          <cell r="C5165">
            <v>11364.45</v>
          </cell>
          <cell r="D5165">
            <v>11428.6</v>
          </cell>
          <cell r="E5165">
            <v>11347.05</v>
          </cell>
          <cell r="F5165">
            <v>11416.95</v>
          </cell>
        </row>
        <row r="5166">
          <cell r="B5166">
            <v>44109</v>
          </cell>
          <cell r="C5166">
            <v>11487.8</v>
          </cell>
          <cell r="D5166">
            <v>11578.05</v>
          </cell>
          <cell r="E5166">
            <v>11452.3</v>
          </cell>
          <cell r="F5166">
            <v>11503.35</v>
          </cell>
        </row>
        <row r="5167">
          <cell r="B5167">
            <v>44110</v>
          </cell>
          <cell r="C5167">
            <v>11603.45</v>
          </cell>
          <cell r="D5167">
            <v>11680.3</v>
          </cell>
          <cell r="E5167">
            <v>11564.3</v>
          </cell>
          <cell r="F5167">
            <v>11662.4</v>
          </cell>
        </row>
        <row r="5168">
          <cell r="B5168">
            <v>44111</v>
          </cell>
          <cell r="C5168">
            <v>11679.25</v>
          </cell>
          <cell r="D5168">
            <v>11763.05</v>
          </cell>
          <cell r="E5168">
            <v>11629.35</v>
          </cell>
          <cell r="F5168">
            <v>11738.85</v>
          </cell>
        </row>
        <row r="5169">
          <cell r="B5169">
            <v>44112</v>
          </cell>
          <cell r="C5169">
            <v>11835.4</v>
          </cell>
          <cell r="D5169">
            <v>11905.7</v>
          </cell>
          <cell r="E5169">
            <v>11791.15</v>
          </cell>
          <cell r="F5169">
            <v>11834.6</v>
          </cell>
        </row>
        <row r="5170">
          <cell r="B5170">
            <v>44113</v>
          </cell>
          <cell r="C5170">
            <v>11852.05</v>
          </cell>
          <cell r="D5170">
            <v>11938.6</v>
          </cell>
          <cell r="E5170">
            <v>11805.2</v>
          </cell>
          <cell r="F5170">
            <v>11914.2</v>
          </cell>
        </row>
        <row r="5171">
          <cell r="B5171">
            <v>44116</v>
          </cell>
          <cell r="C5171">
            <v>11973.55</v>
          </cell>
          <cell r="D5171">
            <v>12022.05</v>
          </cell>
          <cell r="E5171">
            <v>11867.2</v>
          </cell>
          <cell r="F5171">
            <v>11930.95</v>
          </cell>
        </row>
        <row r="5172">
          <cell r="B5172">
            <v>44117</v>
          </cell>
          <cell r="C5172">
            <v>11934.65</v>
          </cell>
          <cell r="D5172">
            <v>11988.2</v>
          </cell>
          <cell r="E5172">
            <v>11888.9</v>
          </cell>
          <cell r="F5172">
            <v>11934.5</v>
          </cell>
        </row>
        <row r="5173">
          <cell r="B5173">
            <v>44118</v>
          </cell>
          <cell r="C5173">
            <v>11917.4</v>
          </cell>
          <cell r="D5173">
            <v>11997.2</v>
          </cell>
          <cell r="E5173">
            <v>11822.15</v>
          </cell>
          <cell r="F5173">
            <v>11971.05</v>
          </cell>
        </row>
        <row r="5174">
          <cell r="B5174">
            <v>44119</v>
          </cell>
          <cell r="C5174">
            <v>12023.45</v>
          </cell>
          <cell r="D5174">
            <v>12025.45</v>
          </cell>
          <cell r="E5174">
            <v>11661.3</v>
          </cell>
          <cell r="F5174">
            <v>11680.35</v>
          </cell>
        </row>
        <row r="5175">
          <cell r="B5175">
            <v>44120</v>
          </cell>
          <cell r="C5175">
            <v>11727.4</v>
          </cell>
          <cell r="D5175">
            <v>11789.75</v>
          </cell>
          <cell r="E5175">
            <v>11667.85</v>
          </cell>
          <cell r="F5175">
            <v>11762.45</v>
          </cell>
        </row>
        <row r="5176">
          <cell r="B5176">
            <v>44123</v>
          </cell>
          <cell r="C5176">
            <v>11879.2</v>
          </cell>
          <cell r="D5176">
            <v>11898.25</v>
          </cell>
          <cell r="E5176">
            <v>11820.4</v>
          </cell>
          <cell r="F5176">
            <v>11873.05</v>
          </cell>
        </row>
        <row r="5177">
          <cell r="B5177">
            <v>44124</v>
          </cell>
          <cell r="C5177">
            <v>11861</v>
          </cell>
          <cell r="D5177">
            <v>11949.25</v>
          </cell>
          <cell r="E5177">
            <v>11837.25</v>
          </cell>
          <cell r="F5177">
            <v>11896.8</v>
          </cell>
        </row>
        <row r="5178">
          <cell r="B5178">
            <v>44125</v>
          </cell>
          <cell r="C5178">
            <v>11958.55</v>
          </cell>
          <cell r="D5178">
            <v>12018.65</v>
          </cell>
          <cell r="E5178">
            <v>11775.75</v>
          </cell>
          <cell r="F5178">
            <v>11937.65</v>
          </cell>
        </row>
        <row r="5179">
          <cell r="B5179">
            <v>44126</v>
          </cell>
          <cell r="C5179">
            <v>11890</v>
          </cell>
          <cell r="D5179">
            <v>11939.55</v>
          </cell>
          <cell r="E5179">
            <v>11823.45</v>
          </cell>
          <cell r="F5179">
            <v>11896.45</v>
          </cell>
        </row>
        <row r="5180">
          <cell r="B5180">
            <v>44127</v>
          </cell>
          <cell r="C5180">
            <v>11957.9</v>
          </cell>
          <cell r="D5180">
            <v>11974.55</v>
          </cell>
          <cell r="E5180">
            <v>11908.75</v>
          </cell>
          <cell r="F5180">
            <v>11930.35</v>
          </cell>
        </row>
        <row r="5181">
          <cell r="B5181">
            <v>44130</v>
          </cell>
          <cell r="C5181">
            <v>11937.4</v>
          </cell>
          <cell r="D5181">
            <v>11942.85</v>
          </cell>
          <cell r="E5181">
            <v>11711.7</v>
          </cell>
          <cell r="F5181">
            <v>11767.75</v>
          </cell>
        </row>
        <row r="5182">
          <cell r="B5182">
            <v>44131</v>
          </cell>
          <cell r="C5182">
            <v>11807.1</v>
          </cell>
          <cell r="D5182">
            <v>11899.05</v>
          </cell>
          <cell r="E5182">
            <v>11723</v>
          </cell>
          <cell r="F5182">
            <v>11889.4</v>
          </cell>
        </row>
        <row r="5183">
          <cell r="B5183">
            <v>44132</v>
          </cell>
          <cell r="C5183">
            <v>11922.6</v>
          </cell>
          <cell r="D5183">
            <v>11929.4</v>
          </cell>
          <cell r="E5183">
            <v>11684.85</v>
          </cell>
          <cell r="F5183">
            <v>11729.6</v>
          </cell>
        </row>
        <row r="5184">
          <cell r="B5184">
            <v>44133</v>
          </cell>
          <cell r="C5184">
            <v>11633.3</v>
          </cell>
          <cell r="D5184">
            <v>11744.15</v>
          </cell>
          <cell r="E5184">
            <v>11606.45</v>
          </cell>
          <cell r="F5184">
            <v>11670.8</v>
          </cell>
        </row>
        <row r="5185">
          <cell r="B5185">
            <v>44134</v>
          </cell>
          <cell r="C5185">
            <v>11678.45</v>
          </cell>
          <cell r="D5185">
            <v>11748.95</v>
          </cell>
          <cell r="E5185">
            <v>11535.45</v>
          </cell>
          <cell r="F5185">
            <v>11642.4</v>
          </cell>
        </row>
        <row r="5186">
          <cell r="B5186">
            <v>44137</v>
          </cell>
          <cell r="C5186">
            <v>11697.35</v>
          </cell>
          <cell r="D5186">
            <v>11725.65</v>
          </cell>
          <cell r="E5186">
            <v>11557.4</v>
          </cell>
          <cell r="F5186">
            <v>11669.15</v>
          </cell>
        </row>
        <row r="5187">
          <cell r="B5187">
            <v>44138</v>
          </cell>
          <cell r="C5187">
            <v>11734.45</v>
          </cell>
          <cell r="D5187">
            <v>11836.2</v>
          </cell>
          <cell r="E5187">
            <v>11723.3</v>
          </cell>
          <cell r="F5187">
            <v>11813.5</v>
          </cell>
        </row>
        <row r="5188">
          <cell r="B5188">
            <v>44139</v>
          </cell>
          <cell r="C5188">
            <v>11783.35</v>
          </cell>
          <cell r="D5188">
            <v>11929.65</v>
          </cell>
          <cell r="E5188">
            <v>11756.4</v>
          </cell>
          <cell r="F5188">
            <v>11908.5</v>
          </cell>
        </row>
        <row r="5189">
          <cell r="B5189">
            <v>44140</v>
          </cell>
          <cell r="C5189">
            <v>12062.4</v>
          </cell>
          <cell r="D5189">
            <v>12131.1</v>
          </cell>
          <cell r="E5189">
            <v>12027.6</v>
          </cell>
          <cell r="F5189">
            <v>12120.3</v>
          </cell>
        </row>
        <row r="5190">
          <cell r="B5190">
            <v>44141</v>
          </cell>
          <cell r="C5190">
            <v>12156.65</v>
          </cell>
          <cell r="D5190">
            <v>12280.4</v>
          </cell>
          <cell r="E5190">
            <v>12131.85</v>
          </cell>
          <cell r="F5190">
            <v>12263.55</v>
          </cell>
        </row>
        <row r="5191">
          <cell r="B5191">
            <v>44144</v>
          </cell>
          <cell r="C5191">
            <v>12399.4</v>
          </cell>
          <cell r="D5191">
            <v>12474.05</v>
          </cell>
          <cell r="E5191">
            <v>12367.35</v>
          </cell>
          <cell r="F5191">
            <v>12461.05</v>
          </cell>
        </row>
        <row r="5192">
          <cell r="B5192">
            <v>44145</v>
          </cell>
          <cell r="C5192">
            <v>12556.4</v>
          </cell>
          <cell r="D5192">
            <v>12643.9</v>
          </cell>
          <cell r="E5192">
            <v>12475.25</v>
          </cell>
          <cell r="F5192">
            <v>12631.1</v>
          </cell>
        </row>
        <row r="5193">
          <cell r="B5193">
            <v>44146</v>
          </cell>
          <cell r="C5193">
            <v>12680.6</v>
          </cell>
          <cell r="D5193">
            <v>12769.75</v>
          </cell>
          <cell r="E5193">
            <v>12571.1</v>
          </cell>
          <cell r="F5193">
            <v>12749.15</v>
          </cell>
        </row>
        <row r="5194">
          <cell r="B5194">
            <v>44147</v>
          </cell>
          <cell r="C5194">
            <v>12702.15</v>
          </cell>
          <cell r="D5194">
            <v>12741.15</v>
          </cell>
          <cell r="E5194">
            <v>12624.85</v>
          </cell>
          <cell r="F5194">
            <v>12690.8</v>
          </cell>
        </row>
        <row r="5195">
          <cell r="B5195">
            <v>44148</v>
          </cell>
          <cell r="C5195">
            <v>12659.7</v>
          </cell>
          <cell r="D5195">
            <v>12735.95</v>
          </cell>
          <cell r="E5195">
            <v>12607.7</v>
          </cell>
          <cell r="F5195">
            <v>12719.95</v>
          </cell>
        </row>
        <row r="5196">
          <cell r="B5196">
            <v>44149</v>
          </cell>
          <cell r="C5196">
            <v>12823.35</v>
          </cell>
          <cell r="D5196">
            <v>12828.7</v>
          </cell>
          <cell r="E5196">
            <v>12749.45</v>
          </cell>
          <cell r="F5196">
            <v>12780.25</v>
          </cell>
        </row>
        <row r="5197">
          <cell r="B5197">
            <v>44152</v>
          </cell>
          <cell r="C5197">
            <v>12932.5</v>
          </cell>
          <cell r="D5197">
            <v>12934.05</v>
          </cell>
          <cell r="E5197">
            <v>12797.1</v>
          </cell>
          <cell r="F5197">
            <v>12874.2</v>
          </cell>
        </row>
        <row r="5198">
          <cell r="B5198">
            <v>44153</v>
          </cell>
          <cell r="C5198">
            <v>12860.1</v>
          </cell>
          <cell r="D5198">
            <v>12948.85</v>
          </cell>
          <cell r="E5198">
            <v>12819.35</v>
          </cell>
          <cell r="F5198">
            <v>12938.25</v>
          </cell>
        </row>
        <row r="5199">
          <cell r="B5199">
            <v>44154</v>
          </cell>
          <cell r="C5199">
            <v>12839.5</v>
          </cell>
          <cell r="D5199">
            <v>12963</v>
          </cell>
          <cell r="E5199">
            <v>12745.75</v>
          </cell>
          <cell r="F5199">
            <v>12771.7</v>
          </cell>
        </row>
        <row r="5200">
          <cell r="B5200">
            <v>44155</v>
          </cell>
          <cell r="C5200">
            <v>12813.4</v>
          </cell>
          <cell r="D5200">
            <v>12892.45</v>
          </cell>
          <cell r="E5200">
            <v>12730.25</v>
          </cell>
          <cell r="F5200">
            <v>12859.05</v>
          </cell>
        </row>
        <row r="5201">
          <cell r="B5201">
            <v>44158</v>
          </cell>
          <cell r="C5201">
            <v>12960.3</v>
          </cell>
          <cell r="D5201">
            <v>12968.85</v>
          </cell>
          <cell r="E5201">
            <v>12825.7</v>
          </cell>
          <cell r="F5201">
            <v>12926.45</v>
          </cell>
        </row>
        <row r="5202">
          <cell r="B5202">
            <v>44159</v>
          </cell>
          <cell r="C5202">
            <v>13002.6</v>
          </cell>
          <cell r="D5202">
            <v>13079.1</v>
          </cell>
          <cell r="E5202">
            <v>12978</v>
          </cell>
          <cell r="F5202">
            <v>13055.15</v>
          </cell>
        </row>
        <row r="5203">
          <cell r="B5203">
            <v>44160</v>
          </cell>
          <cell r="C5203">
            <v>13130</v>
          </cell>
          <cell r="D5203">
            <v>13145.85</v>
          </cell>
          <cell r="E5203">
            <v>12833.65</v>
          </cell>
          <cell r="F5203">
            <v>12858.4</v>
          </cell>
        </row>
        <row r="5204">
          <cell r="B5204">
            <v>44161</v>
          </cell>
          <cell r="C5204">
            <v>12906.45</v>
          </cell>
          <cell r="D5204">
            <v>13018</v>
          </cell>
          <cell r="E5204">
            <v>12790.4</v>
          </cell>
          <cell r="F5204">
            <v>12987</v>
          </cell>
        </row>
        <row r="5205">
          <cell r="B5205">
            <v>44162</v>
          </cell>
          <cell r="C5205">
            <v>13012.05</v>
          </cell>
          <cell r="D5205">
            <v>13035.3</v>
          </cell>
          <cell r="E5205">
            <v>12914.3</v>
          </cell>
          <cell r="F5205">
            <v>12968.95</v>
          </cell>
        </row>
        <row r="5206">
          <cell r="B5206">
            <v>44166</v>
          </cell>
          <cell r="C5206">
            <v>13062.2</v>
          </cell>
          <cell r="D5206">
            <v>13128.4</v>
          </cell>
          <cell r="E5206">
            <v>12962.8</v>
          </cell>
          <cell r="F5206">
            <v>13109.05</v>
          </cell>
        </row>
        <row r="5207">
          <cell r="B5207">
            <v>44167</v>
          </cell>
          <cell r="C5207">
            <v>13121.4</v>
          </cell>
          <cell r="D5207">
            <v>13128.5</v>
          </cell>
          <cell r="E5207">
            <v>12983.55</v>
          </cell>
          <cell r="F5207">
            <v>13113.75</v>
          </cell>
        </row>
        <row r="5208">
          <cell r="B5208">
            <v>44168</v>
          </cell>
          <cell r="C5208">
            <v>13215.3</v>
          </cell>
          <cell r="D5208">
            <v>13216.6</v>
          </cell>
          <cell r="E5208">
            <v>13107.9</v>
          </cell>
          <cell r="F5208">
            <v>13133.9</v>
          </cell>
        </row>
        <row r="5209">
          <cell r="B5209">
            <v>44169</v>
          </cell>
          <cell r="C5209">
            <v>13177.4</v>
          </cell>
          <cell r="D5209">
            <v>13280.05</v>
          </cell>
          <cell r="E5209">
            <v>13152.85</v>
          </cell>
          <cell r="F5209">
            <v>13258.55</v>
          </cell>
        </row>
        <row r="5210">
          <cell r="B5210">
            <v>44172</v>
          </cell>
          <cell r="C5210">
            <v>13264.85</v>
          </cell>
          <cell r="D5210">
            <v>13366.65</v>
          </cell>
          <cell r="E5210">
            <v>13241.95</v>
          </cell>
          <cell r="F5210">
            <v>13355.75</v>
          </cell>
        </row>
        <row r="5211">
          <cell r="B5211">
            <v>44173</v>
          </cell>
          <cell r="C5211">
            <v>13393.85</v>
          </cell>
          <cell r="D5211">
            <v>13435.45</v>
          </cell>
          <cell r="E5211">
            <v>13311.05</v>
          </cell>
          <cell r="F5211">
            <v>13392.95</v>
          </cell>
        </row>
        <row r="5212">
          <cell r="B5212">
            <v>44174</v>
          </cell>
          <cell r="C5212">
            <v>13458.1</v>
          </cell>
          <cell r="D5212">
            <v>13548.9</v>
          </cell>
          <cell r="E5212">
            <v>13449.6</v>
          </cell>
          <cell r="F5212">
            <v>13529.1</v>
          </cell>
        </row>
        <row r="5213">
          <cell r="B5213">
            <v>44175</v>
          </cell>
          <cell r="C5213">
            <v>13488.5</v>
          </cell>
          <cell r="D5213">
            <v>13503.55</v>
          </cell>
          <cell r="E5213">
            <v>13399.3</v>
          </cell>
          <cell r="F5213">
            <v>13478.3</v>
          </cell>
        </row>
        <row r="5214">
          <cell r="B5214">
            <v>44176</v>
          </cell>
          <cell r="C5214">
            <v>13512.3</v>
          </cell>
          <cell r="D5214">
            <v>13579.35</v>
          </cell>
          <cell r="E5214">
            <v>13402.85</v>
          </cell>
          <cell r="F5214">
            <v>13513.85</v>
          </cell>
        </row>
        <row r="5215">
          <cell r="B5215">
            <v>44179</v>
          </cell>
          <cell r="C5215">
            <v>13571.45</v>
          </cell>
          <cell r="D5215">
            <v>13597.5</v>
          </cell>
          <cell r="E5215">
            <v>13472.45</v>
          </cell>
          <cell r="F5215">
            <v>13558.15</v>
          </cell>
        </row>
        <row r="5216">
          <cell r="B5216">
            <v>44180</v>
          </cell>
          <cell r="C5216">
            <v>13547.2</v>
          </cell>
          <cell r="D5216">
            <v>13589.65</v>
          </cell>
          <cell r="E5216">
            <v>13447.05</v>
          </cell>
          <cell r="F5216">
            <v>13567.85</v>
          </cell>
        </row>
        <row r="5217">
          <cell r="B5217">
            <v>44181</v>
          </cell>
          <cell r="C5217">
            <v>13663.1</v>
          </cell>
          <cell r="D5217">
            <v>13692.35</v>
          </cell>
          <cell r="E5217">
            <v>13606.45</v>
          </cell>
          <cell r="F5217">
            <v>13682.7</v>
          </cell>
        </row>
        <row r="5218">
          <cell r="B5218">
            <v>44182</v>
          </cell>
          <cell r="C5218">
            <v>13713.55</v>
          </cell>
          <cell r="D5218">
            <v>13773.25</v>
          </cell>
          <cell r="E5218">
            <v>13673.55</v>
          </cell>
          <cell r="F5218">
            <v>13740.7</v>
          </cell>
        </row>
        <row r="5219">
          <cell r="B5219">
            <v>44183</v>
          </cell>
          <cell r="C5219">
            <v>13764.4</v>
          </cell>
          <cell r="D5219">
            <v>13772.85</v>
          </cell>
          <cell r="E5219">
            <v>13658.6</v>
          </cell>
          <cell r="F5219">
            <v>13760.55</v>
          </cell>
        </row>
        <row r="5220">
          <cell r="B5220">
            <v>44186</v>
          </cell>
          <cell r="C5220">
            <v>13741.9</v>
          </cell>
          <cell r="D5220">
            <v>13777.5</v>
          </cell>
          <cell r="E5220">
            <v>13131.45</v>
          </cell>
          <cell r="F5220">
            <v>13328.4</v>
          </cell>
        </row>
        <row r="5221">
          <cell r="B5221">
            <v>44187</v>
          </cell>
          <cell r="C5221">
            <v>13373.65</v>
          </cell>
          <cell r="D5221">
            <v>13492.05</v>
          </cell>
          <cell r="E5221">
            <v>13192.9</v>
          </cell>
          <cell r="F5221">
            <v>13466.3</v>
          </cell>
        </row>
        <row r="5222">
          <cell r="B5222">
            <v>44188</v>
          </cell>
          <cell r="C5222">
            <v>13473.5</v>
          </cell>
          <cell r="D5222">
            <v>13619.45</v>
          </cell>
          <cell r="E5222">
            <v>13432.2</v>
          </cell>
          <cell r="F5222">
            <v>13601.1</v>
          </cell>
        </row>
        <row r="5223">
          <cell r="B5223">
            <v>44189</v>
          </cell>
          <cell r="C5223">
            <v>13672.15</v>
          </cell>
          <cell r="D5223">
            <v>13771.75</v>
          </cell>
          <cell r="E5223">
            <v>13626.9</v>
          </cell>
          <cell r="F5223">
            <v>13749.25</v>
          </cell>
        </row>
        <row r="5224">
          <cell r="B5224">
            <v>44193</v>
          </cell>
          <cell r="C5224">
            <v>13815.15</v>
          </cell>
          <cell r="D5224">
            <v>13885.3</v>
          </cell>
          <cell r="E5224">
            <v>13811.55</v>
          </cell>
          <cell r="F5224">
            <v>13873.2</v>
          </cell>
        </row>
        <row r="5225">
          <cell r="B5225">
            <v>44194</v>
          </cell>
          <cell r="C5225">
            <v>13910.35</v>
          </cell>
          <cell r="D5225">
            <v>13967.6</v>
          </cell>
          <cell r="E5225">
            <v>13859.9</v>
          </cell>
          <cell r="F5225">
            <v>13932.6</v>
          </cell>
        </row>
        <row r="5226">
          <cell r="B5226">
            <v>44195</v>
          </cell>
          <cell r="C5226">
            <v>13980.9</v>
          </cell>
          <cell r="D5226">
            <v>13997</v>
          </cell>
          <cell r="E5226">
            <v>13864.95</v>
          </cell>
          <cell r="F5226">
            <v>13981.95</v>
          </cell>
        </row>
        <row r="5227">
          <cell r="B5227">
            <v>44196</v>
          </cell>
          <cell r="C5227">
            <v>13970</v>
          </cell>
          <cell r="D5227">
            <v>14024.85</v>
          </cell>
          <cell r="E5227">
            <v>13936.45</v>
          </cell>
          <cell r="F5227">
            <v>13981.75</v>
          </cell>
        </row>
        <row r="5228">
          <cell r="B5228">
            <v>44197</v>
          </cell>
          <cell r="C5228">
            <v>13996.1</v>
          </cell>
          <cell r="D5228">
            <v>14049.85</v>
          </cell>
          <cell r="E5228">
            <v>13991.35</v>
          </cell>
          <cell r="F5228">
            <v>14018.5</v>
          </cell>
        </row>
        <row r="5229">
          <cell r="B5229">
            <v>44200</v>
          </cell>
          <cell r="C5229">
            <v>14104.35</v>
          </cell>
          <cell r="D5229">
            <v>14147.95</v>
          </cell>
          <cell r="E5229">
            <v>13953.75</v>
          </cell>
          <cell r="F5229">
            <v>14132.9</v>
          </cell>
        </row>
        <row r="5230">
          <cell r="B5230">
            <v>44201</v>
          </cell>
          <cell r="C5230">
            <v>14075.15</v>
          </cell>
          <cell r="D5230">
            <v>14215.6</v>
          </cell>
          <cell r="E5230">
            <v>14048.15</v>
          </cell>
          <cell r="F5230">
            <v>14199.5</v>
          </cell>
        </row>
        <row r="5231">
          <cell r="B5231">
            <v>44202</v>
          </cell>
          <cell r="C5231">
            <v>14240.95</v>
          </cell>
          <cell r="D5231">
            <v>14244.15</v>
          </cell>
          <cell r="E5231">
            <v>14039.9</v>
          </cell>
          <cell r="F5231">
            <v>14146.25</v>
          </cell>
        </row>
        <row r="5232">
          <cell r="B5232">
            <v>44203</v>
          </cell>
          <cell r="C5232">
            <v>14253.75</v>
          </cell>
          <cell r="D5232">
            <v>14256.25</v>
          </cell>
          <cell r="E5232">
            <v>14123.1</v>
          </cell>
          <cell r="F5232">
            <v>14137.35</v>
          </cell>
        </row>
        <row r="5233">
          <cell r="B5233">
            <v>44204</v>
          </cell>
          <cell r="C5233">
            <v>14258.4</v>
          </cell>
          <cell r="D5233">
            <v>14367.3</v>
          </cell>
          <cell r="E5233">
            <v>14221.65</v>
          </cell>
          <cell r="F5233">
            <v>14347.25</v>
          </cell>
        </row>
        <row r="5234">
          <cell r="B5234">
            <v>44207</v>
          </cell>
          <cell r="C5234">
            <v>14474.05</v>
          </cell>
          <cell r="D5234">
            <v>14498.2</v>
          </cell>
          <cell r="E5234">
            <v>14383.1</v>
          </cell>
          <cell r="F5234">
            <v>14484.75</v>
          </cell>
        </row>
        <row r="5235">
          <cell r="B5235">
            <v>44208</v>
          </cell>
          <cell r="C5235">
            <v>14473.8</v>
          </cell>
          <cell r="D5235">
            <v>14590.65</v>
          </cell>
          <cell r="E5235">
            <v>14432.85</v>
          </cell>
          <cell r="F5235">
            <v>14563.45</v>
          </cell>
        </row>
        <row r="5236">
          <cell r="B5236">
            <v>44209</v>
          </cell>
          <cell r="C5236">
            <v>14639.8</v>
          </cell>
          <cell r="D5236">
            <v>14653.35</v>
          </cell>
          <cell r="E5236">
            <v>14435.7</v>
          </cell>
          <cell r="F5236">
            <v>14564.85</v>
          </cell>
        </row>
        <row r="5237">
          <cell r="B5237">
            <v>44210</v>
          </cell>
          <cell r="C5237">
            <v>14550.05</v>
          </cell>
          <cell r="D5237">
            <v>14617.8</v>
          </cell>
          <cell r="E5237">
            <v>14471.5</v>
          </cell>
          <cell r="F5237">
            <v>14595.6</v>
          </cell>
        </row>
        <row r="5238">
          <cell r="B5238">
            <v>44211</v>
          </cell>
          <cell r="C5238">
            <v>14594.35</v>
          </cell>
          <cell r="D5238">
            <v>14617.45</v>
          </cell>
          <cell r="E5238">
            <v>14357.85</v>
          </cell>
          <cell r="F5238">
            <v>14433.7</v>
          </cell>
        </row>
        <row r="5239">
          <cell r="B5239">
            <v>44214</v>
          </cell>
          <cell r="C5239">
            <v>14453.3</v>
          </cell>
          <cell r="D5239">
            <v>14459.15</v>
          </cell>
          <cell r="E5239">
            <v>14222.8</v>
          </cell>
          <cell r="F5239">
            <v>14281.3</v>
          </cell>
        </row>
        <row r="5240">
          <cell r="B5240">
            <v>44215</v>
          </cell>
          <cell r="C5240">
            <v>14371.65</v>
          </cell>
          <cell r="D5240">
            <v>14546.05</v>
          </cell>
          <cell r="E5240">
            <v>14350.85</v>
          </cell>
          <cell r="F5240">
            <v>14521.15</v>
          </cell>
        </row>
        <row r="5241">
          <cell r="B5241">
            <v>44216</v>
          </cell>
          <cell r="C5241">
            <v>14538.3</v>
          </cell>
          <cell r="D5241">
            <v>14666.45</v>
          </cell>
          <cell r="E5241">
            <v>14517.55</v>
          </cell>
          <cell r="F5241">
            <v>14644.7</v>
          </cell>
        </row>
        <row r="5242">
          <cell r="B5242">
            <v>44217</v>
          </cell>
          <cell r="C5242">
            <v>14730.95</v>
          </cell>
          <cell r="D5242">
            <v>14753.55</v>
          </cell>
          <cell r="E5242">
            <v>14517.25</v>
          </cell>
          <cell r="F5242">
            <v>14590.35</v>
          </cell>
        </row>
        <row r="5243">
          <cell r="B5243">
            <v>44218</v>
          </cell>
          <cell r="C5243">
            <v>14583.4</v>
          </cell>
          <cell r="D5243">
            <v>14619.9</v>
          </cell>
          <cell r="E5243">
            <v>14357.75</v>
          </cell>
          <cell r="F5243">
            <v>14371.9</v>
          </cell>
        </row>
        <row r="5244">
          <cell r="B5244">
            <v>44221</v>
          </cell>
          <cell r="C5244">
            <v>14477.8</v>
          </cell>
          <cell r="D5244">
            <v>14491.1</v>
          </cell>
          <cell r="E5244">
            <v>14218.6</v>
          </cell>
          <cell r="F5244">
            <v>14238.9</v>
          </cell>
        </row>
        <row r="5245">
          <cell r="B5245">
            <v>44223</v>
          </cell>
          <cell r="C5245">
            <v>14237.95</v>
          </cell>
          <cell r="D5245">
            <v>14237.95</v>
          </cell>
          <cell r="E5245">
            <v>13929.3</v>
          </cell>
          <cell r="F5245">
            <v>13967.5</v>
          </cell>
        </row>
        <row r="5246">
          <cell r="B5246">
            <v>44224</v>
          </cell>
          <cell r="C5246">
            <v>13810.4</v>
          </cell>
          <cell r="D5246">
            <v>13898.25</v>
          </cell>
          <cell r="E5246">
            <v>13713.25</v>
          </cell>
          <cell r="F5246">
            <v>13817.55</v>
          </cell>
        </row>
        <row r="5247">
          <cell r="B5247">
            <v>44225</v>
          </cell>
          <cell r="C5247">
            <v>13946.6</v>
          </cell>
          <cell r="D5247">
            <v>13966.85</v>
          </cell>
          <cell r="E5247">
            <v>13596.75</v>
          </cell>
          <cell r="F5247">
            <v>13634.6</v>
          </cell>
        </row>
        <row r="5248">
          <cell r="B5248">
            <v>44228</v>
          </cell>
          <cell r="C5248">
            <v>13758.6</v>
          </cell>
          <cell r="D5248">
            <v>14336.35</v>
          </cell>
          <cell r="E5248">
            <v>13661.75</v>
          </cell>
          <cell r="F5248">
            <v>14281.2</v>
          </cell>
        </row>
        <row r="5249">
          <cell r="B5249">
            <v>44229</v>
          </cell>
          <cell r="C5249">
            <v>14481.1</v>
          </cell>
          <cell r="D5249">
            <v>14731.7</v>
          </cell>
          <cell r="E5249">
            <v>14469.15</v>
          </cell>
          <cell r="F5249">
            <v>14647.85</v>
          </cell>
        </row>
        <row r="5250">
          <cell r="B5250">
            <v>44230</v>
          </cell>
          <cell r="C5250">
            <v>14754.9</v>
          </cell>
          <cell r="D5250">
            <v>14868.85</v>
          </cell>
          <cell r="E5250">
            <v>14574.15</v>
          </cell>
          <cell r="F5250">
            <v>14789.95</v>
          </cell>
        </row>
        <row r="5251">
          <cell r="B5251">
            <v>44231</v>
          </cell>
          <cell r="C5251">
            <v>14789.05</v>
          </cell>
          <cell r="D5251">
            <v>14913.7</v>
          </cell>
          <cell r="E5251">
            <v>14714.75</v>
          </cell>
          <cell r="F5251">
            <v>14895.65</v>
          </cell>
        </row>
        <row r="5252">
          <cell r="B5252">
            <v>44232</v>
          </cell>
          <cell r="C5252">
            <v>14952.6</v>
          </cell>
          <cell r="D5252">
            <v>15014.65</v>
          </cell>
          <cell r="E5252">
            <v>14864.75</v>
          </cell>
          <cell r="F5252">
            <v>14924.25</v>
          </cell>
        </row>
        <row r="5253">
          <cell r="B5253">
            <v>44235</v>
          </cell>
          <cell r="C5253">
            <v>15064.3</v>
          </cell>
          <cell r="D5253">
            <v>15159.9</v>
          </cell>
          <cell r="E5253">
            <v>15041.05</v>
          </cell>
          <cell r="F5253">
            <v>15115.8</v>
          </cell>
        </row>
        <row r="5254">
          <cell r="B5254">
            <v>44236</v>
          </cell>
          <cell r="C5254">
            <v>15164.15</v>
          </cell>
          <cell r="D5254">
            <v>15257.1</v>
          </cell>
          <cell r="E5254">
            <v>15064.3</v>
          </cell>
          <cell r="F5254">
            <v>15109.3</v>
          </cell>
        </row>
        <row r="5255">
          <cell r="B5255">
            <v>44237</v>
          </cell>
          <cell r="C5255">
            <v>15119.05</v>
          </cell>
          <cell r="D5255">
            <v>15168.25</v>
          </cell>
          <cell r="E5255">
            <v>14977.2</v>
          </cell>
          <cell r="F5255">
            <v>15106.5</v>
          </cell>
        </row>
        <row r="5256">
          <cell r="B5256">
            <v>44238</v>
          </cell>
          <cell r="C5256">
            <v>15073.25</v>
          </cell>
          <cell r="D5256">
            <v>15188.5</v>
          </cell>
          <cell r="E5256">
            <v>15065.4</v>
          </cell>
          <cell r="F5256">
            <v>15173.3</v>
          </cell>
        </row>
        <row r="5257">
          <cell r="B5257">
            <v>44239</v>
          </cell>
          <cell r="C5257">
            <v>15186.2</v>
          </cell>
          <cell r="D5257">
            <v>15243.5</v>
          </cell>
          <cell r="E5257">
            <v>15081</v>
          </cell>
          <cell r="F5257">
            <v>15163.3</v>
          </cell>
        </row>
        <row r="5258">
          <cell r="B5258">
            <v>44242</v>
          </cell>
          <cell r="C5258">
            <v>15270.3</v>
          </cell>
          <cell r="D5258">
            <v>15340.15</v>
          </cell>
          <cell r="E5258">
            <v>15243.4</v>
          </cell>
          <cell r="F5258">
            <v>15314.7</v>
          </cell>
        </row>
        <row r="5259">
          <cell r="B5259">
            <v>44243</v>
          </cell>
          <cell r="C5259">
            <v>15371.45</v>
          </cell>
          <cell r="D5259">
            <v>15431.75</v>
          </cell>
          <cell r="E5259">
            <v>15242.2</v>
          </cell>
          <cell r="F5259">
            <v>15313.45</v>
          </cell>
        </row>
        <row r="5260">
          <cell r="B5260">
            <v>44244</v>
          </cell>
          <cell r="C5260">
            <v>15279.9</v>
          </cell>
          <cell r="D5260">
            <v>15314.3</v>
          </cell>
          <cell r="E5260">
            <v>15170.75</v>
          </cell>
          <cell r="F5260">
            <v>15208.9</v>
          </cell>
        </row>
        <row r="5261">
          <cell r="B5261">
            <v>44245</v>
          </cell>
          <cell r="C5261">
            <v>15238.7</v>
          </cell>
          <cell r="D5261">
            <v>15250.75</v>
          </cell>
          <cell r="E5261">
            <v>15078.05</v>
          </cell>
          <cell r="F5261">
            <v>15118.95</v>
          </cell>
        </row>
        <row r="5262">
          <cell r="B5262">
            <v>44246</v>
          </cell>
          <cell r="C5262">
            <v>15074.8</v>
          </cell>
          <cell r="D5262">
            <v>15144.05</v>
          </cell>
          <cell r="E5262">
            <v>14898.2</v>
          </cell>
          <cell r="F5262">
            <v>14981.75</v>
          </cell>
        </row>
        <row r="5263">
          <cell r="B5263">
            <v>44249</v>
          </cell>
          <cell r="C5263">
            <v>14999.05</v>
          </cell>
          <cell r="D5263">
            <v>15010.1</v>
          </cell>
          <cell r="E5263">
            <v>14635.05</v>
          </cell>
          <cell r="F5263">
            <v>14675.7</v>
          </cell>
        </row>
        <row r="5264">
          <cell r="B5264">
            <v>44250</v>
          </cell>
          <cell r="C5264">
            <v>14782.25</v>
          </cell>
          <cell r="D5264">
            <v>14854.5</v>
          </cell>
          <cell r="E5264">
            <v>14651.85</v>
          </cell>
          <cell r="F5264">
            <v>14707.8</v>
          </cell>
        </row>
        <row r="5265">
          <cell r="B5265">
            <v>44251</v>
          </cell>
          <cell r="C5265">
            <v>14729.15</v>
          </cell>
          <cell r="D5265">
            <v>15008.8</v>
          </cell>
          <cell r="E5265">
            <v>14723.05</v>
          </cell>
          <cell r="F5265">
            <v>14982</v>
          </cell>
        </row>
        <row r="5266">
          <cell r="B5266">
            <v>44252</v>
          </cell>
          <cell r="C5266">
            <v>15079.85</v>
          </cell>
          <cell r="D5266">
            <v>15176.5</v>
          </cell>
          <cell r="E5266">
            <v>15065.35</v>
          </cell>
          <cell r="F5266">
            <v>15097.35</v>
          </cell>
        </row>
        <row r="5267">
          <cell r="B5267">
            <v>44253</v>
          </cell>
          <cell r="C5267">
            <v>14888.6</v>
          </cell>
          <cell r="D5267">
            <v>14919.45</v>
          </cell>
          <cell r="E5267">
            <v>14467.75</v>
          </cell>
          <cell r="F5267">
            <v>14529.15</v>
          </cell>
        </row>
        <row r="5268">
          <cell r="B5268">
            <v>44256</v>
          </cell>
          <cell r="C5268">
            <v>14702.5</v>
          </cell>
          <cell r="D5268">
            <v>14806.8</v>
          </cell>
          <cell r="E5268">
            <v>14638.55</v>
          </cell>
          <cell r="F5268">
            <v>14761.55</v>
          </cell>
        </row>
        <row r="5269">
          <cell r="B5269">
            <v>44257</v>
          </cell>
          <cell r="C5269">
            <v>14865.3</v>
          </cell>
          <cell r="D5269">
            <v>14959.1</v>
          </cell>
          <cell r="E5269">
            <v>14760.8</v>
          </cell>
          <cell r="F5269">
            <v>14919.1</v>
          </cell>
        </row>
        <row r="5270">
          <cell r="B5270">
            <v>44258</v>
          </cell>
          <cell r="C5270">
            <v>15064.4</v>
          </cell>
          <cell r="D5270">
            <v>15273.15</v>
          </cell>
          <cell r="E5270">
            <v>14995.8</v>
          </cell>
          <cell r="F5270">
            <v>15245.6</v>
          </cell>
        </row>
        <row r="5271">
          <cell r="B5271">
            <v>44259</v>
          </cell>
          <cell r="C5271">
            <v>15026.75</v>
          </cell>
          <cell r="D5271">
            <v>15202.35</v>
          </cell>
          <cell r="E5271">
            <v>14980.2</v>
          </cell>
          <cell r="F5271">
            <v>15080.75</v>
          </cell>
        </row>
        <row r="5272">
          <cell r="B5272">
            <v>44260</v>
          </cell>
          <cell r="C5272">
            <v>14977.95</v>
          </cell>
          <cell r="D5272">
            <v>15092.35</v>
          </cell>
          <cell r="E5272">
            <v>14862.1</v>
          </cell>
          <cell r="F5272">
            <v>14938.1</v>
          </cell>
        </row>
        <row r="5273">
          <cell r="B5273">
            <v>44263</v>
          </cell>
          <cell r="C5273">
            <v>15002.45</v>
          </cell>
          <cell r="D5273">
            <v>15111.15</v>
          </cell>
          <cell r="E5273">
            <v>14919.9</v>
          </cell>
          <cell r="F5273">
            <v>14956.2</v>
          </cell>
        </row>
        <row r="5274">
          <cell r="B5274">
            <v>44264</v>
          </cell>
          <cell r="C5274">
            <v>15049.9</v>
          </cell>
          <cell r="D5274">
            <v>15126.85</v>
          </cell>
          <cell r="E5274">
            <v>14925.45</v>
          </cell>
          <cell r="F5274">
            <v>15098.4</v>
          </cell>
        </row>
        <row r="5275">
          <cell r="B5275">
            <v>44265</v>
          </cell>
          <cell r="C5275">
            <v>15202.15</v>
          </cell>
          <cell r="D5275">
            <v>15218.45</v>
          </cell>
          <cell r="E5275">
            <v>15100.85</v>
          </cell>
          <cell r="F5275">
            <v>15174.8</v>
          </cell>
        </row>
        <row r="5276">
          <cell r="B5276">
            <v>44267</v>
          </cell>
          <cell r="C5276">
            <v>15321.15</v>
          </cell>
          <cell r="D5276">
            <v>15336.3</v>
          </cell>
          <cell r="E5276">
            <v>14953.6</v>
          </cell>
          <cell r="F5276">
            <v>15030.95</v>
          </cell>
        </row>
        <row r="5277">
          <cell r="B5277">
            <v>44270</v>
          </cell>
          <cell r="C5277">
            <v>15048.4</v>
          </cell>
          <cell r="D5277">
            <v>15048.4</v>
          </cell>
          <cell r="E5277">
            <v>14745.85</v>
          </cell>
          <cell r="F5277">
            <v>14929.5</v>
          </cell>
        </row>
        <row r="5278">
          <cell r="B5278">
            <v>44271</v>
          </cell>
          <cell r="C5278">
            <v>14996.1</v>
          </cell>
          <cell r="D5278">
            <v>15051.6</v>
          </cell>
          <cell r="E5278">
            <v>14890.65</v>
          </cell>
          <cell r="F5278">
            <v>14910.45</v>
          </cell>
        </row>
        <row r="5279">
          <cell r="B5279">
            <v>44272</v>
          </cell>
          <cell r="C5279">
            <v>14946.55</v>
          </cell>
          <cell r="D5279">
            <v>14956.55</v>
          </cell>
          <cell r="E5279">
            <v>14696.05</v>
          </cell>
          <cell r="F5279">
            <v>14721.3</v>
          </cell>
        </row>
        <row r="5280">
          <cell r="B5280">
            <v>44273</v>
          </cell>
          <cell r="C5280">
            <v>14855.5</v>
          </cell>
          <cell r="D5280">
            <v>14875.2</v>
          </cell>
          <cell r="E5280">
            <v>14478.6</v>
          </cell>
          <cell r="F5280">
            <v>14557.85</v>
          </cell>
        </row>
        <row r="5281">
          <cell r="B5281">
            <v>44274</v>
          </cell>
          <cell r="C5281">
            <v>14471.15</v>
          </cell>
          <cell r="D5281">
            <v>14788.25</v>
          </cell>
          <cell r="E5281">
            <v>14350.1</v>
          </cell>
          <cell r="F5281">
            <v>14744</v>
          </cell>
        </row>
        <row r="5282">
          <cell r="B5282">
            <v>44277</v>
          </cell>
          <cell r="C5282">
            <v>14736.3</v>
          </cell>
          <cell r="D5282">
            <v>14763.9</v>
          </cell>
          <cell r="E5282">
            <v>14597.85</v>
          </cell>
          <cell r="F5282">
            <v>14736.4</v>
          </cell>
        </row>
        <row r="5283">
          <cell r="B5283">
            <v>44278</v>
          </cell>
          <cell r="C5283">
            <v>14768.55</v>
          </cell>
          <cell r="D5283">
            <v>14878.6</v>
          </cell>
          <cell r="E5283">
            <v>14707</v>
          </cell>
          <cell r="F5283">
            <v>14814.75</v>
          </cell>
        </row>
        <row r="5284">
          <cell r="B5284">
            <v>44279</v>
          </cell>
          <cell r="C5284">
            <v>14712.45</v>
          </cell>
          <cell r="D5284">
            <v>14752.35</v>
          </cell>
          <cell r="E5284">
            <v>14535</v>
          </cell>
          <cell r="F5284">
            <v>14549.4</v>
          </cell>
        </row>
        <row r="5285">
          <cell r="B5285">
            <v>44280</v>
          </cell>
          <cell r="C5285">
            <v>14570.9</v>
          </cell>
          <cell r="D5285">
            <v>14575.6</v>
          </cell>
          <cell r="E5285">
            <v>14264.4</v>
          </cell>
          <cell r="F5285">
            <v>14324.9</v>
          </cell>
        </row>
        <row r="5286">
          <cell r="B5286">
            <v>44281</v>
          </cell>
          <cell r="C5286">
            <v>14506.3</v>
          </cell>
          <cell r="D5286">
            <v>14572.9</v>
          </cell>
          <cell r="E5286">
            <v>14414.25</v>
          </cell>
          <cell r="F5286">
            <v>14507.3</v>
          </cell>
        </row>
        <row r="5287">
          <cell r="B5287">
            <v>44285</v>
          </cell>
          <cell r="C5287">
            <v>14628.5</v>
          </cell>
          <cell r="D5287">
            <v>14876.3</v>
          </cell>
          <cell r="E5287">
            <v>14617.6</v>
          </cell>
          <cell r="F5287">
            <v>14845.1</v>
          </cell>
        </row>
        <row r="5288">
          <cell r="B5288">
            <v>44286</v>
          </cell>
          <cell r="C5288">
            <v>14811.85</v>
          </cell>
          <cell r="D5288">
            <v>14813.75</v>
          </cell>
          <cell r="E5288">
            <v>14670.25</v>
          </cell>
          <cell r="F5288">
            <v>14690.7</v>
          </cell>
        </row>
        <row r="5289">
          <cell r="B5289">
            <v>44287</v>
          </cell>
          <cell r="C5289">
            <v>14798.4</v>
          </cell>
          <cell r="D5289">
            <v>14883.2</v>
          </cell>
          <cell r="E5289">
            <v>14692.45</v>
          </cell>
          <cell r="F5289">
            <v>14867.35</v>
          </cell>
        </row>
        <row r="5290">
          <cell r="B5290">
            <v>44291</v>
          </cell>
          <cell r="C5290">
            <v>14837.7</v>
          </cell>
          <cell r="D5290">
            <v>14849.85</v>
          </cell>
          <cell r="E5290">
            <v>14459.5</v>
          </cell>
          <cell r="F5290">
            <v>14637.8</v>
          </cell>
        </row>
        <row r="5291">
          <cell r="B5291">
            <v>44292</v>
          </cell>
          <cell r="C5291">
            <v>14737</v>
          </cell>
          <cell r="D5291">
            <v>14779.1</v>
          </cell>
          <cell r="E5291">
            <v>14573.9</v>
          </cell>
          <cell r="F5291">
            <v>14683.5</v>
          </cell>
        </row>
        <row r="5292">
          <cell r="B5292">
            <v>44293</v>
          </cell>
          <cell r="C5292">
            <v>14716.45</v>
          </cell>
          <cell r="D5292">
            <v>14879.8</v>
          </cell>
          <cell r="E5292">
            <v>14649.85</v>
          </cell>
          <cell r="F5292">
            <v>14819.05</v>
          </cell>
        </row>
        <row r="5293">
          <cell r="B5293">
            <v>44294</v>
          </cell>
          <cell r="C5293">
            <v>14875.65</v>
          </cell>
          <cell r="D5293">
            <v>14984.15</v>
          </cell>
          <cell r="E5293">
            <v>14821.1</v>
          </cell>
          <cell r="F5293">
            <v>14873.8</v>
          </cell>
        </row>
        <row r="5294">
          <cell r="B5294">
            <v>44295</v>
          </cell>
          <cell r="C5294">
            <v>14882.65</v>
          </cell>
          <cell r="D5294">
            <v>14918.45</v>
          </cell>
          <cell r="E5294">
            <v>14785.65</v>
          </cell>
          <cell r="F5294">
            <v>14834.85</v>
          </cell>
        </row>
        <row r="5295">
          <cell r="B5295">
            <v>44298</v>
          </cell>
          <cell r="C5295">
            <v>14644.65</v>
          </cell>
          <cell r="D5295">
            <v>14652.5</v>
          </cell>
          <cell r="E5295">
            <v>14248.7</v>
          </cell>
          <cell r="F5295">
            <v>14310.8</v>
          </cell>
        </row>
        <row r="5296">
          <cell r="B5296">
            <v>44299</v>
          </cell>
          <cell r="C5296">
            <v>14364.9</v>
          </cell>
          <cell r="D5296">
            <v>14528.9</v>
          </cell>
          <cell r="E5296">
            <v>14274.9</v>
          </cell>
          <cell r="F5296">
            <v>14504.8</v>
          </cell>
        </row>
        <row r="5297">
          <cell r="B5297">
            <v>44301</v>
          </cell>
          <cell r="C5297">
            <v>14522.4</v>
          </cell>
          <cell r="D5297">
            <v>14597.55</v>
          </cell>
          <cell r="E5297">
            <v>14353.2</v>
          </cell>
          <cell r="F5297">
            <v>14581.45</v>
          </cell>
        </row>
        <row r="5298">
          <cell r="B5298">
            <v>44302</v>
          </cell>
          <cell r="C5298">
            <v>14599.6</v>
          </cell>
          <cell r="D5298">
            <v>14697.7</v>
          </cell>
          <cell r="E5298">
            <v>14559</v>
          </cell>
          <cell r="F5298">
            <v>14617.85</v>
          </cell>
        </row>
        <row r="5299">
          <cell r="B5299">
            <v>44305</v>
          </cell>
          <cell r="C5299">
            <v>14306.6</v>
          </cell>
          <cell r="D5299">
            <v>14382.3</v>
          </cell>
          <cell r="E5299">
            <v>14191.4</v>
          </cell>
          <cell r="F5299">
            <v>14359.45</v>
          </cell>
        </row>
        <row r="5300">
          <cell r="B5300">
            <v>44306</v>
          </cell>
          <cell r="C5300">
            <v>14526.7</v>
          </cell>
          <cell r="D5300">
            <v>14526.95</v>
          </cell>
          <cell r="E5300">
            <v>14207.3</v>
          </cell>
          <cell r="F5300">
            <v>14296.4</v>
          </cell>
        </row>
        <row r="5301">
          <cell r="B5301">
            <v>44308</v>
          </cell>
          <cell r="C5301">
            <v>14219.15</v>
          </cell>
          <cell r="D5301">
            <v>14424.75</v>
          </cell>
          <cell r="E5301">
            <v>14151.4</v>
          </cell>
          <cell r="F5301">
            <v>14406.15</v>
          </cell>
        </row>
        <row r="5302">
          <cell r="B5302">
            <v>44309</v>
          </cell>
          <cell r="C5302">
            <v>14326.35</v>
          </cell>
          <cell r="D5302">
            <v>14461.15</v>
          </cell>
          <cell r="E5302">
            <v>14273.3</v>
          </cell>
          <cell r="F5302">
            <v>14341.35</v>
          </cell>
        </row>
        <row r="5303">
          <cell r="B5303">
            <v>44312</v>
          </cell>
          <cell r="C5303">
            <v>14449.45</v>
          </cell>
          <cell r="D5303">
            <v>14557.5</v>
          </cell>
          <cell r="E5303">
            <v>14421.3</v>
          </cell>
          <cell r="F5303">
            <v>14485</v>
          </cell>
        </row>
        <row r="5304">
          <cell r="B5304">
            <v>44313</v>
          </cell>
          <cell r="C5304">
            <v>14493.8</v>
          </cell>
          <cell r="D5304">
            <v>14667.55</v>
          </cell>
          <cell r="E5304">
            <v>14484.85</v>
          </cell>
          <cell r="F5304">
            <v>14653.05</v>
          </cell>
        </row>
        <row r="5305">
          <cell r="B5305">
            <v>44314</v>
          </cell>
          <cell r="C5305">
            <v>14710.5</v>
          </cell>
          <cell r="D5305">
            <v>14890.25</v>
          </cell>
          <cell r="E5305">
            <v>14694.95</v>
          </cell>
          <cell r="F5305">
            <v>14864.55</v>
          </cell>
        </row>
        <row r="5306">
          <cell r="B5306">
            <v>44315</v>
          </cell>
          <cell r="C5306">
            <v>14979</v>
          </cell>
          <cell r="D5306">
            <v>15044.35</v>
          </cell>
          <cell r="E5306">
            <v>14814.45</v>
          </cell>
          <cell r="F5306">
            <v>14894.9</v>
          </cell>
        </row>
        <row r="5307">
          <cell r="B5307">
            <v>44316</v>
          </cell>
          <cell r="C5307">
            <v>14747.35</v>
          </cell>
          <cell r="D5307">
            <v>14855.45</v>
          </cell>
          <cell r="E5307">
            <v>14601.7</v>
          </cell>
          <cell r="F5307">
            <v>14631.1</v>
          </cell>
        </row>
        <row r="5308">
          <cell r="B5308">
            <v>44319</v>
          </cell>
          <cell r="C5308">
            <v>14481.05</v>
          </cell>
          <cell r="D5308">
            <v>14673.85</v>
          </cell>
          <cell r="E5308">
            <v>14416.25</v>
          </cell>
          <cell r="F5308">
            <v>14634.15</v>
          </cell>
        </row>
        <row r="5309">
          <cell r="B5309">
            <v>44320</v>
          </cell>
          <cell r="C5309">
            <v>14687.25</v>
          </cell>
          <cell r="D5309">
            <v>14723.4</v>
          </cell>
          <cell r="E5309">
            <v>14461.5</v>
          </cell>
          <cell r="F5309">
            <v>14496.5</v>
          </cell>
        </row>
        <row r="5310">
          <cell r="B5310">
            <v>44321</v>
          </cell>
          <cell r="C5310">
            <v>14604.15</v>
          </cell>
          <cell r="D5310">
            <v>14637.9</v>
          </cell>
          <cell r="E5310">
            <v>14506.6</v>
          </cell>
          <cell r="F5310">
            <v>14617.85</v>
          </cell>
        </row>
        <row r="5311">
          <cell r="B5311">
            <v>44322</v>
          </cell>
          <cell r="C5311">
            <v>14668.35</v>
          </cell>
          <cell r="D5311">
            <v>14743.9</v>
          </cell>
          <cell r="E5311">
            <v>14611.5</v>
          </cell>
          <cell r="F5311">
            <v>14724.8</v>
          </cell>
        </row>
        <row r="5312">
          <cell r="B5312">
            <v>44323</v>
          </cell>
          <cell r="C5312">
            <v>14816.85</v>
          </cell>
          <cell r="D5312">
            <v>14863.05</v>
          </cell>
          <cell r="E5312">
            <v>14765.5</v>
          </cell>
          <cell r="F5312">
            <v>14823.15</v>
          </cell>
        </row>
        <row r="5313">
          <cell r="B5313">
            <v>44326</v>
          </cell>
          <cell r="C5313">
            <v>14928.25</v>
          </cell>
          <cell r="D5313">
            <v>14966.9</v>
          </cell>
          <cell r="E5313">
            <v>14892.5</v>
          </cell>
          <cell r="F5313">
            <v>14942.35</v>
          </cell>
        </row>
        <row r="5314">
          <cell r="B5314">
            <v>44327</v>
          </cell>
          <cell r="C5314">
            <v>14789.7</v>
          </cell>
          <cell r="D5314">
            <v>14900</v>
          </cell>
          <cell r="E5314">
            <v>14771.4</v>
          </cell>
          <cell r="F5314">
            <v>14850.75</v>
          </cell>
        </row>
        <row r="5315">
          <cell r="B5315">
            <v>44328</v>
          </cell>
          <cell r="C5315">
            <v>14823.55</v>
          </cell>
          <cell r="D5315">
            <v>14824.05</v>
          </cell>
          <cell r="E5315">
            <v>14649.7</v>
          </cell>
          <cell r="F5315">
            <v>14696.5</v>
          </cell>
        </row>
        <row r="5316">
          <cell r="B5316">
            <v>44330</v>
          </cell>
          <cell r="C5316">
            <v>14749.4</v>
          </cell>
          <cell r="D5316">
            <v>14749.65</v>
          </cell>
          <cell r="E5316">
            <v>14591.9</v>
          </cell>
          <cell r="F5316">
            <v>14677.8</v>
          </cell>
        </row>
        <row r="5317">
          <cell r="B5317">
            <v>44333</v>
          </cell>
          <cell r="C5317">
            <v>14756.25</v>
          </cell>
          <cell r="D5317">
            <v>14938</v>
          </cell>
          <cell r="E5317">
            <v>14725.35</v>
          </cell>
          <cell r="F5317">
            <v>14923.15</v>
          </cell>
        </row>
        <row r="5318">
          <cell r="B5318">
            <v>44334</v>
          </cell>
          <cell r="C5318">
            <v>15067.2</v>
          </cell>
          <cell r="D5318">
            <v>15137.25</v>
          </cell>
          <cell r="E5318">
            <v>15043.7</v>
          </cell>
          <cell r="F5318">
            <v>15108.1</v>
          </cell>
        </row>
        <row r="5319">
          <cell r="B5319">
            <v>44335</v>
          </cell>
          <cell r="C5319">
            <v>15058.6</v>
          </cell>
          <cell r="D5319">
            <v>15133.4</v>
          </cell>
          <cell r="E5319">
            <v>15008.85</v>
          </cell>
          <cell r="F5319">
            <v>15030.15</v>
          </cell>
        </row>
        <row r="5320">
          <cell r="B5320">
            <v>44336</v>
          </cell>
          <cell r="C5320">
            <v>15042.6</v>
          </cell>
          <cell r="D5320">
            <v>15069.8</v>
          </cell>
          <cell r="E5320">
            <v>14884.9</v>
          </cell>
          <cell r="F5320">
            <v>14906.05</v>
          </cell>
        </row>
        <row r="5321">
          <cell r="B5321">
            <v>44337</v>
          </cell>
          <cell r="C5321">
            <v>14987.8</v>
          </cell>
          <cell r="D5321">
            <v>15190</v>
          </cell>
          <cell r="E5321">
            <v>14985.85</v>
          </cell>
          <cell r="F5321">
            <v>15175.3</v>
          </cell>
        </row>
        <row r="5322">
          <cell r="B5322">
            <v>44340</v>
          </cell>
          <cell r="C5322">
            <v>15211.35</v>
          </cell>
          <cell r="D5322">
            <v>15256.25</v>
          </cell>
          <cell r="E5322">
            <v>15145.45</v>
          </cell>
          <cell r="F5322">
            <v>15197.7</v>
          </cell>
        </row>
        <row r="5323">
          <cell r="B5323">
            <v>44341</v>
          </cell>
          <cell r="C5323">
            <v>15291.75</v>
          </cell>
          <cell r="D5323">
            <v>15293.85</v>
          </cell>
          <cell r="E5323">
            <v>15163.4</v>
          </cell>
          <cell r="F5323">
            <v>15208.45</v>
          </cell>
        </row>
        <row r="5324">
          <cell r="B5324">
            <v>44342</v>
          </cell>
          <cell r="C5324">
            <v>15257.05</v>
          </cell>
          <cell r="D5324">
            <v>15319.9</v>
          </cell>
          <cell r="E5324">
            <v>15194.95</v>
          </cell>
          <cell r="F5324">
            <v>15301.45</v>
          </cell>
        </row>
        <row r="5325">
          <cell r="B5325">
            <v>44343</v>
          </cell>
          <cell r="C5325">
            <v>15323.95</v>
          </cell>
          <cell r="D5325">
            <v>15384.55</v>
          </cell>
          <cell r="E5325">
            <v>15272.5</v>
          </cell>
          <cell r="F5325">
            <v>15337.85</v>
          </cell>
        </row>
        <row r="5326">
          <cell r="B5326">
            <v>44344</v>
          </cell>
          <cell r="C5326">
            <v>15421.2</v>
          </cell>
          <cell r="D5326">
            <v>15469.65</v>
          </cell>
          <cell r="E5326">
            <v>15394.75</v>
          </cell>
          <cell r="F5326">
            <v>15435.65</v>
          </cell>
        </row>
        <row r="5327">
          <cell r="B5327">
            <v>44347</v>
          </cell>
          <cell r="C5327">
            <v>15437.75</v>
          </cell>
          <cell r="D5327">
            <v>15606.35</v>
          </cell>
          <cell r="E5327">
            <v>15374</v>
          </cell>
          <cell r="F5327">
            <v>15582.8</v>
          </cell>
        </row>
        <row r="5328">
          <cell r="B5328">
            <v>44348</v>
          </cell>
          <cell r="C5328">
            <v>15629.65</v>
          </cell>
          <cell r="D5328">
            <v>15660.75</v>
          </cell>
          <cell r="E5328">
            <v>15528.3</v>
          </cell>
          <cell r="F5328">
            <v>15574.85</v>
          </cell>
        </row>
        <row r="5329">
          <cell r="B5329">
            <v>44349</v>
          </cell>
          <cell r="C5329">
            <v>15520.35</v>
          </cell>
          <cell r="D5329">
            <v>15597.45</v>
          </cell>
          <cell r="E5329">
            <v>15459.85</v>
          </cell>
          <cell r="F5329">
            <v>15576.2</v>
          </cell>
        </row>
        <row r="5330">
          <cell r="B5330">
            <v>44350</v>
          </cell>
          <cell r="C5330">
            <v>15655.55</v>
          </cell>
          <cell r="D5330">
            <v>15705.1</v>
          </cell>
          <cell r="E5330">
            <v>15611</v>
          </cell>
          <cell r="F5330">
            <v>15690.35</v>
          </cell>
        </row>
        <row r="5331">
          <cell r="B5331">
            <v>44351</v>
          </cell>
          <cell r="C5331">
            <v>15712.5</v>
          </cell>
          <cell r="D5331">
            <v>15733.6</v>
          </cell>
          <cell r="E5331">
            <v>15622.35</v>
          </cell>
          <cell r="F5331">
            <v>15670.25</v>
          </cell>
        </row>
        <row r="5332">
          <cell r="B5332">
            <v>44354</v>
          </cell>
          <cell r="C5332">
            <v>15725.1</v>
          </cell>
          <cell r="D5332">
            <v>15773.45</v>
          </cell>
          <cell r="E5332">
            <v>15678.1</v>
          </cell>
          <cell r="F5332">
            <v>15751.65</v>
          </cell>
        </row>
        <row r="5333">
          <cell r="B5333">
            <v>44355</v>
          </cell>
          <cell r="C5333">
            <v>15773.9</v>
          </cell>
          <cell r="D5333">
            <v>15778.8</v>
          </cell>
          <cell r="E5333">
            <v>15680</v>
          </cell>
          <cell r="F5333">
            <v>15740.1</v>
          </cell>
        </row>
        <row r="5334">
          <cell r="B5334">
            <v>44356</v>
          </cell>
          <cell r="C5334">
            <v>15766.3</v>
          </cell>
          <cell r="D5334">
            <v>15800.45</v>
          </cell>
          <cell r="E5334">
            <v>15566.9</v>
          </cell>
          <cell r="F5334">
            <v>15635.35</v>
          </cell>
        </row>
        <row r="5335">
          <cell r="B5335">
            <v>44357</v>
          </cell>
          <cell r="C5335">
            <v>15692.1</v>
          </cell>
          <cell r="D5335">
            <v>15751.25</v>
          </cell>
          <cell r="E5335">
            <v>15648.5</v>
          </cell>
          <cell r="F5335">
            <v>15737.75</v>
          </cell>
        </row>
        <row r="5336">
          <cell r="B5336">
            <v>44358</v>
          </cell>
          <cell r="C5336">
            <v>15796.45</v>
          </cell>
          <cell r="D5336">
            <v>15835.55</v>
          </cell>
          <cell r="E5336">
            <v>15749.8</v>
          </cell>
          <cell r="F5336">
            <v>15799.35</v>
          </cell>
        </row>
        <row r="5337">
          <cell r="B5337">
            <v>44361</v>
          </cell>
          <cell r="C5337">
            <v>15791.4</v>
          </cell>
          <cell r="D5337">
            <v>15823.05</v>
          </cell>
          <cell r="E5337">
            <v>15606.5</v>
          </cell>
          <cell r="F5337">
            <v>15811.85</v>
          </cell>
        </row>
        <row r="5338">
          <cell r="B5338">
            <v>44362</v>
          </cell>
          <cell r="C5338">
            <v>15866.95</v>
          </cell>
          <cell r="D5338">
            <v>15901.6</v>
          </cell>
          <cell r="E5338">
            <v>15842.4</v>
          </cell>
          <cell r="F5338">
            <v>15869.25</v>
          </cell>
        </row>
        <row r="5339">
          <cell r="B5339">
            <v>44363</v>
          </cell>
          <cell r="C5339">
            <v>15847.5</v>
          </cell>
          <cell r="D5339">
            <v>15880.85</v>
          </cell>
          <cell r="E5339">
            <v>15742.6</v>
          </cell>
          <cell r="F5339">
            <v>15767.55</v>
          </cell>
        </row>
        <row r="5340">
          <cell r="B5340">
            <v>44364</v>
          </cell>
          <cell r="C5340">
            <v>15648.3</v>
          </cell>
          <cell r="D5340">
            <v>15769.35</v>
          </cell>
          <cell r="E5340">
            <v>15616.75</v>
          </cell>
          <cell r="F5340">
            <v>15691.4</v>
          </cell>
        </row>
        <row r="5341">
          <cell r="B5341">
            <v>44365</v>
          </cell>
          <cell r="C5341">
            <v>15756.5</v>
          </cell>
          <cell r="D5341">
            <v>15761.5</v>
          </cell>
          <cell r="E5341">
            <v>15450.9</v>
          </cell>
          <cell r="F5341">
            <v>15683.35</v>
          </cell>
        </row>
        <row r="5342">
          <cell r="B5342">
            <v>44368</v>
          </cell>
          <cell r="C5342">
            <v>15525.85</v>
          </cell>
          <cell r="D5342">
            <v>15765.15</v>
          </cell>
          <cell r="E5342">
            <v>15505.65</v>
          </cell>
          <cell r="F5342">
            <v>15746.5</v>
          </cell>
        </row>
        <row r="5343">
          <cell r="B5343">
            <v>44369</v>
          </cell>
          <cell r="C5343">
            <v>15840.5</v>
          </cell>
          <cell r="D5343">
            <v>15895.75</v>
          </cell>
          <cell r="E5343">
            <v>15752.1</v>
          </cell>
          <cell r="F5343">
            <v>15772.75</v>
          </cell>
        </row>
        <row r="5344">
          <cell r="B5344">
            <v>44370</v>
          </cell>
          <cell r="C5344">
            <v>15862.8</v>
          </cell>
          <cell r="D5344">
            <v>15862.95</v>
          </cell>
          <cell r="E5344">
            <v>15673.95</v>
          </cell>
          <cell r="F5344">
            <v>15686.95</v>
          </cell>
        </row>
        <row r="5345">
          <cell r="B5345">
            <v>44371</v>
          </cell>
          <cell r="C5345">
            <v>15737.3</v>
          </cell>
          <cell r="D5345">
            <v>15821.4</v>
          </cell>
          <cell r="E5345">
            <v>15702.7</v>
          </cell>
          <cell r="F5345">
            <v>15790.45</v>
          </cell>
        </row>
        <row r="5346">
          <cell r="B5346">
            <v>44372</v>
          </cell>
          <cell r="C5346">
            <v>15839.35</v>
          </cell>
          <cell r="D5346">
            <v>15870.8</v>
          </cell>
          <cell r="E5346">
            <v>15772.3</v>
          </cell>
          <cell r="F5346">
            <v>15860.35</v>
          </cell>
        </row>
        <row r="5347">
          <cell r="B5347">
            <v>44375</v>
          </cell>
          <cell r="C5347">
            <v>15915.35</v>
          </cell>
          <cell r="D5347">
            <v>15915.65</v>
          </cell>
          <cell r="E5347">
            <v>15792.15</v>
          </cell>
          <cell r="F5347">
            <v>15814.7</v>
          </cell>
        </row>
        <row r="5348">
          <cell r="B5348">
            <v>44376</v>
          </cell>
          <cell r="C5348">
            <v>15807.5</v>
          </cell>
          <cell r="D5348">
            <v>15835.9</v>
          </cell>
          <cell r="E5348">
            <v>15724.05</v>
          </cell>
          <cell r="F5348">
            <v>15748.45</v>
          </cell>
        </row>
        <row r="5349">
          <cell r="B5349">
            <v>44377</v>
          </cell>
          <cell r="C5349">
            <v>15776.9</v>
          </cell>
          <cell r="D5349">
            <v>15839.1</v>
          </cell>
          <cell r="E5349">
            <v>15708.75</v>
          </cell>
          <cell r="F5349">
            <v>15721.5</v>
          </cell>
        </row>
        <row r="5350">
          <cell r="B5350">
            <v>44378</v>
          </cell>
          <cell r="C5350">
            <v>15755.05</v>
          </cell>
          <cell r="D5350">
            <v>15755.55</v>
          </cell>
          <cell r="E5350">
            <v>15667.05</v>
          </cell>
          <cell r="F5350">
            <v>15680</v>
          </cell>
        </row>
        <row r="5351">
          <cell r="B5351">
            <v>44379</v>
          </cell>
          <cell r="C5351">
            <v>15705.85</v>
          </cell>
          <cell r="D5351">
            <v>15738.35</v>
          </cell>
          <cell r="E5351">
            <v>15635.95</v>
          </cell>
          <cell r="F5351">
            <v>15722.2</v>
          </cell>
        </row>
        <row r="5352">
          <cell r="B5352">
            <v>44382</v>
          </cell>
          <cell r="C5352">
            <v>15793.4</v>
          </cell>
          <cell r="D5352">
            <v>15845.95</v>
          </cell>
          <cell r="E5352">
            <v>15762.05</v>
          </cell>
          <cell r="F5352">
            <v>15834.35</v>
          </cell>
        </row>
        <row r="5353">
          <cell r="B5353">
            <v>44383</v>
          </cell>
          <cell r="C5353">
            <v>15813.75</v>
          </cell>
          <cell r="D5353">
            <v>15914.2</v>
          </cell>
          <cell r="E5353">
            <v>15801</v>
          </cell>
          <cell r="F5353">
            <v>15818.25</v>
          </cell>
        </row>
        <row r="5354">
          <cell r="B5354">
            <v>44384</v>
          </cell>
          <cell r="C5354">
            <v>15819.6</v>
          </cell>
          <cell r="D5354">
            <v>15893.55</v>
          </cell>
          <cell r="E5354">
            <v>15779.7</v>
          </cell>
          <cell r="F5354">
            <v>15879.65</v>
          </cell>
        </row>
        <row r="5355">
          <cell r="B5355">
            <v>44385</v>
          </cell>
          <cell r="C5355">
            <v>15855.4</v>
          </cell>
          <cell r="D5355">
            <v>15885.75</v>
          </cell>
          <cell r="E5355">
            <v>15682.9</v>
          </cell>
          <cell r="F5355">
            <v>15727.9</v>
          </cell>
        </row>
        <row r="5356">
          <cell r="B5356">
            <v>44386</v>
          </cell>
          <cell r="C5356">
            <v>15688.25</v>
          </cell>
          <cell r="D5356">
            <v>15730.85</v>
          </cell>
          <cell r="E5356">
            <v>15632.75</v>
          </cell>
          <cell r="F5356">
            <v>15689.8</v>
          </cell>
        </row>
        <row r="5357">
          <cell r="B5357">
            <v>44389</v>
          </cell>
          <cell r="C5357">
            <v>15766.8</v>
          </cell>
          <cell r="D5357">
            <v>15789.2</v>
          </cell>
          <cell r="E5357">
            <v>15644.75</v>
          </cell>
          <cell r="F5357">
            <v>15692.6</v>
          </cell>
        </row>
        <row r="5358">
          <cell r="B5358">
            <v>44390</v>
          </cell>
          <cell r="C5358">
            <v>15794</v>
          </cell>
          <cell r="D5358">
            <v>15820.8</v>
          </cell>
          <cell r="E5358">
            <v>15744.6</v>
          </cell>
          <cell r="F5358">
            <v>15812.35</v>
          </cell>
        </row>
        <row r="5359">
          <cell r="B5359">
            <v>44391</v>
          </cell>
          <cell r="C5359">
            <v>15808.7</v>
          </cell>
          <cell r="D5359">
            <v>15877.35</v>
          </cell>
          <cell r="E5359">
            <v>15764.2</v>
          </cell>
          <cell r="F5359">
            <v>15853.95</v>
          </cell>
        </row>
        <row r="5360">
          <cell r="B5360">
            <v>44392</v>
          </cell>
          <cell r="C5360">
            <v>15872.15</v>
          </cell>
          <cell r="D5360">
            <v>15952.35</v>
          </cell>
          <cell r="E5360">
            <v>15855</v>
          </cell>
          <cell r="F5360">
            <v>15924.2</v>
          </cell>
        </row>
        <row r="5361">
          <cell r="B5361">
            <v>44393</v>
          </cell>
          <cell r="C5361">
            <v>15958.35</v>
          </cell>
          <cell r="D5361">
            <v>15962.25</v>
          </cell>
          <cell r="E5361">
            <v>15882.6</v>
          </cell>
          <cell r="F5361">
            <v>15923.4</v>
          </cell>
        </row>
        <row r="5362">
          <cell r="B5362">
            <v>44396</v>
          </cell>
          <cell r="C5362">
            <v>15754.5</v>
          </cell>
          <cell r="D5362">
            <v>15836.9</v>
          </cell>
          <cell r="E5362">
            <v>15707.5</v>
          </cell>
          <cell r="F5362">
            <v>15752.4</v>
          </cell>
        </row>
        <row r="5363">
          <cell r="B5363">
            <v>44397</v>
          </cell>
          <cell r="C5363">
            <v>15703.95</v>
          </cell>
          <cell r="D5363">
            <v>15728.45</v>
          </cell>
          <cell r="E5363">
            <v>15578.55</v>
          </cell>
          <cell r="F5363">
            <v>15632.1</v>
          </cell>
        </row>
        <row r="5364">
          <cell r="B5364">
            <v>44399</v>
          </cell>
          <cell r="C5364">
            <v>15736.6</v>
          </cell>
          <cell r="D5364">
            <v>15834.8</v>
          </cell>
          <cell r="E5364">
            <v>15726.4</v>
          </cell>
          <cell r="F5364">
            <v>15824.05</v>
          </cell>
        </row>
        <row r="5365">
          <cell r="B5365">
            <v>44400</v>
          </cell>
          <cell r="C5365">
            <v>15856.8</v>
          </cell>
          <cell r="D5365">
            <v>15899.8</v>
          </cell>
          <cell r="E5365">
            <v>15768.4</v>
          </cell>
          <cell r="F5365">
            <v>15856.05</v>
          </cell>
        </row>
        <row r="5366">
          <cell r="B5366">
            <v>44403</v>
          </cell>
          <cell r="C5366">
            <v>15849.3</v>
          </cell>
          <cell r="D5366">
            <v>15893.35</v>
          </cell>
          <cell r="E5366">
            <v>15797</v>
          </cell>
          <cell r="F5366">
            <v>15824.45</v>
          </cell>
        </row>
        <row r="5367">
          <cell r="B5367">
            <v>44404</v>
          </cell>
          <cell r="C5367">
            <v>15860.5</v>
          </cell>
          <cell r="D5367">
            <v>15881.55</v>
          </cell>
          <cell r="E5367">
            <v>15701</v>
          </cell>
          <cell r="F5367">
            <v>15746.45</v>
          </cell>
        </row>
        <row r="5368">
          <cell r="B5368">
            <v>44405</v>
          </cell>
          <cell r="C5368">
            <v>15761.55</v>
          </cell>
          <cell r="D5368">
            <v>15767.5</v>
          </cell>
          <cell r="E5368">
            <v>15513.45</v>
          </cell>
          <cell r="F5368">
            <v>15709.4</v>
          </cell>
        </row>
        <row r="5369">
          <cell r="B5369">
            <v>44406</v>
          </cell>
          <cell r="C5369">
            <v>15762.7</v>
          </cell>
          <cell r="D5369">
            <v>15817.35</v>
          </cell>
          <cell r="E5369">
            <v>15737.8</v>
          </cell>
          <cell r="F5369">
            <v>15778.45</v>
          </cell>
        </row>
        <row r="5370">
          <cell r="B5370">
            <v>44407</v>
          </cell>
          <cell r="C5370">
            <v>15800.6</v>
          </cell>
          <cell r="D5370">
            <v>15862.8</v>
          </cell>
          <cell r="E5370">
            <v>15744.85</v>
          </cell>
          <cell r="F5370">
            <v>15763.05</v>
          </cell>
        </row>
        <row r="5371">
          <cell r="B5371">
            <v>44410</v>
          </cell>
          <cell r="C5371">
            <v>15874.9</v>
          </cell>
          <cell r="D5371">
            <v>15892.9</v>
          </cell>
          <cell r="E5371">
            <v>15834.65</v>
          </cell>
          <cell r="F5371">
            <v>15885.15</v>
          </cell>
        </row>
        <row r="5372">
          <cell r="B5372">
            <v>44411</v>
          </cell>
          <cell r="C5372">
            <v>15951.55</v>
          </cell>
          <cell r="D5372">
            <v>16146.9</v>
          </cell>
          <cell r="E5372">
            <v>15914.35</v>
          </cell>
          <cell r="F5372">
            <v>16130.75</v>
          </cell>
        </row>
        <row r="5373">
          <cell r="B5373">
            <v>44412</v>
          </cell>
          <cell r="C5373">
            <v>16195.25</v>
          </cell>
          <cell r="D5373">
            <v>16290.2</v>
          </cell>
          <cell r="E5373">
            <v>16176.15</v>
          </cell>
          <cell r="F5373">
            <v>16258.8</v>
          </cell>
        </row>
        <row r="5374">
          <cell r="B5374">
            <v>44413</v>
          </cell>
          <cell r="C5374">
            <v>16288.95</v>
          </cell>
          <cell r="D5374">
            <v>16349.45</v>
          </cell>
          <cell r="E5374">
            <v>16210.3</v>
          </cell>
          <cell r="F5374">
            <v>16294.6</v>
          </cell>
        </row>
        <row r="5375">
          <cell r="B5375">
            <v>44414</v>
          </cell>
          <cell r="C5375">
            <v>16304.4</v>
          </cell>
          <cell r="D5375">
            <v>16336.75</v>
          </cell>
          <cell r="E5375">
            <v>16223.3</v>
          </cell>
          <cell r="F5375">
            <v>16238.2</v>
          </cell>
        </row>
        <row r="5376">
          <cell r="B5376">
            <v>44417</v>
          </cell>
          <cell r="C5376">
            <v>16281.35</v>
          </cell>
          <cell r="D5376">
            <v>16320.75</v>
          </cell>
          <cell r="E5376">
            <v>16179.05</v>
          </cell>
          <cell r="F5376">
            <v>16258.25</v>
          </cell>
        </row>
        <row r="5377">
          <cell r="B5377">
            <v>44418</v>
          </cell>
          <cell r="C5377">
            <v>16274.8</v>
          </cell>
          <cell r="D5377">
            <v>16359.25</v>
          </cell>
          <cell r="E5377">
            <v>16202.25</v>
          </cell>
          <cell r="F5377">
            <v>16280.1</v>
          </cell>
        </row>
        <row r="5378">
          <cell r="B5378">
            <v>44419</v>
          </cell>
          <cell r="C5378">
            <v>16327.3</v>
          </cell>
          <cell r="D5378">
            <v>16338.75</v>
          </cell>
          <cell r="E5378">
            <v>16162.55</v>
          </cell>
          <cell r="F5378">
            <v>16282.25</v>
          </cell>
        </row>
        <row r="5379">
          <cell r="B5379">
            <v>44420</v>
          </cell>
          <cell r="C5379">
            <v>16303.65</v>
          </cell>
          <cell r="D5379">
            <v>16375.5</v>
          </cell>
          <cell r="E5379">
            <v>16286.9</v>
          </cell>
          <cell r="F5379">
            <v>16364.4</v>
          </cell>
        </row>
        <row r="5380">
          <cell r="B5380">
            <v>44421</v>
          </cell>
          <cell r="C5380">
            <v>16385.7</v>
          </cell>
          <cell r="D5380">
            <v>16543.599999999999</v>
          </cell>
          <cell r="E5380">
            <v>16376.3</v>
          </cell>
          <cell r="F5380">
            <v>16529.099999999999</v>
          </cell>
        </row>
        <row r="5381">
          <cell r="B5381">
            <v>44424</v>
          </cell>
          <cell r="C5381">
            <v>16518.400000000001</v>
          </cell>
          <cell r="D5381">
            <v>16589.400000000001</v>
          </cell>
          <cell r="E5381">
            <v>16480.75</v>
          </cell>
          <cell r="F5381">
            <v>16563.05</v>
          </cell>
        </row>
        <row r="5382">
          <cell r="B5382">
            <v>44425</v>
          </cell>
          <cell r="C5382">
            <v>16545.25</v>
          </cell>
          <cell r="D5382">
            <v>16628.55</v>
          </cell>
          <cell r="E5382">
            <v>16495.400000000001</v>
          </cell>
          <cell r="F5382">
            <v>16614.599999999999</v>
          </cell>
        </row>
        <row r="5383">
          <cell r="B5383">
            <v>44426</v>
          </cell>
          <cell r="C5383">
            <v>16691.95</v>
          </cell>
          <cell r="D5383">
            <v>16701.849999999999</v>
          </cell>
          <cell r="E5383">
            <v>16535.849999999999</v>
          </cell>
          <cell r="F5383">
            <v>16568.849999999999</v>
          </cell>
        </row>
        <row r="5384">
          <cell r="B5384">
            <v>44428</v>
          </cell>
          <cell r="C5384">
            <v>16382.5</v>
          </cell>
          <cell r="D5384">
            <v>16509.55</v>
          </cell>
          <cell r="E5384">
            <v>16376.05</v>
          </cell>
          <cell r="F5384">
            <v>16450.5</v>
          </cell>
        </row>
        <row r="5385">
          <cell r="B5385">
            <v>44431</v>
          </cell>
          <cell r="C5385">
            <v>16592.25</v>
          </cell>
          <cell r="D5385">
            <v>16592.5</v>
          </cell>
          <cell r="E5385">
            <v>16395.7</v>
          </cell>
          <cell r="F5385">
            <v>16496.45</v>
          </cell>
        </row>
        <row r="5386">
          <cell r="B5386">
            <v>44432</v>
          </cell>
          <cell r="C5386">
            <v>16561.400000000001</v>
          </cell>
          <cell r="D5386">
            <v>16647.099999999999</v>
          </cell>
          <cell r="E5386">
            <v>16495.3</v>
          </cell>
          <cell r="F5386">
            <v>16624.599999999999</v>
          </cell>
        </row>
        <row r="5387">
          <cell r="B5387">
            <v>44433</v>
          </cell>
          <cell r="C5387">
            <v>16654</v>
          </cell>
          <cell r="D5387">
            <v>16712.45</v>
          </cell>
          <cell r="E5387">
            <v>16617.5</v>
          </cell>
          <cell r="F5387">
            <v>16634.650000000001</v>
          </cell>
        </row>
        <row r="5388">
          <cell r="B5388">
            <v>44434</v>
          </cell>
          <cell r="C5388">
            <v>16627.95</v>
          </cell>
          <cell r="D5388">
            <v>16683.7</v>
          </cell>
          <cell r="E5388">
            <v>16603.400000000001</v>
          </cell>
          <cell r="F5388">
            <v>16636.900000000001</v>
          </cell>
        </row>
        <row r="5389">
          <cell r="B5389">
            <v>44435</v>
          </cell>
          <cell r="C5389">
            <v>16642.55</v>
          </cell>
          <cell r="D5389">
            <v>16722.05</v>
          </cell>
          <cell r="E5389">
            <v>16565.599999999999</v>
          </cell>
          <cell r="F5389">
            <v>16705.2</v>
          </cell>
        </row>
        <row r="5390">
          <cell r="B5390">
            <v>44438</v>
          </cell>
          <cell r="C5390">
            <v>16775.849999999999</v>
          </cell>
          <cell r="D5390">
            <v>16951.5</v>
          </cell>
          <cell r="E5390">
            <v>16764.849999999999</v>
          </cell>
          <cell r="F5390">
            <v>16931.05</v>
          </cell>
        </row>
        <row r="5391">
          <cell r="B5391">
            <v>44439</v>
          </cell>
          <cell r="C5391">
            <v>16947.5</v>
          </cell>
          <cell r="D5391">
            <v>17153.5</v>
          </cell>
          <cell r="E5391">
            <v>16915.849999999999</v>
          </cell>
          <cell r="F5391">
            <v>17132.2</v>
          </cell>
        </row>
        <row r="5392">
          <cell r="B5392">
            <v>44440</v>
          </cell>
          <cell r="C5392">
            <v>17185.599999999999</v>
          </cell>
          <cell r="D5392">
            <v>17225.75</v>
          </cell>
          <cell r="E5392">
            <v>17055.05</v>
          </cell>
          <cell r="F5392">
            <v>17076.25</v>
          </cell>
        </row>
        <row r="5393">
          <cell r="B5393">
            <v>44441</v>
          </cell>
          <cell r="C5393">
            <v>17095.400000000001</v>
          </cell>
          <cell r="D5393">
            <v>17245.5</v>
          </cell>
          <cell r="E5393">
            <v>17059.7</v>
          </cell>
          <cell r="F5393">
            <v>17234.150000000001</v>
          </cell>
        </row>
        <row r="5394">
          <cell r="B5394">
            <v>44442</v>
          </cell>
          <cell r="C5394">
            <v>17262.45</v>
          </cell>
          <cell r="D5394">
            <v>17340.099999999999</v>
          </cell>
          <cell r="E5394">
            <v>17212.2</v>
          </cell>
          <cell r="F5394">
            <v>17323.599999999999</v>
          </cell>
        </row>
        <row r="5395">
          <cell r="B5395">
            <v>44445</v>
          </cell>
          <cell r="C5395">
            <v>17399.349999999999</v>
          </cell>
          <cell r="D5395">
            <v>17429.55</v>
          </cell>
          <cell r="E5395">
            <v>17345.55</v>
          </cell>
          <cell r="F5395">
            <v>17377.8</v>
          </cell>
        </row>
        <row r="5396">
          <cell r="B5396">
            <v>44446</v>
          </cell>
          <cell r="C5396">
            <v>17401.55</v>
          </cell>
          <cell r="D5396">
            <v>17436.5</v>
          </cell>
          <cell r="E5396">
            <v>17287</v>
          </cell>
          <cell r="F5396">
            <v>17362.099999999999</v>
          </cell>
        </row>
        <row r="5397">
          <cell r="B5397">
            <v>44447</v>
          </cell>
          <cell r="C5397">
            <v>17375.75</v>
          </cell>
          <cell r="D5397">
            <v>17383.400000000001</v>
          </cell>
          <cell r="E5397">
            <v>17254.2</v>
          </cell>
          <cell r="F5397">
            <v>17353.5</v>
          </cell>
        </row>
        <row r="5398">
          <cell r="B5398">
            <v>44448</v>
          </cell>
          <cell r="C5398">
            <v>17312.849999999999</v>
          </cell>
          <cell r="D5398">
            <v>17379.650000000001</v>
          </cell>
          <cell r="E5398">
            <v>17302.7</v>
          </cell>
          <cell r="F5398">
            <v>17369.25</v>
          </cell>
        </row>
        <row r="5399">
          <cell r="B5399">
            <v>44452</v>
          </cell>
          <cell r="C5399">
            <v>17363.55</v>
          </cell>
          <cell r="D5399">
            <v>17378.349999999999</v>
          </cell>
          <cell r="E5399">
            <v>17269.150000000001</v>
          </cell>
          <cell r="F5399">
            <v>17355.3</v>
          </cell>
        </row>
        <row r="5400">
          <cell r="B5400">
            <v>44453</v>
          </cell>
          <cell r="C5400">
            <v>17420.349999999999</v>
          </cell>
          <cell r="D5400">
            <v>17438.55</v>
          </cell>
          <cell r="E5400">
            <v>17367.05</v>
          </cell>
          <cell r="F5400">
            <v>17380</v>
          </cell>
        </row>
        <row r="5401">
          <cell r="B5401">
            <v>44454</v>
          </cell>
          <cell r="C5401">
            <v>17387.650000000001</v>
          </cell>
          <cell r="D5401">
            <v>17532.7</v>
          </cell>
          <cell r="E5401">
            <v>17386.900000000001</v>
          </cell>
          <cell r="F5401">
            <v>17519.45</v>
          </cell>
        </row>
        <row r="5402">
          <cell r="B5402">
            <v>44455</v>
          </cell>
          <cell r="C5402">
            <v>17539.2</v>
          </cell>
          <cell r="D5402">
            <v>17644.599999999999</v>
          </cell>
          <cell r="E5402">
            <v>17510.45</v>
          </cell>
          <cell r="F5402">
            <v>17629.5</v>
          </cell>
        </row>
        <row r="5403">
          <cell r="B5403">
            <v>44456</v>
          </cell>
          <cell r="C5403">
            <v>17709.650000000001</v>
          </cell>
          <cell r="D5403">
            <v>17792.95</v>
          </cell>
          <cell r="E5403">
            <v>17537.650000000001</v>
          </cell>
          <cell r="F5403">
            <v>17585.150000000001</v>
          </cell>
        </row>
        <row r="5404">
          <cell r="B5404">
            <v>44459</v>
          </cell>
          <cell r="C5404">
            <v>17443.849999999999</v>
          </cell>
          <cell r="D5404">
            <v>17622.75</v>
          </cell>
          <cell r="E5404">
            <v>17361.8</v>
          </cell>
          <cell r="F5404">
            <v>17396.900000000001</v>
          </cell>
        </row>
        <row r="5405">
          <cell r="B5405">
            <v>44460</v>
          </cell>
          <cell r="C5405">
            <v>17450.5</v>
          </cell>
          <cell r="D5405">
            <v>17578.349999999999</v>
          </cell>
          <cell r="E5405">
            <v>17326.099999999999</v>
          </cell>
          <cell r="F5405">
            <v>17562</v>
          </cell>
        </row>
        <row r="5406">
          <cell r="B5406">
            <v>44461</v>
          </cell>
          <cell r="C5406">
            <v>17580.900000000001</v>
          </cell>
          <cell r="D5406">
            <v>17610.45</v>
          </cell>
          <cell r="E5406">
            <v>17524</v>
          </cell>
          <cell r="F5406">
            <v>17546.650000000001</v>
          </cell>
        </row>
        <row r="5407">
          <cell r="B5407">
            <v>44462</v>
          </cell>
          <cell r="C5407">
            <v>17670.849999999999</v>
          </cell>
          <cell r="D5407">
            <v>17843.900000000001</v>
          </cell>
          <cell r="E5407">
            <v>17646.55</v>
          </cell>
          <cell r="F5407">
            <v>17822.95</v>
          </cell>
        </row>
        <row r="5408">
          <cell r="B5408">
            <v>44463</v>
          </cell>
          <cell r="C5408">
            <v>17897.45</v>
          </cell>
          <cell r="D5408">
            <v>17947.650000000001</v>
          </cell>
          <cell r="E5408">
            <v>17819.400000000001</v>
          </cell>
          <cell r="F5408">
            <v>17853.2</v>
          </cell>
        </row>
        <row r="5409">
          <cell r="B5409">
            <v>44466</v>
          </cell>
          <cell r="C5409">
            <v>17932.2</v>
          </cell>
          <cell r="D5409">
            <v>17943.5</v>
          </cell>
          <cell r="E5409">
            <v>17802.900000000001</v>
          </cell>
          <cell r="F5409">
            <v>17855.099999999999</v>
          </cell>
        </row>
        <row r="5410">
          <cell r="B5410">
            <v>44467</v>
          </cell>
          <cell r="C5410">
            <v>17906.45</v>
          </cell>
          <cell r="D5410">
            <v>17912.849999999999</v>
          </cell>
          <cell r="E5410">
            <v>17576.099999999999</v>
          </cell>
          <cell r="F5410">
            <v>17748.599999999999</v>
          </cell>
        </row>
        <row r="5411">
          <cell r="B5411">
            <v>44468</v>
          </cell>
          <cell r="C5411">
            <v>17657.95</v>
          </cell>
          <cell r="D5411">
            <v>17781.75</v>
          </cell>
          <cell r="E5411">
            <v>17608.150000000001</v>
          </cell>
          <cell r="F5411">
            <v>17711.3</v>
          </cell>
        </row>
        <row r="5412">
          <cell r="B5412">
            <v>44469</v>
          </cell>
          <cell r="C5412">
            <v>17718.900000000001</v>
          </cell>
          <cell r="D5412">
            <v>17742.150000000001</v>
          </cell>
          <cell r="E5412">
            <v>17585.349999999999</v>
          </cell>
          <cell r="F5412">
            <v>17618.150000000001</v>
          </cell>
        </row>
        <row r="5413">
          <cell r="B5413">
            <v>44470</v>
          </cell>
          <cell r="C5413">
            <v>17531.900000000001</v>
          </cell>
          <cell r="D5413">
            <v>17557.150000000001</v>
          </cell>
          <cell r="E5413">
            <v>17452.900000000001</v>
          </cell>
          <cell r="F5413">
            <v>17532.05</v>
          </cell>
        </row>
        <row r="5414">
          <cell r="B5414">
            <v>44473</v>
          </cell>
          <cell r="C5414">
            <v>17615.55</v>
          </cell>
          <cell r="D5414">
            <v>17750.900000000001</v>
          </cell>
          <cell r="E5414">
            <v>17581.349999999999</v>
          </cell>
          <cell r="F5414">
            <v>17691.25</v>
          </cell>
        </row>
        <row r="5415">
          <cell r="B5415">
            <v>44474</v>
          </cell>
          <cell r="C5415">
            <v>17661.349999999999</v>
          </cell>
          <cell r="D5415">
            <v>17833.45</v>
          </cell>
          <cell r="E5415">
            <v>17640.900000000001</v>
          </cell>
          <cell r="F5415">
            <v>17822.3</v>
          </cell>
        </row>
        <row r="5416">
          <cell r="B5416">
            <v>44475</v>
          </cell>
          <cell r="C5416">
            <v>17861.5</v>
          </cell>
          <cell r="D5416">
            <v>17884.599999999999</v>
          </cell>
          <cell r="E5416">
            <v>17613.150000000001</v>
          </cell>
          <cell r="F5416">
            <v>17646</v>
          </cell>
        </row>
        <row r="5417">
          <cell r="B5417">
            <v>44476</v>
          </cell>
          <cell r="C5417">
            <v>17810.55</v>
          </cell>
          <cell r="D5417">
            <v>17857.55</v>
          </cell>
          <cell r="E5417">
            <v>17763.8</v>
          </cell>
          <cell r="F5417">
            <v>17790.349999999999</v>
          </cell>
        </row>
        <row r="5418">
          <cell r="B5418">
            <v>44477</v>
          </cell>
          <cell r="C5418">
            <v>17886.849999999999</v>
          </cell>
          <cell r="D5418">
            <v>17941.849999999999</v>
          </cell>
          <cell r="E5418">
            <v>17840.349999999999</v>
          </cell>
          <cell r="F5418">
            <v>17895.2</v>
          </cell>
        </row>
        <row r="5419">
          <cell r="B5419">
            <v>44480</v>
          </cell>
          <cell r="C5419">
            <v>17867.55</v>
          </cell>
          <cell r="D5419">
            <v>18041.95</v>
          </cell>
          <cell r="E5419">
            <v>17839.099999999999</v>
          </cell>
          <cell r="F5419">
            <v>17945.95</v>
          </cell>
        </row>
        <row r="5420">
          <cell r="B5420">
            <v>44481</v>
          </cell>
          <cell r="C5420">
            <v>17915.8</v>
          </cell>
          <cell r="D5420">
            <v>18008.650000000001</v>
          </cell>
          <cell r="E5420">
            <v>17864.95</v>
          </cell>
          <cell r="F5420">
            <v>17991.95</v>
          </cell>
        </row>
        <row r="5421">
          <cell r="B5421">
            <v>44482</v>
          </cell>
          <cell r="C5421">
            <v>18097.849999999999</v>
          </cell>
          <cell r="D5421">
            <v>18197.8</v>
          </cell>
          <cell r="E5421">
            <v>18050.75</v>
          </cell>
          <cell r="F5421">
            <v>18161.75</v>
          </cell>
        </row>
        <row r="5422">
          <cell r="B5422">
            <v>44483</v>
          </cell>
          <cell r="C5422">
            <v>18272.849999999999</v>
          </cell>
          <cell r="D5422">
            <v>18350.75</v>
          </cell>
          <cell r="E5422">
            <v>18248.7</v>
          </cell>
          <cell r="F5422">
            <v>18338.55</v>
          </cell>
        </row>
        <row r="5423">
          <cell r="B5423">
            <v>44487</v>
          </cell>
          <cell r="C5423">
            <v>18500.099999999999</v>
          </cell>
          <cell r="D5423">
            <v>18543.150000000001</v>
          </cell>
          <cell r="E5423">
            <v>18445.3</v>
          </cell>
          <cell r="F5423">
            <v>18477.05</v>
          </cell>
        </row>
        <row r="5424">
          <cell r="B5424">
            <v>44488</v>
          </cell>
          <cell r="C5424">
            <v>18602.349999999999</v>
          </cell>
          <cell r="D5424">
            <v>18604.45</v>
          </cell>
          <cell r="E5424">
            <v>18377.7</v>
          </cell>
          <cell r="F5424">
            <v>18418.75</v>
          </cell>
        </row>
        <row r="5425">
          <cell r="B5425">
            <v>44489</v>
          </cell>
          <cell r="C5425">
            <v>18439.900000000001</v>
          </cell>
          <cell r="D5425">
            <v>18458.3</v>
          </cell>
          <cell r="E5425">
            <v>18209.349999999999</v>
          </cell>
          <cell r="F5425">
            <v>18266.599999999999</v>
          </cell>
        </row>
        <row r="5426">
          <cell r="B5426">
            <v>44490</v>
          </cell>
          <cell r="C5426">
            <v>18382.7</v>
          </cell>
          <cell r="D5426">
            <v>18384.2</v>
          </cell>
          <cell r="E5426">
            <v>18048</v>
          </cell>
          <cell r="F5426">
            <v>18178.099999999999</v>
          </cell>
        </row>
        <row r="5427">
          <cell r="B5427">
            <v>44491</v>
          </cell>
          <cell r="C5427">
            <v>18230.7</v>
          </cell>
          <cell r="D5427">
            <v>18314.25</v>
          </cell>
          <cell r="E5427">
            <v>18034.349999999999</v>
          </cell>
          <cell r="F5427">
            <v>18114.900000000001</v>
          </cell>
        </row>
        <row r="5428">
          <cell r="B5428">
            <v>44494</v>
          </cell>
          <cell r="C5428">
            <v>18229.5</v>
          </cell>
          <cell r="D5428">
            <v>18241.400000000001</v>
          </cell>
          <cell r="E5428">
            <v>17968.5</v>
          </cell>
          <cell r="F5428">
            <v>18125.400000000001</v>
          </cell>
        </row>
        <row r="5429">
          <cell r="B5429">
            <v>44495</v>
          </cell>
          <cell r="C5429">
            <v>18154.5</v>
          </cell>
          <cell r="D5429">
            <v>18310.45</v>
          </cell>
          <cell r="E5429">
            <v>18099.3</v>
          </cell>
          <cell r="F5429">
            <v>18268.400000000001</v>
          </cell>
        </row>
        <row r="5430">
          <cell r="B5430">
            <v>44496</v>
          </cell>
          <cell r="C5430">
            <v>18295.849999999999</v>
          </cell>
          <cell r="D5430">
            <v>18342.05</v>
          </cell>
          <cell r="E5430">
            <v>18167.900000000001</v>
          </cell>
          <cell r="F5430">
            <v>18210.95</v>
          </cell>
        </row>
        <row r="5431">
          <cell r="B5431">
            <v>44497</v>
          </cell>
          <cell r="C5431">
            <v>18187.650000000001</v>
          </cell>
          <cell r="D5431">
            <v>18190.7</v>
          </cell>
          <cell r="E5431">
            <v>17799.45</v>
          </cell>
          <cell r="F5431">
            <v>17857.25</v>
          </cell>
        </row>
        <row r="5432">
          <cell r="B5432">
            <v>44498</v>
          </cell>
          <cell r="C5432">
            <v>17833.05</v>
          </cell>
          <cell r="D5432">
            <v>17915.849999999999</v>
          </cell>
          <cell r="E5432">
            <v>17613.099999999999</v>
          </cell>
          <cell r="F5432">
            <v>17671.650000000001</v>
          </cell>
        </row>
        <row r="5433">
          <cell r="B5433">
            <v>44501</v>
          </cell>
          <cell r="C5433">
            <v>17783.150000000001</v>
          </cell>
          <cell r="D5433">
            <v>17954.099999999999</v>
          </cell>
          <cell r="E5433">
            <v>17697.099999999999</v>
          </cell>
          <cell r="F5433">
            <v>17929.650000000001</v>
          </cell>
        </row>
        <row r="5434">
          <cell r="B5434">
            <v>44502</v>
          </cell>
          <cell r="C5434">
            <v>17970.900000000001</v>
          </cell>
          <cell r="D5434">
            <v>18012.25</v>
          </cell>
          <cell r="E5434">
            <v>17847.599999999999</v>
          </cell>
          <cell r="F5434">
            <v>17888.95</v>
          </cell>
        </row>
        <row r="5435">
          <cell r="B5435">
            <v>44503</v>
          </cell>
          <cell r="C5435">
            <v>17947.95</v>
          </cell>
          <cell r="D5435">
            <v>17988.75</v>
          </cell>
          <cell r="E5435">
            <v>17757.95</v>
          </cell>
          <cell r="F5435">
            <v>17829.2</v>
          </cell>
        </row>
        <row r="5436">
          <cell r="B5436">
            <v>44504</v>
          </cell>
          <cell r="C5436">
            <v>17935.05</v>
          </cell>
          <cell r="D5436">
            <v>17947.55</v>
          </cell>
          <cell r="E5436">
            <v>17900.599999999999</v>
          </cell>
          <cell r="F5436">
            <v>17916.8</v>
          </cell>
        </row>
        <row r="5437">
          <cell r="B5437">
            <v>44508</v>
          </cell>
          <cell r="C5437">
            <v>18040.2</v>
          </cell>
          <cell r="D5437">
            <v>18087.8</v>
          </cell>
          <cell r="E5437">
            <v>17836.099999999999</v>
          </cell>
          <cell r="F5437">
            <v>18068.55</v>
          </cell>
        </row>
        <row r="5438">
          <cell r="B5438">
            <v>44509</v>
          </cell>
          <cell r="C5438">
            <v>18084.349999999999</v>
          </cell>
          <cell r="D5438">
            <v>18112.599999999999</v>
          </cell>
          <cell r="E5438">
            <v>17983.05</v>
          </cell>
          <cell r="F5438">
            <v>18044.25</v>
          </cell>
        </row>
        <row r="5439">
          <cell r="B5439">
            <v>44510</v>
          </cell>
          <cell r="C5439">
            <v>17973.45</v>
          </cell>
          <cell r="D5439">
            <v>18061.25</v>
          </cell>
          <cell r="E5439">
            <v>17915</v>
          </cell>
          <cell r="F5439">
            <v>18017.2</v>
          </cell>
        </row>
        <row r="5440">
          <cell r="B5440">
            <v>44511</v>
          </cell>
          <cell r="C5440">
            <v>17967.45</v>
          </cell>
          <cell r="D5440">
            <v>17971.349999999999</v>
          </cell>
          <cell r="E5440">
            <v>17798.2</v>
          </cell>
          <cell r="F5440">
            <v>17873.599999999999</v>
          </cell>
        </row>
        <row r="5441">
          <cell r="B5441">
            <v>44512</v>
          </cell>
          <cell r="C5441">
            <v>17977.599999999999</v>
          </cell>
          <cell r="D5441">
            <v>18123</v>
          </cell>
          <cell r="E5441">
            <v>17905.900000000001</v>
          </cell>
          <cell r="F5441">
            <v>18102.75</v>
          </cell>
        </row>
        <row r="5442">
          <cell r="B5442">
            <v>44515</v>
          </cell>
          <cell r="C5442">
            <v>18140.95</v>
          </cell>
          <cell r="D5442">
            <v>18210.150000000001</v>
          </cell>
          <cell r="E5442">
            <v>18071.3</v>
          </cell>
          <cell r="F5442">
            <v>18109.45</v>
          </cell>
        </row>
        <row r="5443">
          <cell r="B5443">
            <v>44516</v>
          </cell>
          <cell r="C5443">
            <v>18127.05</v>
          </cell>
          <cell r="D5443">
            <v>18132.650000000001</v>
          </cell>
          <cell r="E5443">
            <v>17958.8</v>
          </cell>
          <cell r="F5443">
            <v>17999.2</v>
          </cell>
        </row>
        <row r="5444">
          <cell r="B5444">
            <v>44517</v>
          </cell>
          <cell r="C5444">
            <v>17939.349999999999</v>
          </cell>
          <cell r="D5444">
            <v>18022.650000000001</v>
          </cell>
          <cell r="E5444">
            <v>17879.25</v>
          </cell>
          <cell r="F5444">
            <v>17898.650000000001</v>
          </cell>
        </row>
        <row r="5445">
          <cell r="B5445">
            <v>44518</v>
          </cell>
          <cell r="C5445">
            <v>17890.55</v>
          </cell>
          <cell r="D5445">
            <v>17945.599999999999</v>
          </cell>
          <cell r="E5445">
            <v>17688.5</v>
          </cell>
          <cell r="F5445">
            <v>17764.8</v>
          </cell>
        </row>
        <row r="5446">
          <cell r="B5446">
            <v>44522</v>
          </cell>
          <cell r="C5446">
            <v>17796.25</v>
          </cell>
          <cell r="D5446">
            <v>17805.25</v>
          </cell>
          <cell r="E5446">
            <v>17280.45</v>
          </cell>
          <cell r="F5446">
            <v>17416.55</v>
          </cell>
        </row>
        <row r="5447">
          <cell r="B5447">
            <v>44523</v>
          </cell>
          <cell r="C5447">
            <v>17281.75</v>
          </cell>
          <cell r="D5447">
            <v>17553.7</v>
          </cell>
          <cell r="E5447">
            <v>17216.099999999999</v>
          </cell>
          <cell r="F5447">
            <v>17503.349999999999</v>
          </cell>
        </row>
        <row r="5448">
          <cell r="B5448">
            <v>44524</v>
          </cell>
          <cell r="C5448">
            <v>17550.05</v>
          </cell>
          <cell r="D5448">
            <v>17600.599999999999</v>
          </cell>
          <cell r="E5448">
            <v>17354</v>
          </cell>
          <cell r="F5448">
            <v>17415.05</v>
          </cell>
        </row>
        <row r="5449">
          <cell r="B5449">
            <v>44525</v>
          </cell>
          <cell r="C5449">
            <v>17417.3</v>
          </cell>
          <cell r="D5449">
            <v>17564.349999999999</v>
          </cell>
          <cell r="E5449">
            <v>17351.7</v>
          </cell>
          <cell r="F5449">
            <v>17536.25</v>
          </cell>
        </row>
        <row r="5450">
          <cell r="B5450">
            <v>44526</v>
          </cell>
          <cell r="C5450">
            <v>17338.75</v>
          </cell>
          <cell r="D5450">
            <v>17355.400000000001</v>
          </cell>
          <cell r="E5450">
            <v>16985.7</v>
          </cell>
          <cell r="F5450">
            <v>17026.45</v>
          </cell>
        </row>
        <row r="5451">
          <cell r="B5451">
            <v>44529</v>
          </cell>
          <cell r="C5451">
            <v>17055.8</v>
          </cell>
          <cell r="D5451">
            <v>17160.7</v>
          </cell>
          <cell r="E5451">
            <v>16782.400000000001</v>
          </cell>
          <cell r="F5451">
            <v>17053.95</v>
          </cell>
        </row>
        <row r="5452">
          <cell r="B5452">
            <v>44530</v>
          </cell>
          <cell r="C5452">
            <v>17051.150000000001</v>
          </cell>
          <cell r="D5452">
            <v>17324.650000000001</v>
          </cell>
          <cell r="E5452">
            <v>16931.400000000001</v>
          </cell>
          <cell r="F5452">
            <v>16983.2</v>
          </cell>
        </row>
        <row r="5453">
          <cell r="B5453">
            <v>44531</v>
          </cell>
          <cell r="C5453">
            <v>17104.400000000001</v>
          </cell>
          <cell r="D5453">
            <v>17213.05</v>
          </cell>
          <cell r="E5453">
            <v>17064.25</v>
          </cell>
          <cell r="F5453">
            <v>17166.900000000001</v>
          </cell>
        </row>
        <row r="5454">
          <cell r="B5454">
            <v>44532</v>
          </cell>
          <cell r="C5454">
            <v>17183.2</v>
          </cell>
          <cell r="D5454">
            <v>17420.349999999999</v>
          </cell>
          <cell r="E5454">
            <v>17149.3</v>
          </cell>
          <cell r="F5454">
            <v>17401.650000000001</v>
          </cell>
        </row>
        <row r="5455">
          <cell r="B5455">
            <v>44533</v>
          </cell>
          <cell r="C5455">
            <v>17424.900000000001</v>
          </cell>
          <cell r="D5455">
            <v>17489.8</v>
          </cell>
          <cell r="E5455">
            <v>17180.8</v>
          </cell>
          <cell r="F5455">
            <v>17196.7</v>
          </cell>
        </row>
        <row r="5456">
          <cell r="B5456">
            <v>44536</v>
          </cell>
          <cell r="C5456">
            <v>17209.05</v>
          </cell>
          <cell r="D5456">
            <v>17216.75</v>
          </cell>
          <cell r="E5456">
            <v>16891.7</v>
          </cell>
          <cell r="F5456">
            <v>16912.25</v>
          </cell>
        </row>
        <row r="5457">
          <cell r="B5457">
            <v>44537</v>
          </cell>
          <cell r="C5457">
            <v>17044.099999999999</v>
          </cell>
          <cell r="D5457">
            <v>17251.650000000001</v>
          </cell>
          <cell r="E5457">
            <v>16987.75</v>
          </cell>
          <cell r="F5457">
            <v>17176.7</v>
          </cell>
        </row>
        <row r="5458">
          <cell r="B5458">
            <v>44538</v>
          </cell>
          <cell r="C5458">
            <v>17315.25</v>
          </cell>
          <cell r="D5458">
            <v>17484.599999999999</v>
          </cell>
          <cell r="E5458">
            <v>17308.95</v>
          </cell>
          <cell r="F5458">
            <v>17469.75</v>
          </cell>
        </row>
        <row r="5459">
          <cell r="B5459">
            <v>44539</v>
          </cell>
          <cell r="C5459">
            <v>17524.400000000001</v>
          </cell>
          <cell r="D5459">
            <v>17543.25</v>
          </cell>
          <cell r="E5459">
            <v>17379.599999999999</v>
          </cell>
          <cell r="F5459">
            <v>17516.849999999999</v>
          </cell>
        </row>
        <row r="5460">
          <cell r="B5460">
            <v>44540</v>
          </cell>
          <cell r="C5460">
            <v>17476.05</v>
          </cell>
          <cell r="D5460">
            <v>17534.349999999999</v>
          </cell>
          <cell r="E5460">
            <v>17405.25</v>
          </cell>
          <cell r="F5460">
            <v>17511.3</v>
          </cell>
        </row>
        <row r="5461">
          <cell r="B5461">
            <v>44543</v>
          </cell>
          <cell r="C5461">
            <v>17619.099999999999</v>
          </cell>
          <cell r="D5461">
            <v>17639.5</v>
          </cell>
          <cell r="E5461">
            <v>17355.95</v>
          </cell>
          <cell r="F5461">
            <v>17368.25</v>
          </cell>
        </row>
        <row r="5462">
          <cell r="B5462">
            <v>44544</v>
          </cell>
          <cell r="C5462">
            <v>17283.2</v>
          </cell>
          <cell r="D5462">
            <v>17376.2</v>
          </cell>
          <cell r="E5462">
            <v>17225.8</v>
          </cell>
          <cell r="F5462">
            <v>17324.900000000001</v>
          </cell>
        </row>
        <row r="5463">
          <cell r="B5463">
            <v>44545</v>
          </cell>
          <cell r="C5463">
            <v>17323.650000000001</v>
          </cell>
          <cell r="D5463">
            <v>17351.2</v>
          </cell>
          <cell r="E5463">
            <v>17192.2</v>
          </cell>
          <cell r="F5463">
            <v>17221.400000000001</v>
          </cell>
        </row>
        <row r="5464">
          <cell r="B5464">
            <v>44546</v>
          </cell>
          <cell r="C5464">
            <v>17373</v>
          </cell>
          <cell r="D5464">
            <v>17379.349999999999</v>
          </cell>
          <cell r="E5464">
            <v>17184.95</v>
          </cell>
          <cell r="F5464">
            <v>17248.400000000001</v>
          </cell>
        </row>
        <row r="5465">
          <cell r="B5465">
            <v>44547</v>
          </cell>
          <cell r="C5465">
            <v>17276</v>
          </cell>
          <cell r="D5465">
            <v>17298.150000000001</v>
          </cell>
          <cell r="E5465">
            <v>16966.45</v>
          </cell>
          <cell r="F5465">
            <v>16985.2</v>
          </cell>
        </row>
        <row r="5466">
          <cell r="B5466">
            <v>44550</v>
          </cell>
          <cell r="C5466">
            <v>16824.25</v>
          </cell>
          <cell r="D5466">
            <v>16840.099999999999</v>
          </cell>
          <cell r="E5466">
            <v>16410.2</v>
          </cell>
          <cell r="F5466">
            <v>16614.2</v>
          </cell>
        </row>
        <row r="5467">
          <cell r="B5467">
            <v>44551</v>
          </cell>
          <cell r="C5467">
            <v>16773.150000000001</v>
          </cell>
          <cell r="D5467">
            <v>16936.400000000001</v>
          </cell>
          <cell r="E5467">
            <v>16688.25</v>
          </cell>
          <cell r="F5467">
            <v>16770.849999999999</v>
          </cell>
        </row>
        <row r="5468">
          <cell r="B5468">
            <v>44552</v>
          </cell>
          <cell r="C5468">
            <v>16865.55</v>
          </cell>
          <cell r="D5468">
            <v>16971</v>
          </cell>
          <cell r="E5468">
            <v>16819.5</v>
          </cell>
          <cell r="F5468">
            <v>16955.45</v>
          </cell>
        </row>
        <row r="5469">
          <cell r="B5469">
            <v>44553</v>
          </cell>
          <cell r="C5469">
            <v>17066.8</v>
          </cell>
          <cell r="D5469">
            <v>17118.650000000001</v>
          </cell>
          <cell r="E5469">
            <v>17015.55</v>
          </cell>
          <cell r="F5469">
            <v>17072.599999999999</v>
          </cell>
        </row>
        <row r="5470">
          <cell r="B5470">
            <v>44554</v>
          </cell>
          <cell r="C5470">
            <v>17149.5</v>
          </cell>
          <cell r="D5470">
            <v>17155.599999999999</v>
          </cell>
          <cell r="E5470">
            <v>16909.599999999999</v>
          </cell>
          <cell r="F5470">
            <v>17003.75</v>
          </cell>
        </row>
        <row r="5471">
          <cell r="B5471">
            <v>44557</v>
          </cell>
          <cell r="C5471">
            <v>16937.75</v>
          </cell>
          <cell r="D5471">
            <v>17112.05</v>
          </cell>
          <cell r="E5471">
            <v>16833.2</v>
          </cell>
          <cell r="F5471">
            <v>17086.25</v>
          </cell>
        </row>
        <row r="5472">
          <cell r="B5472">
            <v>44558</v>
          </cell>
          <cell r="C5472">
            <v>17177.599999999999</v>
          </cell>
          <cell r="D5472">
            <v>17250.25</v>
          </cell>
          <cell r="E5472">
            <v>17161.150000000001</v>
          </cell>
          <cell r="F5472">
            <v>17233.25</v>
          </cell>
        </row>
        <row r="5473">
          <cell r="B5473">
            <v>44559</v>
          </cell>
          <cell r="C5473">
            <v>17220.099999999999</v>
          </cell>
          <cell r="D5473">
            <v>17285.95</v>
          </cell>
          <cell r="E5473">
            <v>17176.650000000001</v>
          </cell>
          <cell r="F5473">
            <v>17213.599999999999</v>
          </cell>
        </row>
        <row r="5474">
          <cell r="B5474">
            <v>44560</v>
          </cell>
          <cell r="C5474">
            <v>17201.45</v>
          </cell>
          <cell r="D5474">
            <v>17264.05</v>
          </cell>
          <cell r="E5474">
            <v>17146.349999999999</v>
          </cell>
          <cell r="F5474">
            <v>17203.95</v>
          </cell>
        </row>
        <row r="5475">
          <cell r="B5475">
            <v>44561</v>
          </cell>
          <cell r="C5475">
            <v>17244.5</v>
          </cell>
          <cell r="D5475">
            <v>17400.8</v>
          </cell>
          <cell r="E5475">
            <v>17238.5</v>
          </cell>
          <cell r="F5475">
            <v>17354.05</v>
          </cell>
        </row>
        <row r="5476">
          <cell r="B5476">
            <v>44564</v>
          </cell>
          <cell r="C5476">
            <v>17387.150000000001</v>
          </cell>
          <cell r="D5476">
            <v>17646.650000000001</v>
          </cell>
          <cell r="E5476">
            <v>17383.3</v>
          </cell>
          <cell r="F5476">
            <v>17625.7</v>
          </cell>
        </row>
        <row r="5477">
          <cell r="B5477">
            <v>44565</v>
          </cell>
          <cell r="C5477">
            <v>17681.400000000001</v>
          </cell>
          <cell r="D5477">
            <v>17827.599999999999</v>
          </cell>
          <cell r="E5477">
            <v>17593.55</v>
          </cell>
          <cell r="F5477">
            <v>17805.25</v>
          </cell>
        </row>
        <row r="5478">
          <cell r="B5478">
            <v>44566</v>
          </cell>
          <cell r="C5478">
            <v>17820.099999999999</v>
          </cell>
          <cell r="D5478">
            <v>17944.7</v>
          </cell>
          <cell r="E5478">
            <v>17748.849999999999</v>
          </cell>
          <cell r="F5478">
            <v>17925.25</v>
          </cell>
        </row>
        <row r="5479">
          <cell r="B5479">
            <v>44567</v>
          </cell>
          <cell r="C5479">
            <v>17768.5</v>
          </cell>
          <cell r="D5479">
            <v>17797.95</v>
          </cell>
          <cell r="E5479">
            <v>17655.55</v>
          </cell>
          <cell r="F5479">
            <v>17745.900000000001</v>
          </cell>
        </row>
        <row r="5480">
          <cell r="B5480">
            <v>44568</v>
          </cell>
          <cell r="C5480">
            <v>17797.599999999999</v>
          </cell>
          <cell r="D5480">
            <v>17905</v>
          </cell>
          <cell r="E5480">
            <v>17704.55</v>
          </cell>
          <cell r="F5480">
            <v>17812.7</v>
          </cell>
        </row>
        <row r="5481">
          <cell r="B5481">
            <v>44571</v>
          </cell>
          <cell r="C5481">
            <v>17913.3</v>
          </cell>
          <cell r="D5481">
            <v>18017.45</v>
          </cell>
          <cell r="E5481">
            <v>17879.150000000001</v>
          </cell>
          <cell r="F5481">
            <v>18003.3</v>
          </cell>
        </row>
        <row r="5482">
          <cell r="B5482">
            <v>44572</v>
          </cell>
          <cell r="C5482">
            <v>17997.75</v>
          </cell>
          <cell r="D5482">
            <v>18081.25</v>
          </cell>
          <cell r="E5482">
            <v>17964.400000000001</v>
          </cell>
          <cell r="F5482">
            <v>18055.75</v>
          </cell>
        </row>
        <row r="5483">
          <cell r="B5483">
            <v>44573</v>
          </cell>
          <cell r="C5483">
            <v>18170.400000000001</v>
          </cell>
          <cell r="D5483">
            <v>18227.95</v>
          </cell>
          <cell r="E5483">
            <v>18128.8</v>
          </cell>
          <cell r="F5483">
            <v>18212.349999999999</v>
          </cell>
        </row>
        <row r="5484">
          <cell r="B5484">
            <v>44574</v>
          </cell>
          <cell r="C5484">
            <v>18257</v>
          </cell>
          <cell r="D5484">
            <v>18272.25</v>
          </cell>
          <cell r="E5484">
            <v>18163.8</v>
          </cell>
          <cell r="F5484">
            <v>18257.8</v>
          </cell>
        </row>
        <row r="5485">
          <cell r="B5485">
            <v>44575</v>
          </cell>
          <cell r="C5485">
            <v>18185</v>
          </cell>
          <cell r="D5485">
            <v>18286.95</v>
          </cell>
          <cell r="E5485">
            <v>18119.650000000001</v>
          </cell>
          <cell r="F5485">
            <v>18255.75</v>
          </cell>
        </row>
        <row r="5486">
          <cell r="B5486">
            <v>44578</v>
          </cell>
          <cell r="C5486">
            <v>18235.650000000001</v>
          </cell>
          <cell r="D5486">
            <v>18321.55</v>
          </cell>
          <cell r="E5486">
            <v>18228.75</v>
          </cell>
          <cell r="F5486">
            <v>18308.099999999999</v>
          </cell>
        </row>
        <row r="5487">
          <cell r="B5487">
            <v>44579</v>
          </cell>
          <cell r="C5487">
            <v>18337.2</v>
          </cell>
          <cell r="D5487">
            <v>18350.95</v>
          </cell>
          <cell r="E5487">
            <v>18085.900000000001</v>
          </cell>
          <cell r="F5487">
            <v>18113.05</v>
          </cell>
        </row>
        <row r="5488">
          <cell r="B5488">
            <v>44580</v>
          </cell>
          <cell r="C5488">
            <v>18129.2</v>
          </cell>
          <cell r="D5488">
            <v>18129.2</v>
          </cell>
          <cell r="E5488">
            <v>17884.900000000001</v>
          </cell>
          <cell r="F5488">
            <v>17938.400000000001</v>
          </cell>
        </row>
        <row r="5489">
          <cell r="B5489">
            <v>44581</v>
          </cell>
          <cell r="C5489">
            <v>17921</v>
          </cell>
          <cell r="D5489">
            <v>17943.7</v>
          </cell>
          <cell r="E5489">
            <v>17648.45</v>
          </cell>
          <cell r="F5489">
            <v>17757</v>
          </cell>
        </row>
        <row r="5490">
          <cell r="B5490">
            <v>44582</v>
          </cell>
          <cell r="C5490">
            <v>17613.7</v>
          </cell>
          <cell r="D5490">
            <v>17707.599999999999</v>
          </cell>
          <cell r="E5490">
            <v>17485.849999999999</v>
          </cell>
          <cell r="F5490">
            <v>17617.150000000001</v>
          </cell>
        </row>
        <row r="5491">
          <cell r="B5491">
            <v>44585</v>
          </cell>
          <cell r="C5491">
            <v>17575.150000000001</v>
          </cell>
          <cell r="D5491">
            <v>17599.400000000001</v>
          </cell>
          <cell r="E5491">
            <v>16997.849999999999</v>
          </cell>
          <cell r="F5491">
            <v>17149.099999999999</v>
          </cell>
        </row>
        <row r="5492">
          <cell r="B5492">
            <v>44586</v>
          </cell>
          <cell r="C5492">
            <v>17001.55</v>
          </cell>
          <cell r="D5492">
            <v>17309.150000000001</v>
          </cell>
          <cell r="E5492">
            <v>16836.8</v>
          </cell>
          <cell r="F5492">
            <v>17277.95</v>
          </cell>
        </row>
        <row r="5493">
          <cell r="B5493">
            <v>44588</v>
          </cell>
          <cell r="C5493">
            <v>17062</v>
          </cell>
          <cell r="D5493">
            <v>17182.5</v>
          </cell>
          <cell r="E5493">
            <v>16866.75</v>
          </cell>
          <cell r="F5493">
            <v>17110.150000000001</v>
          </cell>
        </row>
        <row r="5494">
          <cell r="B5494">
            <v>44589</v>
          </cell>
          <cell r="C5494">
            <v>17208.3</v>
          </cell>
          <cell r="D5494">
            <v>17373.5</v>
          </cell>
          <cell r="E5494">
            <v>17077.099999999999</v>
          </cell>
          <cell r="F5494">
            <v>17101.95</v>
          </cell>
        </row>
        <row r="5495">
          <cell r="B5495">
            <v>44592</v>
          </cell>
          <cell r="C5495">
            <v>17301.05</v>
          </cell>
          <cell r="D5495">
            <v>17410</v>
          </cell>
          <cell r="E5495">
            <v>17264.150000000001</v>
          </cell>
          <cell r="F5495">
            <v>17339.849999999999</v>
          </cell>
        </row>
        <row r="5496">
          <cell r="B5496">
            <v>44593</v>
          </cell>
          <cell r="C5496">
            <v>17529.45</v>
          </cell>
          <cell r="D5496">
            <v>17622.400000000001</v>
          </cell>
          <cell r="E5496">
            <v>17244.55</v>
          </cell>
          <cell r="F5496">
            <v>17576.849999999999</v>
          </cell>
        </row>
        <row r="5497">
          <cell r="B5497">
            <v>44594</v>
          </cell>
          <cell r="C5497">
            <v>17706.2</v>
          </cell>
          <cell r="D5497">
            <v>17794.599999999999</v>
          </cell>
          <cell r="E5497">
            <v>17674.8</v>
          </cell>
          <cell r="F5497">
            <v>17780</v>
          </cell>
        </row>
        <row r="5498">
          <cell r="B5498">
            <v>44595</v>
          </cell>
          <cell r="C5498">
            <v>17767.75</v>
          </cell>
          <cell r="D5498">
            <v>17781.150000000001</v>
          </cell>
          <cell r="E5498">
            <v>17511.150000000001</v>
          </cell>
          <cell r="F5498">
            <v>17560.2</v>
          </cell>
        </row>
        <row r="5499">
          <cell r="B5499">
            <v>44596</v>
          </cell>
          <cell r="C5499">
            <v>17590.2</v>
          </cell>
          <cell r="D5499">
            <v>17617.8</v>
          </cell>
          <cell r="E5499">
            <v>17462.55</v>
          </cell>
          <cell r="F5499">
            <v>17516.3</v>
          </cell>
        </row>
        <row r="5500">
          <cell r="B5500">
            <v>44599</v>
          </cell>
          <cell r="C5500">
            <v>17456.3</v>
          </cell>
          <cell r="D5500">
            <v>17536.75</v>
          </cell>
          <cell r="E5500">
            <v>17119.400000000001</v>
          </cell>
          <cell r="F5500">
            <v>17213.599999999999</v>
          </cell>
        </row>
        <row r="5501">
          <cell r="B5501">
            <v>44600</v>
          </cell>
          <cell r="C5501">
            <v>17279.849999999999</v>
          </cell>
          <cell r="D5501">
            <v>17306.45</v>
          </cell>
          <cell r="E5501">
            <v>17043.650000000001</v>
          </cell>
          <cell r="F5501">
            <v>17266.75</v>
          </cell>
        </row>
        <row r="5502">
          <cell r="B5502">
            <v>44601</v>
          </cell>
          <cell r="C5502">
            <v>17370.099999999999</v>
          </cell>
          <cell r="D5502">
            <v>17477.150000000001</v>
          </cell>
          <cell r="E5502">
            <v>17339</v>
          </cell>
          <cell r="F5502">
            <v>17463.8</v>
          </cell>
        </row>
        <row r="5503">
          <cell r="B5503">
            <v>44602</v>
          </cell>
          <cell r="C5503">
            <v>17554.099999999999</v>
          </cell>
          <cell r="D5503">
            <v>17639.45</v>
          </cell>
          <cell r="E5503">
            <v>17427.150000000001</v>
          </cell>
          <cell r="F5503">
            <v>17605.849999999999</v>
          </cell>
        </row>
        <row r="5504">
          <cell r="B5504">
            <v>44603</v>
          </cell>
          <cell r="C5504">
            <v>17451</v>
          </cell>
          <cell r="D5504">
            <v>17454.75</v>
          </cell>
          <cell r="E5504">
            <v>17303</v>
          </cell>
          <cell r="F5504">
            <v>17374.75</v>
          </cell>
        </row>
        <row r="5505">
          <cell r="B5505">
            <v>44606</v>
          </cell>
          <cell r="C5505">
            <v>17076.150000000001</v>
          </cell>
          <cell r="D5505">
            <v>17099.5</v>
          </cell>
          <cell r="E5505">
            <v>16809.650000000001</v>
          </cell>
          <cell r="F5505">
            <v>16842.8</v>
          </cell>
        </row>
        <row r="5506">
          <cell r="B5506">
            <v>44607</v>
          </cell>
          <cell r="C5506">
            <v>16933.25</v>
          </cell>
          <cell r="D5506">
            <v>17375</v>
          </cell>
          <cell r="E5506">
            <v>16839.25</v>
          </cell>
          <cell r="F5506">
            <v>17352.45</v>
          </cell>
        </row>
        <row r="5507">
          <cell r="B5507">
            <v>44608</v>
          </cell>
          <cell r="C5507">
            <v>17408.45</v>
          </cell>
          <cell r="D5507">
            <v>17490.599999999999</v>
          </cell>
          <cell r="E5507">
            <v>17257.7</v>
          </cell>
          <cell r="F5507">
            <v>17322.2</v>
          </cell>
        </row>
        <row r="5508">
          <cell r="B5508">
            <v>44609</v>
          </cell>
          <cell r="C5508">
            <v>17396.55</v>
          </cell>
          <cell r="D5508">
            <v>17442.900000000001</v>
          </cell>
          <cell r="E5508">
            <v>17235.849999999999</v>
          </cell>
          <cell r="F5508">
            <v>17304.599999999999</v>
          </cell>
        </row>
        <row r="5509">
          <cell r="B5509">
            <v>44610</v>
          </cell>
          <cell r="C5509">
            <v>17236.05</v>
          </cell>
          <cell r="D5509">
            <v>17380.8</v>
          </cell>
          <cell r="E5509">
            <v>17219.2</v>
          </cell>
          <cell r="F5509">
            <v>17276.3</v>
          </cell>
        </row>
        <row r="5510">
          <cell r="B5510">
            <v>44613</v>
          </cell>
          <cell r="C5510">
            <v>17192.25</v>
          </cell>
          <cell r="D5510">
            <v>17351.05</v>
          </cell>
          <cell r="E5510">
            <v>17070.7</v>
          </cell>
          <cell r="F5510">
            <v>17206.650000000001</v>
          </cell>
        </row>
        <row r="5511">
          <cell r="B5511">
            <v>44614</v>
          </cell>
          <cell r="C5511">
            <v>16847.95</v>
          </cell>
          <cell r="D5511">
            <v>17148.55</v>
          </cell>
          <cell r="E5511">
            <v>16843.8</v>
          </cell>
          <cell r="F5511">
            <v>17092.2</v>
          </cell>
        </row>
        <row r="5512">
          <cell r="B5512">
            <v>44615</v>
          </cell>
          <cell r="C5512">
            <v>17194.5</v>
          </cell>
          <cell r="D5512">
            <v>17220.7</v>
          </cell>
          <cell r="E5512">
            <v>17027.849999999999</v>
          </cell>
          <cell r="F5512">
            <v>17063.25</v>
          </cell>
        </row>
        <row r="5513">
          <cell r="B5513">
            <v>44616</v>
          </cell>
          <cell r="C5513">
            <v>16548.900000000001</v>
          </cell>
          <cell r="D5513">
            <v>16705.25</v>
          </cell>
          <cell r="E5513">
            <v>16203.25</v>
          </cell>
          <cell r="F5513">
            <v>16247.95</v>
          </cell>
        </row>
        <row r="5514">
          <cell r="B5514">
            <v>44617</v>
          </cell>
          <cell r="C5514">
            <v>16515.650000000001</v>
          </cell>
          <cell r="D5514">
            <v>16748.8</v>
          </cell>
          <cell r="E5514">
            <v>16478.3</v>
          </cell>
          <cell r="F5514">
            <v>16658.400000000001</v>
          </cell>
        </row>
        <row r="5515">
          <cell r="B5515">
            <v>44620</v>
          </cell>
          <cell r="C5515">
            <v>16481.599999999999</v>
          </cell>
          <cell r="D5515">
            <v>16815.900000000001</v>
          </cell>
          <cell r="E5515">
            <v>16356.3</v>
          </cell>
          <cell r="F5515">
            <v>16793.900000000001</v>
          </cell>
        </row>
        <row r="5516">
          <cell r="B5516">
            <v>44622</v>
          </cell>
          <cell r="C5516">
            <v>16593.099999999999</v>
          </cell>
          <cell r="D5516">
            <v>16678.5</v>
          </cell>
          <cell r="E5516">
            <v>16478.650000000001</v>
          </cell>
          <cell r="F5516">
            <v>16605.95</v>
          </cell>
        </row>
        <row r="5517">
          <cell r="B5517">
            <v>44623</v>
          </cell>
          <cell r="C5517">
            <v>16723.2</v>
          </cell>
          <cell r="D5517">
            <v>16768.95</v>
          </cell>
          <cell r="E5517">
            <v>16442.95</v>
          </cell>
          <cell r="F5517">
            <v>16498.05</v>
          </cell>
        </row>
        <row r="5518">
          <cell r="B5518">
            <v>44624</v>
          </cell>
          <cell r="C5518">
            <v>16339.45</v>
          </cell>
          <cell r="D5518">
            <v>16456</v>
          </cell>
          <cell r="E5518">
            <v>16133.8</v>
          </cell>
          <cell r="F5518">
            <v>16245.35</v>
          </cell>
        </row>
        <row r="5519">
          <cell r="B5519">
            <v>44627</v>
          </cell>
          <cell r="C5519">
            <v>15867.95</v>
          </cell>
          <cell r="D5519">
            <v>15944.6</v>
          </cell>
          <cell r="E5519">
            <v>15711.45</v>
          </cell>
          <cell r="F5519">
            <v>15863.15</v>
          </cell>
        </row>
        <row r="5520">
          <cell r="B5520">
            <v>44628</v>
          </cell>
          <cell r="C5520">
            <v>15747.75</v>
          </cell>
          <cell r="D5520">
            <v>16028.75</v>
          </cell>
          <cell r="E5520">
            <v>15671.45</v>
          </cell>
          <cell r="F5520">
            <v>16013.45</v>
          </cell>
        </row>
        <row r="5521">
          <cell r="B5521">
            <v>44629</v>
          </cell>
          <cell r="C5521">
            <v>16078</v>
          </cell>
          <cell r="D5521">
            <v>16418.05</v>
          </cell>
          <cell r="E5521">
            <v>15990</v>
          </cell>
          <cell r="F5521">
            <v>16345.35</v>
          </cell>
        </row>
        <row r="5522">
          <cell r="B5522">
            <v>44630</v>
          </cell>
          <cell r="C5522">
            <v>16757.099999999999</v>
          </cell>
          <cell r="D5522">
            <v>16757.3</v>
          </cell>
          <cell r="E5522">
            <v>16447.900000000001</v>
          </cell>
          <cell r="F5522">
            <v>16594.900000000001</v>
          </cell>
        </row>
        <row r="5523">
          <cell r="B5523">
            <v>44631</v>
          </cell>
          <cell r="C5523">
            <v>16528.8</v>
          </cell>
          <cell r="D5523">
            <v>16694.400000000001</v>
          </cell>
          <cell r="E5523">
            <v>16470.900000000001</v>
          </cell>
          <cell r="F5523">
            <v>16630.45</v>
          </cell>
        </row>
        <row r="5524">
          <cell r="B5524">
            <v>44634</v>
          </cell>
          <cell r="C5524">
            <v>16633.7</v>
          </cell>
          <cell r="D5524">
            <v>16887.95</v>
          </cell>
          <cell r="E5524">
            <v>16606.5</v>
          </cell>
          <cell r="F5524">
            <v>16871.3</v>
          </cell>
        </row>
        <row r="5525">
          <cell r="B5525">
            <v>44635</v>
          </cell>
          <cell r="C5525">
            <v>16900.650000000001</v>
          </cell>
          <cell r="D5525">
            <v>16927.75</v>
          </cell>
          <cell r="E5525">
            <v>16555</v>
          </cell>
          <cell r="F5525">
            <v>16663</v>
          </cell>
        </row>
        <row r="5526">
          <cell r="B5526">
            <v>44636</v>
          </cell>
          <cell r="C5526">
            <v>16876.650000000001</v>
          </cell>
          <cell r="D5526">
            <v>16987.900000000001</v>
          </cell>
          <cell r="E5526">
            <v>16837.849999999999</v>
          </cell>
          <cell r="F5526">
            <v>16975.349999999999</v>
          </cell>
        </row>
        <row r="5527">
          <cell r="B5527">
            <v>44637</v>
          </cell>
          <cell r="C5527">
            <v>17202.900000000001</v>
          </cell>
          <cell r="D5527">
            <v>17344.599999999999</v>
          </cell>
          <cell r="E5527">
            <v>17175.75</v>
          </cell>
          <cell r="F5527">
            <v>17287.05</v>
          </cell>
        </row>
        <row r="5528">
          <cell r="B5528">
            <v>44641</v>
          </cell>
          <cell r="C5528">
            <v>17329.5</v>
          </cell>
          <cell r="D5528">
            <v>17353.349999999999</v>
          </cell>
          <cell r="E5528">
            <v>17096.400000000001</v>
          </cell>
          <cell r="F5528">
            <v>17117.599999999999</v>
          </cell>
        </row>
        <row r="5529">
          <cell r="B5529">
            <v>44642</v>
          </cell>
          <cell r="C5529">
            <v>17120.400000000001</v>
          </cell>
          <cell r="D5529">
            <v>17334.400000000001</v>
          </cell>
          <cell r="E5529">
            <v>17006.3</v>
          </cell>
          <cell r="F5529">
            <v>17315.5</v>
          </cell>
        </row>
        <row r="5530">
          <cell r="B5530">
            <v>44643</v>
          </cell>
          <cell r="C5530">
            <v>17405.05</v>
          </cell>
          <cell r="D5530">
            <v>17442.400000000001</v>
          </cell>
          <cell r="E5530">
            <v>17199.599999999999</v>
          </cell>
          <cell r="F5530">
            <v>17245.650000000001</v>
          </cell>
        </row>
        <row r="5531">
          <cell r="B5531">
            <v>44644</v>
          </cell>
          <cell r="C5531">
            <v>17094.95</v>
          </cell>
          <cell r="D5531">
            <v>17291.75</v>
          </cell>
          <cell r="E5531">
            <v>17091.150000000001</v>
          </cell>
          <cell r="F5531">
            <v>17222.75</v>
          </cell>
        </row>
        <row r="5532">
          <cell r="B5532">
            <v>44645</v>
          </cell>
          <cell r="C5532">
            <v>17289</v>
          </cell>
          <cell r="D5532">
            <v>17294.900000000001</v>
          </cell>
          <cell r="E5532">
            <v>17076.55</v>
          </cell>
          <cell r="F5532">
            <v>17153</v>
          </cell>
        </row>
        <row r="5533">
          <cell r="B5533">
            <v>44648</v>
          </cell>
          <cell r="C5533">
            <v>17181.849999999999</v>
          </cell>
          <cell r="D5533">
            <v>17235.099999999999</v>
          </cell>
          <cell r="E5533">
            <v>17003.900000000001</v>
          </cell>
          <cell r="F5533">
            <v>17222</v>
          </cell>
        </row>
        <row r="5534">
          <cell r="B5534">
            <v>44649</v>
          </cell>
          <cell r="C5534">
            <v>17297.2</v>
          </cell>
          <cell r="D5534">
            <v>17343.650000000001</v>
          </cell>
          <cell r="E5534">
            <v>17235.7</v>
          </cell>
          <cell r="F5534">
            <v>17325.3</v>
          </cell>
        </row>
        <row r="5535">
          <cell r="B5535">
            <v>44650</v>
          </cell>
          <cell r="C5535">
            <v>17468.150000000001</v>
          </cell>
          <cell r="D5535">
            <v>17522.5</v>
          </cell>
          <cell r="E5535">
            <v>17387.2</v>
          </cell>
          <cell r="F5535">
            <v>17498.25</v>
          </cell>
        </row>
        <row r="5536">
          <cell r="B5536">
            <v>44651</v>
          </cell>
          <cell r="C5536">
            <v>17519.2</v>
          </cell>
          <cell r="D5536">
            <v>17559.8</v>
          </cell>
          <cell r="E5536">
            <v>17435.2</v>
          </cell>
          <cell r="F5536">
            <v>17464.75</v>
          </cell>
        </row>
        <row r="5537">
          <cell r="B5537">
            <v>44652</v>
          </cell>
          <cell r="C5537">
            <v>17436.900000000001</v>
          </cell>
          <cell r="D5537">
            <v>17703.7</v>
          </cell>
          <cell r="E5537">
            <v>17422.7</v>
          </cell>
          <cell r="F5537">
            <v>17670.45</v>
          </cell>
        </row>
        <row r="5538">
          <cell r="B5538">
            <v>44655</v>
          </cell>
          <cell r="C5538">
            <v>17809.099999999999</v>
          </cell>
          <cell r="D5538">
            <v>18114.650000000001</v>
          </cell>
          <cell r="E5538">
            <v>17791.400000000001</v>
          </cell>
          <cell r="F5538">
            <v>18053.400000000001</v>
          </cell>
        </row>
        <row r="5539">
          <cell r="B5539">
            <v>44656</v>
          </cell>
          <cell r="C5539">
            <v>18080.599999999999</v>
          </cell>
          <cell r="D5539">
            <v>18095.45</v>
          </cell>
          <cell r="E5539">
            <v>17921.55</v>
          </cell>
          <cell r="F5539">
            <v>17957.400000000001</v>
          </cell>
        </row>
        <row r="5540">
          <cell r="B5540">
            <v>44657</v>
          </cell>
          <cell r="C5540">
            <v>17842.75</v>
          </cell>
          <cell r="D5540">
            <v>17901</v>
          </cell>
          <cell r="E5540">
            <v>17779.849999999999</v>
          </cell>
          <cell r="F5540">
            <v>17807.650000000001</v>
          </cell>
        </row>
        <row r="5541">
          <cell r="B5541">
            <v>44658</v>
          </cell>
          <cell r="C5541">
            <v>17723.3</v>
          </cell>
          <cell r="D5541">
            <v>17787.5</v>
          </cell>
          <cell r="E5541">
            <v>17623.7</v>
          </cell>
          <cell r="F5541">
            <v>17639.55</v>
          </cell>
        </row>
        <row r="5542">
          <cell r="B5542">
            <v>44659</v>
          </cell>
          <cell r="C5542">
            <v>17698.150000000001</v>
          </cell>
          <cell r="D5542">
            <v>17842.75</v>
          </cell>
          <cell r="E5542">
            <v>17600.55</v>
          </cell>
          <cell r="F5542">
            <v>17784.349999999999</v>
          </cell>
        </row>
        <row r="5543">
          <cell r="B5543">
            <v>44662</v>
          </cell>
          <cell r="C5543">
            <v>17740.900000000001</v>
          </cell>
          <cell r="D5543">
            <v>17779.05</v>
          </cell>
          <cell r="E5543">
            <v>17650.95</v>
          </cell>
          <cell r="F5543">
            <v>17674.95</v>
          </cell>
        </row>
        <row r="5544">
          <cell r="B5544">
            <v>44663</v>
          </cell>
          <cell r="C5544">
            <v>17584.849999999999</v>
          </cell>
          <cell r="D5544">
            <v>17595.3</v>
          </cell>
          <cell r="E5544">
            <v>17442.349999999999</v>
          </cell>
          <cell r="F5544">
            <v>17530.3</v>
          </cell>
        </row>
        <row r="5545">
          <cell r="B5545">
            <v>44664</v>
          </cell>
          <cell r="C5545">
            <v>17599.900000000001</v>
          </cell>
          <cell r="D5545">
            <v>17663.650000000001</v>
          </cell>
          <cell r="E5545">
            <v>17457.400000000001</v>
          </cell>
          <cell r="F5545">
            <v>17475.650000000001</v>
          </cell>
        </row>
        <row r="5546">
          <cell r="B5546">
            <v>44669</v>
          </cell>
          <cell r="C5546">
            <v>17183.45</v>
          </cell>
          <cell r="D5546">
            <v>17237.75</v>
          </cell>
          <cell r="E5546">
            <v>17067.849999999999</v>
          </cell>
          <cell r="F5546">
            <v>17173.650000000001</v>
          </cell>
        </row>
        <row r="5547">
          <cell r="B5547">
            <v>44670</v>
          </cell>
          <cell r="C5547">
            <v>17258.95</v>
          </cell>
          <cell r="D5547">
            <v>17275.650000000001</v>
          </cell>
          <cell r="E5547">
            <v>16824.7</v>
          </cell>
          <cell r="F5547">
            <v>16958.650000000001</v>
          </cell>
        </row>
        <row r="5548">
          <cell r="B5548">
            <v>44671</v>
          </cell>
          <cell r="C5548">
            <v>17045.25</v>
          </cell>
          <cell r="D5548">
            <v>17186.900000000001</v>
          </cell>
          <cell r="E5548">
            <v>16978.95</v>
          </cell>
          <cell r="F5548">
            <v>17136.55</v>
          </cell>
        </row>
        <row r="5549">
          <cell r="B5549">
            <v>44672</v>
          </cell>
          <cell r="C5549">
            <v>17234.599999999999</v>
          </cell>
          <cell r="D5549">
            <v>17414.7</v>
          </cell>
          <cell r="E5549">
            <v>17215.5</v>
          </cell>
          <cell r="F5549">
            <v>17392.599999999999</v>
          </cell>
        </row>
        <row r="5550">
          <cell r="B5550">
            <v>44673</v>
          </cell>
          <cell r="C5550">
            <v>17242.75</v>
          </cell>
          <cell r="D5550">
            <v>17315.3</v>
          </cell>
          <cell r="E5550">
            <v>17149.2</v>
          </cell>
          <cell r="F5550">
            <v>17171.95</v>
          </cell>
        </row>
        <row r="5551">
          <cell r="B5551">
            <v>44676</v>
          </cell>
          <cell r="C5551">
            <v>17009.05</v>
          </cell>
          <cell r="D5551">
            <v>17054.3</v>
          </cell>
          <cell r="E5551">
            <v>16888.7</v>
          </cell>
          <cell r="F5551">
            <v>16953.95</v>
          </cell>
        </row>
        <row r="5552">
          <cell r="B5552">
            <v>44677</v>
          </cell>
          <cell r="C5552">
            <v>17121.3</v>
          </cell>
          <cell r="D5552">
            <v>17223.849999999999</v>
          </cell>
          <cell r="E5552">
            <v>17064.45</v>
          </cell>
          <cell r="F5552">
            <v>17200.8</v>
          </cell>
        </row>
        <row r="5553">
          <cell r="B5553">
            <v>44678</v>
          </cell>
          <cell r="C5553">
            <v>17073.349999999999</v>
          </cell>
          <cell r="D5553">
            <v>17110.7</v>
          </cell>
          <cell r="E5553">
            <v>16958.45</v>
          </cell>
          <cell r="F5553">
            <v>17038.400000000001</v>
          </cell>
        </row>
        <row r="5554">
          <cell r="B5554">
            <v>44679</v>
          </cell>
          <cell r="C5554">
            <v>17189.5</v>
          </cell>
          <cell r="D5554">
            <v>17322.5</v>
          </cell>
          <cell r="E5554">
            <v>17071.05</v>
          </cell>
          <cell r="F5554">
            <v>17245.05</v>
          </cell>
        </row>
        <row r="5555">
          <cell r="B5555">
            <v>44680</v>
          </cell>
          <cell r="C5555">
            <v>17329.25</v>
          </cell>
          <cell r="D5555">
            <v>17377.650000000001</v>
          </cell>
          <cell r="E5555">
            <v>17053.25</v>
          </cell>
          <cell r="F5555">
            <v>17102.55</v>
          </cell>
        </row>
        <row r="5556">
          <cell r="B5556">
            <v>44683</v>
          </cell>
          <cell r="C5556">
            <v>16924.45</v>
          </cell>
          <cell r="D5556">
            <v>17092.25</v>
          </cell>
          <cell r="E5556">
            <v>16917.25</v>
          </cell>
          <cell r="F5556">
            <v>17069.099999999999</v>
          </cell>
        </row>
        <row r="5557">
          <cell r="B5557">
            <v>44685</v>
          </cell>
          <cell r="C5557">
            <v>17096.599999999999</v>
          </cell>
          <cell r="D5557">
            <v>17132.849999999999</v>
          </cell>
          <cell r="E5557">
            <v>16623.95</v>
          </cell>
          <cell r="F5557">
            <v>16677.599999999999</v>
          </cell>
        </row>
        <row r="5558">
          <cell r="B5558">
            <v>44686</v>
          </cell>
          <cell r="C5558">
            <v>16854.75</v>
          </cell>
          <cell r="D5558">
            <v>16945.7</v>
          </cell>
          <cell r="E5558">
            <v>16651.849999999999</v>
          </cell>
          <cell r="F5558">
            <v>16682.650000000001</v>
          </cell>
        </row>
        <row r="5559">
          <cell r="B5559">
            <v>44687</v>
          </cell>
          <cell r="C5559">
            <v>16415.55</v>
          </cell>
          <cell r="D5559">
            <v>16484.2</v>
          </cell>
          <cell r="E5559">
            <v>16340.9</v>
          </cell>
          <cell r="F5559">
            <v>16411.25</v>
          </cell>
        </row>
        <row r="5560">
          <cell r="B5560">
            <v>44690</v>
          </cell>
          <cell r="C5560">
            <v>16227.7</v>
          </cell>
          <cell r="D5560">
            <v>16403.7</v>
          </cell>
          <cell r="E5560">
            <v>16142.1</v>
          </cell>
          <cell r="F5560">
            <v>16301.85</v>
          </cell>
        </row>
        <row r="5561">
          <cell r="B5561">
            <v>44691</v>
          </cell>
          <cell r="C5561">
            <v>16248.9</v>
          </cell>
          <cell r="D5561">
            <v>16404.55</v>
          </cell>
          <cell r="E5561">
            <v>16197.3</v>
          </cell>
          <cell r="F5561">
            <v>16240.05</v>
          </cell>
        </row>
        <row r="5562">
          <cell r="B5562">
            <v>44692</v>
          </cell>
          <cell r="C5562">
            <v>16270.05</v>
          </cell>
          <cell r="D5562">
            <v>16318.75</v>
          </cell>
          <cell r="E5562">
            <v>15992.6</v>
          </cell>
          <cell r="F5562">
            <v>16167.1</v>
          </cell>
        </row>
        <row r="5563">
          <cell r="B5563">
            <v>44693</v>
          </cell>
          <cell r="C5563">
            <v>16021.1</v>
          </cell>
          <cell r="D5563">
            <v>16041.95</v>
          </cell>
          <cell r="E5563">
            <v>15735.75</v>
          </cell>
          <cell r="F5563">
            <v>15808</v>
          </cell>
        </row>
        <row r="5564">
          <cell r="B5564">
            <v>44694</v>
          </cell>
          <cell r="C5564">
            <v>15977</v>
          </cell>
          <cell r="D5564">
            <v>16083.6</v>
          </cell>
          <cell r="E5564">
            <v>15740.85</v>
          </cell>
          <cell r="F5564">
            <v>15782.15</v>
          </cell>
        </row>
        <row r="5565">
          <cell r="B5565">
            <v>44697</v>
          </cell>
          <cell r="C5565">
            <v>15845.1</v>
          </cell>
          <cell r="D5565">
            <v>15977.95</v>
          </cell>
          <cell r="E5565">
            <v>15739.65</v>
          </cell>
          <cell r="F5565">
            <v>15842.3</v>
          </cell>
        </row>
        <row r="5566">
          <cell r="B5566">
            <v>44698</v>
          </cell>
          <cell r="C5566">
            <v>15912.6</v>
          </cell>
          <cell r="D5566">
            <v>16284.25</v>
          </cell>
          <cell r="E5566">
            <v>15900.8</v>
          </cell>
          <cell r="F5566">
            <v>16259.3</v>
          </cell>
        </row>
        <row r="5567">
          <cell r="B5567">
            <v>44699</v>
          </cell>
          <cell r="C5567">
            <v>16318.15</v>
          </cell>
          <cell r="D5567">
            <v>16399.8</v>
          </cell>
          <cell r="E5567">
            <v>16211.2</v>
          </cell>
          <cell r="F5567">
            <v>16240.3</v>
          </cell>
        </row>
        <row r="5568">
          <cell r="B5568">
            <v>44700</v>
          </cell>
          <cell r="C5568">
            <v>15917.4</v>
          </cell>
          <cell r="D5568">
            <v>15984.75</v>
          </cell>
          <cell r="E5568">
            <v>15775.2</v>
          </cell>
          <cell r="F5568">
            <v>15809.4</v>
          </cell>
        </row>
        <row r="5569">
          <cell r="B5569">
            <v>44701</v>
          </cell>
          <cell r="C5569">
            <v>16043.8</v>
          </cell>
          <cell r="D5569">
            <v>16283.05</v>
          </cell>
          <cell r="E5569">
            <v>16003.85</v>
          </cell>
          <cell r="F5569">
            <v>16266.15</v>
          </cell>
        </row>
        <row r="5570">
          <cell r="B5570">
            <v>44704</v>
          </cell>
          <cell r="C5570">
            <v>16290.95</v>
          </cell>
          <cell r="D5570">
            <v>16414.7</v>
          </cell>
          <cell r="E5570">
            <v>16185.75</v>
          </cell>
          <cell r="F5570">
            <v>16214.7</v>
          </cell>
        </row>
        <row r="5571">
          <cell r="B5571">
            <v>44705</v>
          </cell>
          <cell r="C5571">
            <v>16225.55</v>
          </cell>
          <cell r="D5571">
            <v>16262.8</v>
          </cell>
          <cell r="E5571">
            <v>16078.6</v>
          </cell>
          <cell r="F5571">
            <v>16125.15</v>
          </cell>
        </row>
        <row r="5572">
          <cell r="B5572">
            <v>44706</v>
          </cell>
          <cell r="C5572">
            <v>16196.35</v>
          </cell>
          <cell r="D5572">
            <v>16223.35</v>
          </cell>
          <cell r="E5572">
            <v>16006.95</v>
          </cell>
          <cell r="F5572">
            <v>16025.8</v>
          </cell>
        </row>
        <row r="5573">
          <cell r="B5573">
            <v>44707</v>
          </cell>
          <cell r="C5573">
            <v>16105</v>
          </cell>
          <cell r="D5573">
            <v>16204.45</v>
          </cell>
          <cell r="E5573">
            <v>15903.7</v>
          </cell>
          <cell r="F5573">
            <v>16170.15</v>
          </cell>
        </row>
        <row r="5574">
          <cell r="B5574">
            <v>44708</v>
          </cell>
          <cell r="C5574">
            <v>16296.6</v>
          </cell>
          <cell r="D5574">
            <v>16370.6</v>
          </cell>
          <cell r="E5574">
            <v>16221.95</v>
          </cell>
          <cell r="F5574">
            <v>16352.45</v>
          </cell>
        </row>
        <row r="5575">
          <cell r="B5575">
            <v>44711</v>
          </cell>
          <cell r="C5575">
            <v>16527.900000000001</v>
          </cell>
          <cell r="D5575">
            <v>16695.5</v>
          </cell>
          <cell r="E5575">
            <v>16506.150000000001</v>
          </cell>
          <cell r="F5575">
            <v>16661.400000000001</v>
          </cell>
        </row>
        <row r="5576">
          <cell r="B5576">
            <v>44712</v>
          </cell>
          <cell r="C5576">
            <v>16578.45</v>
          </cell>
          <cell r="D5576">
            <v>16690.75</v>
          </cell>
          <cell r="E5576">
            <v>16521.900000000001</v>
          </cell>
          <cell r="F5576">
            <v>16584.55</v>
          </cell>
        </row>
        <row r="5577">
          <cell r="B5577">
            <v>44713</v>
          </cell>
          <cell r="C5577">
            <v>16594.400000000001</v>
          </cell>
          <cell r="D5577">
            <v>16649.2</v>
          </cell>
          <cell r="E5577">
            <v>16438.849999999999</v>
          </cell>
          <cell r="F5577">
            <v>16522.75</v>
          </cell>
        </row>
        <row r="5578">
          <cell r="B5578">
            <v>44714</v>
          </cell>
          <cell r="C5578">
            <v>16481.650000000001</v>
          </cell>
          <cell r="D5578">
            <v>16646.400000000001</v>
          </cell>
          <cell r="E5578">
            <v>16443.05</v>
          </cell>
          <cell r="F5578">
            <v>16628</v>
          </cell>
        </row>
        <row r="5579">
          <cell r="B5579">
            <v>44715</v>
          </cell>
          <cell r="C5579">
            <v>16761.650000000001</v>
          </cell>
          <cell r="D5579">
            <v>16793.849999999999</v>
          </cell>
          <cell r="E5579">
            <v>16567.900000000001</v>
          </cell>
          <cell r="F5579">
            <v>16584.3</v>
          </cell>
        </row>
        <row r="5580">
          <cell r="B5580">
            <v>44718</v>
          </cell>
          <cell r="C5580">
            <v>16530.7</v>
          </cell>
          <cell r="D5580">
            <v>16610.95</v>
          </cell>
          <cell r="E5580">
            <v>16444.55</v>
          </cell>
          <cell r="F5580">
            <v>16569.55</v>
          </cell>
        </row>
        <row r="5581">
          <cell r="B5581">
            <v>44719</v>
          </cell>
          <cell r="C5581">
            <v>16469.599999999999</v>
          </cell>
          <cell r="D5581">
            <v>16487.25</v>
          </cell>
          <cell r="E5581">
            <v>16347.1</v>
          </cell>
          <cell r="F5581">
            <v>16416.349999999999</v>
          </cell>
        </row>
        <row r="5582">
          <cell r="B5582">
            <v>44720</v>
          </cell>
          <cell r="C5582">
            <v>16474.95</v>
          </cell>
          <cell r="D5582">
            <v>16514.3</v>
          </cell>
          <cell r="E5582">
            <v>16293.35</v>
          </cell>
          <cell r="F5582">
            <v>16356.25</v>
          </cell>
        </row>
        <row r="5583">
          <cell r="B5583">
            <v>44721</v>
          </cell>
          <cell r="C5583">
            <v>16263.85</v>
          </cell>
          <cell r="D5583">
            <v>16492.8</v>
          </cell>
          <cell r="E5583">
            <v>16243.85</v>
          </cell>
          <cell r="F5583">
            <v>16478.099999999999</v>
          </cell>
        </row>
        <row r="5584">
          <cell r="B5584">
            <v>44722</v>
          </cell>
          <cell r="C5584">
            <v>16283.95</v>
          </cell>
          <cell r="D5584">
            <v>16324.7</v>
          </cell>
          <cell r="E5584">
            <v>16172.6</v>
          </cell>
          <cell r="F5584">
            <v>16201.8</v>
          </cell>
        </row>
        <row r="5585">
          <cell r="B5585">
            <v>44725</v>
          </cell>
          <cell r="C5585">
            <v>15877.55</v>
          </cell>
          <cell r="D5585">
            <v>15886.15</v>
          </cell>
          <cell r="E5585">
            <v>15684</v>
          </cell>
          <cell r="F5585">
            <v>15774.4</v>
          </cell>
        </row>
        <row r="5586">
          <cell r="B5586">
            <v>44726</v>
          </cell>
          <cell r="C5586">
            <v>15674.25</v>
          </cell>
          <cell r="D5586">
            <v>15858</v>
          </cell>
          <cell r="E5586">
            <v>15659.45</v>
          </cell>
          <cell r="F5586">
            <v>15732.1</v>
          </cell>
        </row>
        <row r="5587">
          <cell r="B5587">
            <v>44727</v>
          </cell>
          <cell r="C5587">
            <v>15729.25</v>
          </cell>
          <cell r="D5587">
            <v>15783.65</v>
          </cell>
          <cell r="E5587">
            <v>15678.9</v>
          </cell>
          <cell r="F5587">
            <v>15692.15</v>
          </cell>
        </row>
        <row r="5588">
          <cell r="B5588">
            <v>44728</v>
          </cell>
          <cell r="C5588">
            <v>15832.25</v>
          </cell>
          <cell r="D5588">
            <v>15863.15</v>
          </cell>
          <cell r="E5588">
            <v>15335.1</v>
          </cell>
          <cell r="F5588">
            <v>15360.6</v>
          </cell>
        </row>
        <row r="5589">
          <cell r="B5589">
            <v>44729</v>
          </cell>
          <cell r="C5589">
            <v>15272.65</v>
          </cell>
          <cell r="D5589">
            <v>15400.4</v>
          </cell>
          <cell r="E5589">
            <v>15183.4</v>
          </cell>
          <cell r="F5589">
            <v>15293.5</v>
          </cell>
        </row>
        <row r="5590">
          <cell r="B5590">
            <v>44732</v>
          </cell>
          <cell r="C5590">
            <v>15334.5</v>
          </cell>
          <cell r="D5590">
            <v>15382.5</v>
          </cell>
          <cell r="E5590">
            <v>15191.1</v>
          </cell>
          <cell r="F5590">
            <v>15350.15</v>
          </cell>
        </row>
        <row r="5591">
          <cell r="B5591">
            <v>44733</v>
          </cell>
          <cell r="C5591">
            <v>15455.95</v>
          </cell>
          <cell r="D5591">
            <v>15707.25</v>
          </cell>
          <cell r="E5591">
            <v>15419.85</v>
          </cell>
          <cell r="F5591">
            <v>15638.8</v>
          </cell>
        </row>
        <row r="5592">
          <cell r="B5592">
            <v>44734</v>
          </cell>
          <cell r="C5592">
            <v>15545.65</v>
          </cell>
          <cell r="D5592">
            <v>15565.4</v>
          </cell>
          <cell r="E5592">
            <v>15385.95</v>
          </cell>
          <cell r="F5592">
            <v>15413.3</v>
          </cell>
        </row>
        <row r="5593">
          <cell r="B5593">
            <v>44735</v>
          </cell>
          <cell r="C5593">
            <v>15451.55</v>
          </cell>
          <cell r="D5593">
            <v>15628.45</v>
          </cell>
          <cell r="E5593">
            <v>15367.5</v>
          </cell>
          <cell r="F5593">
            <v>15556.65</v>
          </cell>
        </row>
        <row r="5594">
          <cell r="B5594">
            <v>44736</v>
          </cell>
          <cell r="C5594">
            <v>15657.4</v>
          </cell>
          <cell r="D5594">
            <v>15749.25</v>
          </cell>
          <cell r="E5594">
            <v>15619.45</v>
          </cell>
          <cell r="F5594">
            <v>15699.25</v>
          </cell>
        </row>
        <row r="5595">
          <cell r="B5595">
            <v>44739</v>
          </cell>
          <cell r="C5595">
            <v>15926.2</v>
          </cell>
          <cell r="D5595">
            <v>15927.45</v>
          </cell>
          <cell r="E5595">
            <v>15815.5</v>
          </cell>
          <cell r="F5595">
            <v>15832.05</v>
          </cell>
        </row>
        <row r="5596">
          <cell r="B5596">
            <v>44740</v>
          </cell>
          <cell r="C5596">
            <v>15757.45</v>
          </cell>
          <cell r="D5596">
            <v>15892.1</v>
          </cell>
          <cell r="E5596">
            <v>15710.15</v>
          </cell>
          <cell r="F5596">
            <v>15850.2</v>
          </cell>
        </row>
        <row r="5597">
          <cell r="B5597">
            <v>44741</v>
          </cell>
          <cell r="C5597">
            <v>15701.7</v>
          </cell>
          <cell r="D5597">
            <v>15861.6</v>
          </cell>
          <cell r="E5597">
            <v>15687.8</v>
          </cell>
          <cell r="F5597">
            <v>15799.1</v>
          </cell>
        </row>
        <row r="5598">
          <cell r="B5598">
            <v>44742</v>
          </cell>
          <cell r="C5598">
            <v>15774.5</v>
          </cell>
          <cell r="D5598">
            <v>15890</v>
          </cell>
          <cell r="E5598">
            <v>15728.85</v>
          </cell>
          <cell r="F5598">
            <v>15780.25</v>
          </cell>
        </row>
        <row r="5599">
          <cell r="B5599">
            <v>44743</v>
          </cell>
          <cell r="C5599">
            <v>15703.7</v>
          </cell>
          <cell r="D5599">
            <v>15793.95</v>
          </cell>
          <cell r="E5599">
            <v>15511.05</v>
          </cell>
          <cell r="F5599">
            <v>15752.05</v>
          </cell>
        </row>
        <row r="5600">
          <cell r="B5600">
            <v>44746</v>
          </cell>
          <cell r="C5600">
            <v>15710.5</v>
          </cell>
          <cell r="D5600">
            <v>15852.35</v>
          </cell>
          <cell r="E5600">
            <v>15661.8</v>
          </cell>
          <cell r="F5600">
            <v>15835.35</v>
          </cell>
        </row>
        <row r="5601">
          <cell r="B5601">
            <v>44747</v>
          </cell>
          <cell r="C5601">
            <v>15909.15</v>
          </cell>
          <cell r="D5601">
            <v>16025.75</v>
          </cell>
          <cell r="E5601">
            <v>15785.45</v>
          </cell>
          <cell r="F5601">
            <v>15810.85</v>
          </cell>
        </row>
        <row r="5602">
          <cell r="B5602">
            <v>44748</v>
          </cell>
          <cell r="C5602">
            <v>15818.2</v>
          </cell>
          <cell r="D5602">
            <v>16011.35</v>
          </cell>
          <cell r="E5602">
            <v>15800.9</v>
          </cell>
          <cell r="F5602">
            <v>15989.8</v>
          </cell>
        </row>
        <row r="5603">
          <cell r="B5603">
            <v>44749</v>
          </cell>
          <cell r="C5603">
            <v>16113.75</v>
          </cell>
          <cell r="D5603">
            <v>16150.5</v>
          </cell>
          <cell r="E5603">
            <v>16045.95</v>
          </cell>
          <cell r="F5603">
            <v>16132.9</v>
          </cell>
        </row>
        <row r="5604">
          <cell r="B5604">
            <v>44750</v>
          </cell>
          <cell r="C5604">
            <v>16273.65</v>
          </cell>
          <cell r="D5604">
            <v>16275.5</v>
          </cell>
          <cell r="E5604">
            <v>16157.9</v>
          </cell>
          <cell r="F5604">
            <v>16220.6</v>
          </cell>
        </row>
        <row r="5605">
          <cell r="B5605">
            <v>44753</v>
          </cell>
          <cell r="C5605">
            <v>16136.15</v>
          </cell>
          <cell r="D5605">
            <v>16248.55</v>
          </cell>
          <cell r="E5605">
            <v>16115.5</v>
          </cell>
          <cell r="F5605">
            <v>16216</v>
          </cell>
        </row>
        <row r="5606">
          <cell r="B5606">
            <v>44754</v>
          </cell>
          <cell r="C5606">
            <v>16126.2</v>
          </cell>
          <cell r="D5606">
            <v>16158.75</v>
          </cell>
          <cell r="E5606">
            <v>16031.15</v>
          </cell>
          <cell r="F5606">
            <v>16058.3</v>
          </cell>
        </row>
        <row r="5607">
          <cell r="B5607">
            <v>44755</v>
          </cell>
          <cell r="C5607">
            <v>16128.2</v>
          </cell>
          <cell r="D5607">
            <v>16140</v>
          </cell>
          <cell r="E5607">
            <v>15950.15</v>
          </cell>
          <cell r="F5607">
            <v>15966.65</v>
          </cell>
        </row>
        <row r="5608">
          <cell r="B5608">
            <v>44756</v>
          </cell>
          <cell r="C5608">
            <v>16018.85</v>
          </cell>
          <cell r="D5608">
            <v>16070.85</v>
          </cell>
          <cell r="E5608">
            <v>15858.2</v>
          </cell>
          <cell r="F5608">
            <v>15938.65</v>
          </cell>
        </row>
        <row r="5609">
          <cell r="B5609">
            <v>44757</v>
          </cell>
          <cell r="C5609">
            <v>16010.8</v>
          </cell>
          <cell r="D5609">
            <v>16066.95</v>
          </cell>
          <cell r="E5609">
            <v>15927.3</v>
          </cell>
          <cell r="F5609">
            <v>16049.2</v>
          </cell>
        </row>
        <row r="5610">
          <cell r="B5610">
            <v>44760</v>
          </cell>
          <cell r="C5610">
            <v>16151.4</v>
          </cell>
          <cell r="D5610">
            <v>16287.95</v>
          </cell>
          <cell r="E5610">
            <v>16142.2</v>
          </cell>
          <cell r="F5610">
            <v>16278.5</v>
          </cell>
        </row>
        <row r="5611">
          <cell r="B5611">
            <v>44761</v>
          </cell>
          <cell r="C5611">
            <v>16187.05</v>
          </cell>
          <cell r="D5611">
            <v>16359.5</v>
          </cell>
          <cell r="E5611">
            <v>16187.05</v>
          </cell>
          <cell r="F5611">
            <v>16340.55</v>
          </cell>
        </row>
        <row r="5612">
          <cell r="B5612">
            <v>44762</v>
          </cell>
          <cell r="C5612">
            <v>16562.8</v>
          </cell>
          <cell r="D5612">
            <v>16588</v>
          </cell>
          <cell r="E5612">
            <v>16490.95</v>
          </cell>
          <cell r="F5612">
            <v>16520.849999999999</v>
          </cell>
        </row>
        <row r="5613">
          <cell r="B5613">
            <v>44763</v>
          </cell>
          <cell r="C5613">
            <v>16523.55</v>
          </cell>
          <cell r="D5613">
            <v>16626.95</v>
          </cell>
          <cell r="E5613">
            <v>16483.900000000001</v>
          </cell>
          <cell r="F5613">
            <v>16605.25</v>
          </cell>
        </row>
        <row r="5614">
          <cell r="B5614">
            <v>44764</v>
          </cell>
          <cell r="C5614">
            <v>16661.25</v>
          </cell>
          <cell r="D5614">
            <v>16752.25</v>
          </cell>
          <cell r="E5614">
            <v>16610.900000000001</v>
          </cell>
          <cell r="F5614">
            <v>16719.45</v>
          </cell>
        </row>
        <row r="5615">
          <cell r="B5615">
            <v>44767</v>
          </cell>
          <cell r="C5615">
            <v>16662.55</v>
          </cell>
          <cell r="D5615">
            <v>16706.05</v>
          </cell>
          <cell r="E5615">
            <v>16564.25</v>
          </cell>
          <cell r="F5615">
            <v>16631</v>
          </cell>
        </row>
        <row r="5616">
          <cell r="B5616">
            <v>44768</v>
          </cell>
          <cell r="C5616">
            <v>16632.900000000001</v>
          </cell>
          <cell r="D5616">
            <v>16636.099999999999</v>
          </cell>
          <cell r="E5616">
            <v>16463.3</v>
          </cell>
          <cell r="F5616">
            <v>16483.849999999999</v>
          </cell>
        </row>
        <row r="5617">
          <cell r="B5617">
            <v>44769</v>
          </cell>
          <cell r="C5617">
            <v>16475.349999999999</v>
          </cell>
          <cell r="D5617">
            <v>16653.45</v>
          </cell>
          <cell r="E5617">
            <v>16438.75</v>
          </cell>
          <cell r="F5617">
            <v>16641.8</v>
          </cell>
        </row>
        <row r="5618">
          <cell r="B5618">
            <v>44770</v>
          </cell>
          <cell r="C5618">
            <v>16774.849999999999</v>
          </cell>
          <cell r="D5618">
            <v>16947.650000000001</v>
          </cell>
          <cell r="E5618">
            <v>16746.25</v>
          </cell>
          <cell r="F5618">
            <v>16929.599999999999</v>
          </cell>
        </row>
        <row r="5619">
          <cell r="B5619">
            <v>44771</v>
          </cell>
          <cell r="C5619">
            <v>17079.5</v>
          </cell>
          <cell r="D5619">
            <v>17172.8</v>
          </cell>
          <cell r="E5619">
            <v>17018.150000000001</v>
          </cell>
          <cell r="F5619">
            <v>17158.25</v>
          </cell>
        </row>
        <row r="5620">
          <cell r="B5620">
            <v>44774</v>
          </cell>
          <cell r="C5620">
            <v>17243.2</v>
          </cell>
          <cell r="D5620">
            <v>17356.25</v>
          </cell>
          <cell r="E5620">
            <v>17154.8</v>
          </cell>
          <cell r="F5620">
            <v>17340.05</v>
          </cell>
        </row>
        <row r="5621">
          <cell r="B5621">
            <v>44775</v>
          </cell>
          <cell r="C5621">
            <v>17310.150000000001</v>
          </cell>
          <cell r="D5621">
            <v>17390.150000000001</v>
          </cell>
          <cell r="E5621">
            <v>17215.849999999999</v>
          </cell>
          <cell r="F5621">
            <v>17345.45</v>
          </cell>
        </row>
        <row r="5622">
          <cell r="B5622">
            <v>44776</v>
          </cell>
          <cell r="C5622">
            <v>17349.25</v>
          </cell>
          <cell r="D5622">
            <v>17407.5</v>
          </cell>
          <cell r="E5622">
            <v>17225.849999999999</v>
          </cell>
          <cell r="F5622">
            <v>17388.150000000001</v>
          </cell>
        </row>
        <row r="5623">
          <cell r="B5623">
            <v>44777</v>
          </cell>
          <cell r="C5623">
            <v>17463.099999999999</v>
          </cell>
          <cell r="D5623">
            <v>17490.7</v>
          </cell>
          <cell r="E5623">
            <v>17161.25</v>
          </cell>
          <cell r="F5623">
            <v>17382</v>
          </cell>
        </row>
        <row r="5624">
          <cell r="B5624">
            <v>44778</v>
          </cell>
          <cell r="C5624">
            <v>17423.650000000001</v>
          </cell>
          <cell r="D5624">
            <v>17474.400000000001</v>
          </cell>
          <cell r="E5624">
            <v>17348.75</v>
          </cell>
          <cell r="F5624">
            <v>17397.5</v>
          </cell>
        </row>
        <row r="5625">
          <cell r="B5625">
            <v>44781</v>
          </cell>
          <cell r="C5625">
            <v>17401.5</v>
          </cell>
          <cell r="D5625">
            <v>17548.8</v>
          </cell>
          <cell r="E5625">
            <v>17359.75</v>
          </cell>
          <cell r="F5625">
            <v>17525.099999999999</v>
          </cell>
        </row>
        <row r="5626">
          <cell r="B5626">
            <v>44783</v>
          </cell>
          <cell r="C5626">
            <v>17566.099999999999</v>
          </cell>
          <cell r="D5626">
            <v>17566.099999999999</v>
          </cell>
          <cell r="E5626">
            <v>17442.8</v>
          </cell>
          <cell r="F5626">
            <v>17534.75</v>
          </cell>
        </row>
        <row r="5627">
          <cell r="B5627">
            <v>44784</v>
          </cell>
          <cell r="C5627">
            <v>17711.650000000001</v>
          </cell>
          <cell r="D5627">
            <v>17719.3</v>
          </cell>
          <cell r="E5627">
            <v>17631.95</v>
          </cell>
          <cell r="F5627">
            <v>17659</v>
          </cell>
        </row>
        <row r="5628">
          <cell r="B5628">
            <v>44785</v>
          </cell>
          <cell r="C5628">
            <v>17659.650000000001</v>
          </cell>
          <cell r="D5628">
            <v>17724.650000000001</v>
          </cell>
          <cell r="E5628">
            <v>17597.849999999999</v>
          </cell>
          <cell r="F5628">
            <v>17698.150000000001</v>
          </cell>
        </row>
        <row r="5629">
          <cell r="B5629">
            <v>44789</v>
          </cell>
          <cell r="C5629">
            <v>17797.2</v>
          </cell>
          <cell r="D5629">
            <v>17839.099999999999</v>
          </cell>
          <cell r="E5629">
            <v>17764.05</v>
          </cell>
          <cell r="F5629">
            <v>17825.25</v>
          </cell>
        </row>
        <row r="5630">
          <cell r="B5630">
            <v>44790</v>
          </cell>
          <cell r="C5630">
            <v>17868.150000000001</v>
          </cell>
          <cell r="D5630">
            <v>17965.95</v>
          </cell>
          <cell r="E5630">
            <v>17833.349999999999</v>
          </cell>
          <cell r="F5630">
            <v>17944.25</v>
          </cell>
        </row>
        <row r="5631">
          <cell r="B5631">
            <v>44791</v>
          </cell>
          <cell r="C5631">
            <v>17898.650000000001</v>
          </cell>
          <cell r="D5631">
            <v>17968.45</v>
          </cell>
          <cell r="E5631">
            <v>17852.05</v>
          </cell>
          <cell r="F5631">
            <v>17956.5</v>
          </cell>
        </row>
        <row r="5632">
          <cell r="B5632">
            <v>44792</v>
          </cell>
          <cell r="C5632">
            <v>17966.55</v>
          </cell>
          <cell r="D5632">
            <v>17992.2</v>
          </cell>
          <cell r="E5632">
            <v>17710.75</v>
          </cell>
          <cell r="F5632">
            <v>17758.45</v>
          </cell>
        </row>
        <row r="5633">
          <cell r="B5633">
            <v>44795</v>
          </cell>
          <cell r="C5633">
            <v>17682.900000000001</v>
          </cell>
          <cell r="D5633">
            <v>17690.05</v>
          </cell>
          <cell r="E5633">
            <v>17467.349999999999</v>
          </cell>
          <cell r="F5633">
            <v>17490.7</v>
          </cell>
        </row>
        <row r="5634">
          <cell r="B5634">
            <v>44796</v>
          </cell>
          <cell r="C5634">
            <v>17357.349999999999</v>
          </cell>
          <cell r="D5634">
            <v>17625.55</v>
          </cell>
          <cell r="E5634">
            <v>17345.2</v>
          </cell>
          <cell r="F5634">
            <v>17577.5</v>
          </cell>
        </row>
        <row r="5635">
          <cell r="B5635">
            <v>44797</v>
          </cell>
          <cell r="C5635">
            <v>17525.45</v>
          </cell>
          <cell r="D5635">
            <v>17623.650000000001</v>
          </cell>
          <cell r="E5635">
            <v>17499.25</v>
          </cell>
          <cell r="F5635">
            <v>17604.95</v>
          </cell>
        </row>
        <row r="5636">
          <cell r="B5636">
            <v>44798</v>
          </cell>
          <cell r="C5636">
            <v>17679</v>
          </cell>
          <cell r="D5636">
            <v>17726.5</v>
          </cell>
          <cell r="E5636">
            <v>17487.45</v>
          </cell>
          <cell r="F5636">
            <v>17522.45</v>
          </cell>
        </row>
        <row r="5637">
          <cell r="B5637">
            <v>44799</v>
          </cell>
          <cell r="C5637">
            <v>17619.3</v>
          </cell>
          <cell r="D5637">
            <v>17685.849999999999</v>
          </cell>
          <cell r="E5637">
            <v>17519.349999999999</v>
          </cell>
          <cell r="F5637">
            <v>17558.900000000001</v>
          </cell>
        </row>
        <row r="5638">
          <cell r="B5638">
            <v>44802</v>
          </cell>
          <cell r="C5638">
            <v>17188.650000000001</v>
          </cell>
          <cell r="D5638">
            <v>17380.150000000001</v>
          </cell>
          <cell r="E5638">
            <v>17166.2</v>
          </cell>
          <cell r="F5638">
            <v>17312.900000000001</v>
          </cell>
        </row>
        <row r="5639">
          <cell r="B5639">
            <v>44803</v>
          </cell>
          <cell r="C5639">
            <v>17414.95</v>
          </cell>
          <cell r="D5639">
            <v>17777.650000000001</v>
          </cell>
          <cell r="E5639">
            <v>17401.5</v>
          </cell>
          <cell r="F5639">
            <v>17759.3</v>
          </cell>
        </row>
        <row r="5640">
          <cell r="B5640">
            <v>44805</v>
          </cell>
          <cell r="C5640">
            <v>17485.7</v>
          </cell>
          <cell r="D5640">
            <v>17695.599999999999</v>
          </cell>
          <cell r="E5640">
            <v>17468.45</v>
          </cell>
          <cell r="F5640">
            <v>17542.8</v>
          </cell>
        </row>
        <row r="5641">
          <cell r="B5641">
            <v>44806</v>
          </cell>
          <cell r="C5641">
            <v>17598.400000000001</v>
          </cell>
          <cell r="D5641">
            <v>17643.849999999999</v>
          </cell>
          <cell r="E5641">
            <v>17476.45</v>
          </cell>
          <cell r="F5641">
            <v>17539.45</v>
          </cell>
        </row>
        <row r="5642">
          <cell r="B5642">
            <v>44809</v>
          </cell>
          <cell r="C5642">
            <v>17546.45</v>
          </cell>
          <cell r="D5642">
            <v>17683.150000000001</v>
          </cell>
          <cell r="E5642">
            <v>17540.349999999999</v>
          </cell>
          <cell r="F5642">
            <v>17665.8</v>
          </cell>
        </row>
        <row r="5643">
          <cell r="B5643">
            <v>44810</v>
          </cell>
          <cell r="C5643">
            <v>17695.7</v>
          </cell>
          <cell r="D5643">
            <v>17764.650000000001</v>
          </cell>
          <cell r="E5643">
            <v>17587.650000000001</v>
          </cell>
          <cell r="F5643">
            <v>17655.599999999999</v>
          </cell>
        </row>
        <row r="5644">
          <cell r="B5644">
            <v>44811</v>
          </cell>
          <cell r="C5644">
            <v>17519.400000000001</v>
          </cell>
          <cell r="D5644">
            <v>17650.75</v>
          </cell>
          <cell r="E5644">
            <v>17484.3</v>
          </cell>
          <cell r="F5644">
            <v>17624.400000000001</v>
          </cell>
        </row>
        <row r="5645">
          <cell r="B5645">
            <v>44812</v>
          </cell>
          <cell r="C5645">
            <v>17748.150000000001</v>
          </cell>
          <cell r="D5645">
            <v>17807.650000000001</v>
          </cell>
          <cell r="E5645">
            <v>17691.95</v>
          </cell>
          <cell r="F5645">
            <v>17798.75</v>
          </cell>
        </row>
        <row r="5646">
          <cell r="B5646">
            <v>44813</v>
          </cell>
          <cell r="C5646">
            <v>17923.349999999999</v>
          </cell>
          <cell r="D5646">
            <v>17925.95</v>
          </cell>
          <cell r="E5646">
            <v>17786</v>
          </cell>
          <cell r="F5646">
            <v>17833.349999999999</v>
          </cell>
        </row>
        <row r="5647">
          <cell r="B5647">
            <v>44816</v>
          </cell>
          <cell r="C5647">
            <v>17890.849999999999</v>
          </cell>
          <cell r="D5647">
            <v>17980.55</v>
          </cell>
          <cell r="E5647">
            <v>17889.150000000001</v>
          </cell>
          <cell r="F5647">
            <v>17936.349999999999</v>
          </cell>
        </row>
        <row r="5648">
          <cell r="B5648">
            <v>44817</v>
          </cell>
          <cell r="C5648">
            <v>18044.45</v>
          </cell>
          <cell r="D5648">
            <v>18088.3</v>
          </cell>
          <cell r="E5648">
            <v>18015.45</v>
          </cell>
          <cell r="F5648">
            <v>18070.05</v>
          </cell>
        </row>
        <row r="5649">
          <cell r="B5649">
            <v>44818</v>
          </cell>
          <cell r="C5649">
            <v>17771.150000000001</v>
          </cell>
          <cell r="D5649">
            <v>18091.55</v>
          </cell>
          <cell r="E5649">
            <v>17771.150000000001</v>
          </cell>
          <cell r="F5649">
            <v>18003.75</v>
          </cell>
        </row>
        <row r="5650">
          <cell r="B5650">
            <v>44819</v>
          </cell>
          <cell r="C5650">
            <v>18046.349999999999</v>
          </cell>
          <cell r="D5650">
            <v>18096.150000000001</v>
          </cell>
          <cell r="E5650">
            <v>17861.5</v>
          </cell>
          <cell r="F5650">
            <v>17877.400000000001</v>
          </cell>
        </row>
        <row r="5651">
          <cell r="B5651">
            <v>44820</v>
          </cell>
          <cell r="C5651">
            <v>17796.8</v>
          </cell>
          <cell r="D5651">
            <v>17820.05</v>
          </cell>
          <cell r="E5651">
            <v>17497.25</v>
          </cell>
          <cell r="F5651">
            <v>17530.849999999999</v>
          </cell>
        </row>
        <row r="5652">
          <cell r="B5652">
            <v>44823</v>
          </cell>
          <cell r="C5652">
            <v>17540.650000000001</v>
          </cell>
          <cell r="D5652">
            <v>17667.2</v>
          </cell>
          <cell r="E5652">
            <v>17429.7</v>
          </cell>
          <cell r="F5652">
            <v>17622.25</v>
          </cell>
        </row>
        <row r="5653">
          <cell r="B5653">
            <v>44824</v>
          </cell>
          <cell r="C5653">
            <v>17770.400000000001</v>
          </cell>
          <cell r="D5653">
            <v>17919.3</v>
          </cell>
          <cell r="E5653">
            <v>17744.400000000001</v>
          </cell>
          <cell r="F5653">
            <v>17816.25</v>
          </cell>
        </row>
        <row r="5654">
          <cell r="B5654">
            <v>44825</v>
          </cell>
          <cell r="C5654">
            <v>17766.349999999999</v>
          </cell>
          <cell r="D5654">
            <v>17838.7</v>
          </cell>
          <cell r="E5654">
            <v>17663.599999999999</v>
          </cell>
          <cell r="F5654">
            <v>17718.349999999999</v>
          </cell>
        </row>
        <row r="5655">
          <cell r="B5655">
            <v>44826</v>
          </cell>
          <cell r="C5655">
            <v>17609.650000000001</v>
          </cell>
          <cell r="D5655">
            <v>17722.75</v>
          </cell>
          <cell r="E5655">
            <v>17532.45</v>
          </cell>
          <cell r="F5655">
            <v>17629.8</v>
          </cell>
        </row>
        <row r="5656">
          <cell r="B5656">
            <v>44827</v>
          </cell>
          <cell r="C5656">
            <v>17593.849999999999</v>
          </cell>
          <cell r="D5656">
            <v>17642.150000000001</v>
          </cell>
          <cell r="E5656">
            <v>17291.650000000001</v>
          </cell>
          <cell r="F5656">
            <v>17327.349999999999</v>
          </cell>
        </row>
        <row r="5657">
          <cell r="B5657">
            <v>44830</v>
          </cell>
          <cell r="C5657">
            <v>17156.3</v>
          </cell>
          <cell r="D5657">
            <v>17196.400000000001</v>
          </cell>
          <cell r="E5657">
            <v>16978.3</v>
          </cell>
          <cell r="F5657">
            <v>17016.3</v>
          </cell>
        </row>
        <row r="5658">
          <cell r="B5658">
            <v>44831</v>
          </cell>
          <cell r="C5658">
            <v>17110.900000000001</v>
          </cell>
          <cell r="D5658">
            <v>17176.45</v>
          </cell>
          <cell r="E5658">
            <v>16942.349999999999</v>
          </cell>
          <cell r="F5658">
            <v>17007.400000000001</v>
          </cell>
        </row>
        <row r="5659">
          <cell r="B5659">
            <v>44832</v>
          </cell>
          <cell r="C5659">
            <v>16870.55</v>
          </cell>
          <cell r="D5659">
            <v>17037.599999999999</v>
          </cell>
          <cell r="E5659">
            <v>16820.400000000001</v>
          </cell>
          <cell r="F5659">
            <v>16858.599999999999</v>
          </cell>
        </row>
        <row r="5660">
          <cell r="B5660">
            <v>44833</v>
          </cell>
          <cell r="C5660">
            <v>16993.599999999999</v>
          </cell>
          <cell r="D5660">
            <v>17026.05</v>
          </cell>
          <cell r="E5660">
            <v>16788.599999999999</v>
          </cell>
          <cell r="F5660">
            <v>16818.099999999999</v>
          </cell>
        </row>
        <row r="5661">
          <cell r="B5661">
            <v>44834</v>
          </cell>
          <cell r="C5661">
            <v>16798.05</v>
          </cell>
          <cell r="D5661">
            <v>17187.099999999999</v>
          </cell>
          <cell r="E5661">
            <v>16747.7</v>
          </cell>
          <cell r="F5661">
            <v>17094.349999999999</v>
          </cell>
        </row>
        <row r="5662">
          <cell r="B5662">
            <v>44837</v>
          </cell>
          <cell r="C5662">
            <v>17102.099999999999</v>
          </cell>
          <cell r="D5662">
            <v>17114.650000000001</v>
          </cell>
          <cell r="E5662">
            <v>16855.55</v>
          </cell>
          <cell r="F5662">
            <v>16887.349999999999</v>
          </cell>
        </row>
        <row r="5663">
          <cell r="B5663">
            <v>44838</v>
          </cell>
          <cell r="C5663">
            <v>17147.45</v>
          </cell>
          <cell r="D5663">
            <v>17287.3</v>
          </cell>
          <cell r="E5663">
            <v>17117.3</v>
          </cell>
          <cell r="F5663">
            <v>17274.3</v>
          </cell>
        </row>
        <row r="5664">
          <cell r="B5664">
            <v>44840</v>
          </cell>
          <cell r="C5664">
            <v>17379.25</v>
          </cell>
          <cell r="D5664">
            <v>17428.8</v>
          </cell>
          <cell r="E5664">
            <v>17315.650000000001</v>
          </cell>
          <cell r="F5664">
            <v>17331.8</v>
          </cell>
        </row>
        <row r="5665">
          <cell r="B5665">
            <v>44841</v>
          </cell>
          <cell r="C5665">
            <v>17287.2</v>
          </cell>
          <cell r="D5665">
            <v>17337.349999999999</v>
          </cell>
          <cell r="E5665">
            <v>17216.95</v>
          </cell>
          <cell r="F5665">
            <v>17314.650000000001</v>
          </cell>
        </row>
        <row r="5666">
          <cell r="B5666">
            <v>44844</v>
          </cell>
          <cell r="C5666">
            <v>17094.349999999999</v>
          </cell>
          <cell r="D5666">
            <v>17280.150000000001</v>
          </cell>
          <cell r="E5666">
            <v>17064.7</v>
          </cell>
          <cell r="F5666">
            <v>17241</v>
          </cell>
        </row>
        <row r="5667">
          <cell r="B5667">
            <v>44845</v>
          </cell>
          <cell r="C5667">
            <v>17256.05</v>
          </cell>
          <cell r="D5667">
            <v>17261.8</v>
          </cell>
          <cell r="E5667">
            <v>16950.3</v>
          </cell>
          <cell r="F5667">
            <v>16983.55</v>
          </cell>
        </row>
        <row r="5668">
          <cell r="B5668">
            <v>44846</v>
          </cell>
          <cell r="C5668">
            <v>17025.55</v>
          </cell>
          <cell r="D5668">
            <v>17142.349999999999</v>
          </cell>
          <cell r="E5668">
            <v>16960.05</v>
          </cell>
          <cell r="F5668">
            <v>17123.599999999999</v>
          </cell>
        </row>
        <row r="5669">
          <cell r="B5669">
            <v>44847</v>
          </cell>
          <cell r="C5669">
            <v>17087.349999999999</v>
          </cell>
          <cell r="D5669">
            <v>17112.349999999999</v>
          </cell>
          <cell r="E5669">
            <v>16956.95</v>
          </cell>
          <cell r="F5669">
            <v>17014.349999999999</v>
          </cell>
        </row>
        <row r="5670">
          <cell r="B5670">
            <v>44848</v>
          </cell>
          <cell r="C5670">
            <v>17322.3</v>
          </cell>
          <cell r="D5670">
            <v>17348.55</v>
          </cell>
          <cell r="E5670">
            <v>17169.75</v>
          </cell>
          <cell r="F5670">
            <v>17185.7</v>
          </cell>
        </row>
        <row r="5671">
          <cell r="B5671">
            <v>44851</v>
          </cell>
          <cell r="C5671">
            <v>17144.8</v>
          </cell>
          <cell r="D5671">
            <v>17328.55</v>
          </cell>
          <cell r="E5671">
            <v>17098.55</v>
          </cell>
          <cell r="F5671">
            <v>17311.8</v>
          </cell>
        </row>
        <row r="5672">
          <cell r="B5672">
            <v>44852</v>
          </cell>
          <cell r="C5672">
            <v>17438.75</v>
          </cell>
          <cell r="D5672">
            <v>17527.8</v>
          </cell>
          <cell r="E5672">
            <v>17434.05</v>
          </cell>
          <cell r="F5672">
            <v>17486.95</v>
          </cell>
        </row>
        <row r="5673">
          <cell r="B5673">
            <v>44853</v>
          </cell>
          <cell r="C5673">
            <v>17568.150000000001</v>
          </cell>
          <cell r="D5673">
            <v>17607.599999999999</v>
          </cell>
          <cell r="E5673">
            <v>17472.849999999999</v>
          </cell>
          <cell r="F5673">
            <v>17512.25</v>
          </cell>
        </row>
        <row r="5674">
          <cell r="B5674">
            <v>44854</v>
          </cell>
          <cell r="C5674">
            <v>17423.099999999999</v>
          </cell>
          <cell r="D5674">
            <v>17584.150000000001</v>
          </cell>
          <cell r="E5674">
            <v>17421</v>
          </cell>
          <cell r="F5674">
            <v>17563.95</v>
          </cell>
        </row>
        <row r="5675">
          <cell r="B5675">
            <v>44855</v>
          </cell>
          <cell r="C5675">
            <v>17622.849999999999</v>
          </cell>
          <cell r="D5675">
            <v>17670.150000000001</v>
          </cell>
          <cell r="E5675">
            <v>17520.75</v>
          </cell>
          <cell r="F5675">
            <v>17576.3</v>
          </cell>
        </row>
        <row r="5676">
          <cell r="B5676">
            <v>44858</v>
          </cell>
          <cell r="C5676">
            <v>17736.349999999999</v>
          </cell>
          <cell r="D5676">
            <v>17777.55</v>
          </cell>
          <cell r="E5676">
            <v>17707.400000000001</v>
          </cell>
          <cell r="F5676">
            <v>17730.75</v>
          </cell>
        </row>
        <row r="5677">
          <cell r="B5677">
            <v>44859</v>
          </cell>
          <cell r="C5677">
            <v>17808.3</v>
          </cell>
          <cell r="D5677">
            <v>17811.5</v>
          </cell>
          <cell r="E5677">
            <v>17637</v>
          </cell>
          <cell r="F5677">
            <v>17656.349999999999</v>
          </cell>
        </row>
        <row r="5678">
          <cell r="B5678">
            <v>44861</v>
          </cell>
          <cell r="C5678">
            <v>17771.400000000001</v>
          </cell>
          <cell r="D5678">
            <v>17783.900000000001</v>
          </cell>
          <cell r="E5678">
            <v>17654.5</v>
          </cell>
          <cell r="F5678">
            <v>17736.95</v>
          </cell>
        </row>
        <row r="5679">
          <cell r="B5679">
            <v>44862</v>
          </cell>
          <cell r="C5679">
            <v>17756.400000000001</v>
          </cell>
          <cell r="D5679">
            <v>17838.900000000001</v>
          </cell>
          <cell r="E5679">
            <v>17723.7</v>
          </cell>
          <cell r="F5679">
            <v>17786.8</v>
          </cell>
        </row>
        <row r="5680">
          <cell r="B5680">
            <v>44865</v>
          </cell>
          <cell r="C5680">
            <v>17910.2</v>
          </cell>
          <cell r="D5680">
            <v>18022.8</v>
          </cell>
          <cell r="E5680">
            <v>17899.900000000001</v>
          </cell>
          <cell r="F5680">
            <v>18012.2</v>
          </cell>
        </row>
        <row r="5681">
          <cell r="B5681">
            <v>44866</v>
          </cell>
          <cell r="C5681">
            <v>18130.7</v>
          </cell>
          <cell r="D5681">
            <v>18175.8</v>
          </cell>
          <cell r="E5681">
            <v>18060.150000000001</v>
          </cell>
          <cell r="F5681">
            <v>18145.400000000001</v>
          </cell>
        </row>
        <row r="5682">
          <cell r="B5682">
            <v>44867</v>
          </cell>
          <cell r="C5682">
            <v>18177.900000000001</v>
          </cell>
          <cell r="D5682">
            <v>18178.75</v>
          </cell>
          <cell r="E5682">
            <v>18048.650000000001</v>
          </cell>
          <cell r="F5682">
            <v>18082.849999999999</v>
          </cell>
        </row>
        <row r="5683">
          <cell r="B5683">
            <v>44868</v>
          </cell>
          <cell r="C5683">
            <v>17968.349999999999</v>
          </cell>
          <cell r="D5683">
            <v>18106.3</v>
          </cell>
          <cell r="E5683">
            <v>17959.2</v>
          </cell>
          <cell r="F5683">
            <v>18052.7</v>
          </cell>
        </row>
        <row r="5684">
          <cell r="B5684">
            <v>44869</v>
          </cell>
          <cell r="C5684">
            <v>18053.400000000001</v>
          </cell>
          <cell r="D5684">
            <v>18135.099999999999</v>
          </cell>
          <cell r="E5684">
            <v>18017.150000000001</v>
          </cell>
          <cell r="F5684">
            <v>18117.150000000001</v>
          </cell>
        </row>
        <row r="5685">
          <cell r="B5685">
            <v>44872</v>
          </cell>
          <cell r="C5685">
            <v>18211.75</v>
          </cell>
          <cell r="D5685">
            <v>18255.5</v>
          </cell>
          <cell r="E5685">
            <v>18064.75</v>
          </cell>
          <cell r="F5685">
            <v>18202.8</v>
          </cell>
        </row>
        <row r="5686">
          <cell r="B5686">
            <v>44874</v>
          </cell>
          <cell r="C5686">
            <v>18288.25</v>
          </cell>
          <cell r="D5686">
            <v>18296.400000000001</v>
          </cell>
          <cell r="E5686">
            <v>18117.5</v>
          </cell>
          <cell r="F5686">
            <v>18157</v>
          </cell>
        </row>
        <row r="5687">
          <cell r="B5687">
            <v>44875</v>
          </cell>
          <cell r="C5687">
            <v>18044.349999999999</v>
          </cell>
          <cell r="D5687">
            <v>18103.099999999999</v>
          </cell>
          <cell r="E5687">
            <v>17969.400000000001</v>
          </cell>
          <cell r="F5687">
            <v>18028.2</v>
          </cell>
        </row>
        <row r="5688">
          <cell r="B5688">
            <v>44876</v>
          </cell>
          <cell r="C5688">
            <v>18272.349999999999</v>
          </cell>
          <cell r="D5688">
            <v>18362.3</v>
          </cell>
          <cell r="E5688">
            <v>18259.349999999999</v>
          </cell>
          <cell r="F5688">
            <v>18349.7</v>
          </cell>
        </row>
        <row r="5689">
          <cell r="B5689">
            <v>44879</v>
          </cell>
          <cell r="C5689">
            <v>18376.400000000001</v>
          </cell>
          <cell r="D5689">
            <v>18399.45</v>
          </cell>
          <cell r="E5689">
            <v>18311.400000000001</v>
          </cell>
          <cell r="F5689">
            <v>18329.150000000001</v>
          </cell>
        </row>
        <row r="5690">
          <cell r="B5690">
            <v>44880</v>
          </cell>
          <cell r="C5690">
            <v>18362.75</v>
          </cell>
          <cell r="D5690">
            <v>18427.95</v>
          </cell>
          <cell r="E5690">
            <v>18282</v>
          </cell>
          <cell r="F5690">
            <v>18403.400000000001</v>
          </cell>
        </row>
        <row r="5691">
          <cell r="B5691">
            <v>44881</v>
          </cell>
          <cell r="C5691">
            <v>18398.25</v>
          </cell>
          <cell r="D5691">
            <v>18442.150000000001</v>
          </cell>
          <cell r="E5691">
            <v>18344.150000000001</v>
          </cell>
          <cell r="F5691">
            <v>18409.650000000001</v>
          </cell>
        </row>
        <row r="5692">
          <cell r="B5692">
            <v>44882</v>
          </cell>
          <cell r="C5692">
            <v>18358.7</v>
          </cell>
          <cell r="D5692">
            <v>18417.599999999999</v>
          </cell>
          <cell r="E5692">
            <v>18312.95</v>
          </cell>
          <cell r="F5692">
            <v>18343.900000000001</v>
          </cell>
        </row>
        <row r="5693">
          <cell r="B5693">
            <v>44883</v>
          </cell>
          <cell r="C5693">
            <v>18382.95</v>
          </cell>
          <cell r="D5693">
            <v>18394.599999999999</v>
          </cell>
          <cell r="E5693">
            <v>18209.8</v>
          </cell>
          <cell r="F5693">
            <v>18307.650000000001</v>
          </cell>
        </row>
        <row r="5694">
          <cell r="B5694">
            <v>44886</v>
          </cell>
          <cell r="C5694">
            <v>18246.400000000001</v>
          </cell>
          <cell r="D5694">
            <v>18262.3</v>
          </cell>
          <cell r="E5694">
            <v>18133.349999999999</v>
          </cell>
          <cell r="F5694">
            <v>18159.95</v>
          </cell>
        </row>
        <row r="5695">
          <cell r="B5695">
            <v>44887</v>
          </cell>
          <cell r="C5695">
            <v>18179.150000000001</v>
          </cell>
          <cell r="D5695">
            <v>18261.849999999999</v>
          </cell>
          <cell r="E5695">
            <v>18137.7</v>
          </cell>
          <cell r="F5695">
            <v>18244.2</v>
          </cell>
        </row>
        <row r="5696">
          <cell r="B5696">
            <v>44888</v>
          </cell>
          <cell r="C5696">
            <v>18325.2</v>
          </cell>
          <cell r="D5696">
            <v>18325.400000000001</v>
          </cell>
          <cell r="E5696">
            <v>18246</v>
          </cell>
          <cell r="F5696">
            <v>18267.25</v>
          </cell>
        </row>
        <row r="5697">
          <cell r="B5697">
            <v>44889</v>
          </cell>
          <cell r="C5697">
            <v>18326.099999999999</v>
          </cell>
          <cell r="D5697">
            <v>18529.7</v>
          </cell>
          <cell r="E5697">
            <v>18294.25</v>
          </cell>
          <cell r="F5697">
            <v>18484.099999999999</v>
          </cell>
        </row>
        <row r="5698">
          <cell r="B5698">
            <v>44890</v>
          </cell>
          <cell r="C5698">
            <v>18528.45</v>
          </cell>
          <cell r="D5698">
            <v>18534.900000000001</v>
          </cell>
          <cell r="E5698">
            <v>18445.099999999999</v>
          </cell>
          <cell r="F5698">
            <v>18512.75</v>
          </cell>
        </row>
        <row r="5699">
          <cell r="B5699">
            <v>44893</v>
          </cell>
          <cell r="C5699">
            <v>18430.55</v>
          </cell>
          <cell r="D5699">
            <v>18614.25</v>
          </cell>
          <cell r="E5699">
            <v>18365.599999999999</v>
          </cell>
          <cell r="F5699">
            <v>18562.75</v>
          </cell>
        </row>
        <row r="5700">
          <cell r="B5700">
            <v>44894</v>
          </cell>
          <cell r="C5700">
            <v>18552.45</v>
          </cell>
          <cell r="D5700">
            <v>18678.099999999999</v>
          </cell>
          <cell r="E5700">
            <v>18552.150000000001</v>
          </cell>
          <cell r="F5700">
            <v>18618.05</v>
          </cell>
        </row>
        <row r="5701">
          <cell r="B5701">
            <v>44895</v>
          </cell>
          <cell r="C5701">
            <v>18625.7</v>
          </cell>
          <cell r="D5701">
            <v>18816.05</v>
          </cell>
          <cell r="E5701">
            <v>18616.55</v>
          </cell>
          <cell r="F5701">
            <v>18758.349999999999</v>
          </cell>
        </row>
        <row r="5702">
          <cell r="B5702">
            <v>44896</v>
          </cell>
          <cell r="C5702">
            <v>18871.95</v>
          </cell>
          <cell r="D5702">
            <v>18887.599999999999</v>
          </cell>
          <cell r="E5702">
            <v>18778.2</v>
          </cell>
          <cell r="F5702">
            <v>18812.5</v>
          </cell>
        </row>
        <row r="5703">
          <cell r="B5703">
            <v>44897</v>
          </cell>
          <cell r="C5703">
            <v>18752.400000000001</v>
          </cell>
          <cell r="D5703">
            <v>18781.95</v>
          </cell>
          <cell r="E5703">
            <v>18639.2</v>
          </cell>
          <cell r="F5703">
            <v>18696.099999999999</v>
          </cell>
        </row>
        <row r="5704">
          <cell r="B5704">
            <v>44900</v>
          </cell>
          <cell r="C5704">
            <v>18719.55</v>
          </cell>
          <cell r="D5704">
            <v>18728.599999999999</v>
          </cell>
          <cell r="E5704">
            <v>18591.349999999999</v>
          </cell>
          <cell r="F5704">
            <v>18701.05</v>
          </cell>
        </row>
        <row r="5705">
          <cell r="B5705">
            <v>44901</v>
          </cell>
          <cell r="C5705">
            <v>18600.650000000001</v>
          </cell>
          <cell r="D5705">
            <v>18654.900000000001</v>
          </cell>
          <cell r="E5705">
            <v>18577.900000000001</v>
          </cell>
          <cell r="F5705">
            <v>18642.75</v>
          </cell>
        </row>
        <row r="5706">
          <cell r="B5706">
            <v>44902</v>
          </cell>
          <cell r="C5706">
            <v>18638.849999999999</v>
          </cell>
          <cell r="D5706">
            <v>18668.3</v>
          </cell>
          <cell r="E5706">
            <v>18528.400000000001</v>
          </cell>
          <cell r="F5706">
            <v>18560.5</v>
          </cell>
        </row>
        <row r="5707">
          <cell r="B5707">
            <v>44903</v>
          </cell>
          <cell r="C5707">
            <v>18570.849999999999</v>
          </cell>
          <cell r="D5707">
            <v>18625</v>
          </cell>
          <cell r="E5707">
            <v>18536.95</v>
          </cell>
          <cell r="F5707">
            <v>18609.349999999999</v>
          </cell>
        </row>
        <row r="5708">
          <cell r="B5708">
            <v>44904</v>
          </cell>
          <cell r="C5708">
            <v>18662.400000000001</v>
          </cell>
          <cell r="D5708">
            <v>18664.7</v>
          </cell>
          <cell r="E5708">
            <v>18410.099999999999</v>
          </cell>
          <cell r="F5708">
            <v>18496.599999999999</v>
          </cell>
        </row>
        <row r="5709">
          <cell r="B5709">
            <v>44907</v>
          </cell>
          <cell r="C5709">
            <v>18402.150000000001</v>
          </cell>
          <cell r="D5709">
            <v>18521.55</v>
          </cell>
          <cell r="E5709">
            <v>18345.7</v>
          </cell>
          <cell r="F5709">
            <v>18497.150000000001</v>
          </cell>
        </row>
        <row r="5710">
          <cell r="B5710">
            <v>44908</v>
          </cell>
          <cell r="C5710">
            <v>18524.400000000001</v>
          </cell>
          <cell r="D5710">
            <v>18617.25</v>
          </cell>
          <cell r="E5710">
            <v>18490.2</v>
          </cell>
          <cell r="F5710">
            <v>18608</v>
          </cell>
        </row>
        <row r="5711">
          <cell r="B5711">
            <v>44909</v>
          </cell>
          <cell r="C5711">
            <v>18671.25</v>
          </cell>
          <cell r="D5711">
            <v>18696.099999999999</v>
          </cell>
          <cell r="E5711">
            <v>18632.900000000001</v>
          </cell>
          <cell r="F5711">
            <v>18660.3</v>
          </cell>
        </row>
        <row r="5712">
          <cell r="B5712">
            <v>44910</v>
          </cell>
          <cell r="C5712">
            <v>18614.400000000001</v>
          </cell>
          <cell r="D5712">
            <v>18652.900000000001</v>
          </cell>
          <cell r="E5712">
            <v>18387.7</v>
          </cell>
          <cell r="F5712">
            <v>18414.900000000001</v>
          </cell>
        </row>
        <row r="5713">
          <cell r="B5713">
            <v>44911</v>
          </cell>
          <cell r="C5713">
            <v>18319.099999999999</v>
          </cell>
          <cell r="D5713">
            <v>18440.95</v>
          </cell>
          <cell r="E5713">
            <v>18255.150000000001</v>
          </cell>
          <cell r="F5713">
            <v>18269</v>
          </cell>
        </row>
        <row r="5714">
          <cell r="B5714">
            <v>44914</v>
          </cell>
          <cell r="C5714">
            <v>18288.099999999999</v>
          </cell>
          <cell r="D5714">
            <v>18431.650000000001</v>
          </cell>
          <cell r="E5714">
            <v>18244.55</v>
          </cell>
          <cell r="F5714">
            <v>18420.45</v>
          </cell>
        </row>
        <row r="5715">
          <cell r="B5715">
            <v>44915</v>
          </cell>
          <cell r="C5715">
            <v>18340.3</v>
          </cell>
          <cell r="D5715">
            <v>18404.900000000001</v>
          </cell>
          <cell r="E5715">
            <v>18202.650000000001</v>
          </cell>
          <cell r="F5715">
            <v>18385.3</v>
          </cell>
        </row>
        <row r="5716">
          <cell r="B5716">
            <v>44916</v>
          </cell>
          <cell r="C5716">
            <v>18435.150000000001</v>
          </cell>
          <cell r="D5716">
            <v>18473.349999999999</v>
          </cell>
          <cell r="E5716">
            <v>18162.75</v>
          </cell>
          <cell r="F5716">
            <v>18199.099999999999</v>
          </cell>
        </row>
        <row r="5717">
          <cell r="B5717">
            <v>44917</v>
          </cell>
          <cell r="C5717">
            <v>18288.8</v>
          </cell>
          <cell r="D5717">
            <v>18318.75</v>
          </cell>
          <cell r="E5717">
            <v>18068.599999999999</v>
          </cell>
          <cell r="F5717">
            <v>18127.349999999999</v>
          </cell>
        </row>
        <row r="5718">
          <cell r="B5718">
            <v>44918</v>
          </cell>
          <cell r="C5718">
            <v>17977.650000000001</v>
          </cell>
          <cell r="D5718">
            <v>18050.45</v>
          </cell>
          <cell r="E5718">
            <v>17779.5</v>
          </cell>
          <cell r="F5718">
            <v>17806.8</v>
          </cell>
        </row>
        <row r="5719">
          <cell r="B5719">
            <v>44921</v>
          </cell>
          <cell r="C5719">
            <v>17830.400000000001</v>
          </cell>
          <cell r="D5719">
            <v>18084.099999999999</v>
          </cell>
          <cell r="E5719">
            <v>17774.25</v>
          </cell>
          <cell r="F5719">
            <v>18014.599999999999</v>
          </cell>
        </row>
        <row r="5720">
          <cell r="B5720">
            <v>44922</v>
          </cell>
          <cell r="C5720">
            <v>18089.8</v>
          </cell>
          <cell r="D5720">
            <v>18149.25</v>
          </cell>
          <cell r="E5720">
            <v>17967.45</v>
          </cell>
          <cell r="F5720">
            <v>18132.3</v>
          </cell>
        </row>
        <row r="5721">
          <cell r="B5721">
            <v>44923</v>
          </cell>
          <cell r="C5721">
            <v>18084.75</v>
          </cell>
          <cell r="D5721">
            <v>18173.099999999999</v>
          </cell>
          <cell r="E5721">
            <v>18068.349999999999</v>
          </cell>
          <cell r="F5721">
            <v>18122.5</v>
          </cell>
        </row>
        <row r="5722">
          <cell r="B5722">
            <v>44924</v>
          </cell>
          <cell r="C5722">
            <v>18045.7</v>
          </cell>
          <cell r="D5722">
            <v>18229.7</v>
          </cell>
          <cell r="E5722">
            <v>17992.8</v>
          </cell>
          <cell r="F5722">
            <v>18191</v>
          </cell>
        </row>
        <row r="5723">
          <cell r="B5723">
            <v>44925</v>
          </cell>
          <cell r="C5723">
            <v>18259.099999999999</v>
          </cell>
          <cell r="D5723">
            <v>18265.25</v>
          </cell>
          <cell r="E5723">
            <v>18080.3</v>
          </cell>
          <cell r="F5723">
            <v>18105.3</v>
          </cell>
        </row>
        <row r="5724">
          <cell r="B5724">
            <v>44928</v>
          </cell>
          <cell r="C5724">
            <v>18131.7</v>
          </cell>
          <cell r="D5724">
            <v>18215.150000000001</v>
          </cell>
          <cell r="E5724">
            <v>18086.5</v>
          </cell>
          <cell r="F5724">
            <v>18197.45</v>
          </cell>
        </row>
        <row r="5725">
          <cell r="B5725">
            <v>44929</v>
          </cell>
          <cell r="C5725">
            <v>18163.2</v>
          </cell>
          <cell r="D5725">
            <v>18251.95</v>
          </cell>
          <cell r="E5725">
            <v>18149.8</v>
          </cell>
          <cell r="F5725">
            <v>18232.55</v>
          </cell>
        </row>
        <row r="5726">
          <cell r="B5726">
            <v>44930</v>
          </cell>
          <cell r="C5726">
            <v>18230.650000000001</v>
          </cell>
          <cell r="D5726">
            <v>18243</v>
          </cell>
          <cell r="E5726">
            <v>18020.599999999999</v>
          </cell>
          <cell r="F5726">
            <v>18042.95</v>
          </cell>
        </row>
        <row r="5727">
          <cell r="B5727">
            <v>44931</v>
          </cell>
          <cell r="C5727">
            <v>18101.95</v>
          </cell>
          <cell r="D5727">
            <v>18120.3</v>
          </cell>
          <cell r="E5727">
            <v>17892.599999999999</v>
          </cell>
          <cell r="F5727">
            <v>17992.150000000001</v>
          </cell>
        </row>
        <row r="5728">
          <cell r="B5728">
            <v>44932</v>
          </cell>
          <cell r="C5728">
            <v>18008.05</v>
          </cell>
          <cell r="D5728">
            <v>18047.400000000001</v>
          </cell>
          <cell r="E5728">
            <v>17795.55</v>
          </cell>
          <cell r="F5728">
            <v>17859.45</v>
          </cell>
        </row>
        <row r="5729">
          <cell r="B5729">
            <v>44935</v>
          </cell>
          <cell r="C5729">
            <v>17952.55</v>
          </cell>
          <cell r="D5729">
            <v>18141.400000000001</v>
          </cell>
          <cell r="E5729">
            <v>17936.150000000001</v>
          </cell>
          <cell r="F5729">
            <v>18101.2</v>
          </cell>
        </row>
        <row r="5730">
          <cell r="B5730">
            <v>44936</v>
          </cell>
          <cell r="C5730">
            <v>18121.3</v>
          </cell>
          <cell r="D5730">
            <v>18127.599999999999</v>
          </cell>
          <cell r="E5730">
            <v>17856</v>
          </cell>
          <cell r="F5730">
            <v>17914.150000000001</v>
          </cell>
        </row>
        <row r="5731">
          <cell r="B5731">
            <v>44937</v>
          </cell>
          <cell r="C5731">
            <v>17924.25</v>
          </cell>
          <cell r="D5731">
            <v>17976.349999999999</v>
          </cell>
          <cell r="E5731">
            <v>17824.349999999999</v>
          </cell>
          <cell r="F5731">
            <v>17895.7</v>
          </cell>
        </row>
        <row r="5732">
          <cell r="B5732">
            <v>44938</v>
          </cell>
          <cell r="C5732">
            <v>17920.849999999999</v>
          </cell>
          <cell r="D5732">
            <v>17945.8</v>
          </cell>
          <cell r="E5732">
            <v>17761.650000000001</v>
          </cell>
          <cell r="F5732">
            <v>17858.2</v>
          </cell>
        </row>
        <row r="5733">
          <cell r="B5733">
            <v>44939</v>
          </cell>
          <cell r="C5733">
            <v>17867.5</v>
          </cell>
          <cell r="D5733">
            <v>17999.349999999999</v>
          </cell>
          <cell r="E5733">
            <v>17774.25</v>
          </cell>
          <cell r="F5733">
            <v>17956.599999999999</v>
          </cell>
        </row>
        <row r="5734">
          <cell r="B5734">
            <v>44942</v>
          </cell>
          <cell r="C5734">
            <v>18033.150000000001</v>
          </cell>
          <cell r="D5734">
            <v>18049.650000000001</v>
          </cell>
          <cell r="E5734">
            <v>17853.650000000001</v>
          </cell>
          <cell r="F5734">
            <v>17894.849999999999</v>
          </cell>
        </row>
        <row r="5735">
          <cell r="B5735">
            <v>44943</v>
          </cell>
          <cell r="C5735">
            <v>17922.8</v>
          </cell>
          <cell r="D5735">
            <v>18072.05</v>
          </cell>
          <cell r="E5735">
            <v>17886.95</v>
          </cell>
          <cell r="F5735">
            <v>18053.3</v>
          </cell>
        </row>
        <row r="5736">
          <cell r="B5736">
            <v>44944</v>
          </cell>
          <cell r="C5736">
            <v>18074.3</v>
          </cell>
          <cell r="D5736">
            <v>18183.75</v>
          </cell>
          <cell r="E5736">
            <v>18032.45</v>
          </cell>
          <cell r="F5736">
            <v>18165.349999999999</v>
          </cell>
        </row>
        <row r="5737">
          <cell r="B5737">
            <v>44945</v>
          </cell>
          <cell r="C5737">
            <v>18119.8</v>
          </cell>
          <cell r="D5737">
            <v>18155.2</v>
          </cell>
          <cell r="E5737">
            <v>18063.75</v>
          </cell>
          <cell r="F5737">
            <v>18107.849999999999</v>
          </cell>
        </row>
        <row r="5738">
          <cell r="B5738">
            <v>44946</v>
          </cell>
          <cell r="C5738">
            <v>18115.599999999999</v>
          </cell>
          <cell r="D5738">
            <v>18145.45</v>
          </cell>
          <cell r="E5738">
            <v>18016.2</v>
          </cell>
          <cell r="F5738">
            <v>18027.650000000001</v>
          </cell>
        </row>
        <row r="5739">
          <cell r="B5739">
            <v>44949</v>
          </cell>
          <cell r="C5739">
            <v>18118.45</v>
          </cell>
          <cell r="D5739">
            <v>18162.599999999999</v>
          </cell>
          <cell r="E5739">
            <v>18063.45</v>
          </cell>
          <cell r="F5739">
            <v>18118.55</v>
          </cell>
        </row>
        <row r="5740">
          <cell r="B5740">
            <v>44950</v>
          </cell>
          <cell r="C5740">
            <v>18183.95</v>
          </cell>
          <cell r="D5740">
            <v>18201.25</v>
          </cell>
          <cell r="E5740">
            <v>18078.650000000001</v>
          </cell>
          <cell r="F5740">
            <v>18118.3</v>
          </cell>
        </row>
        <row r="5741">
          <cell r="B5741">
            <v>44951</v>
          </cell>
          <cell r="C5741">
            <v>18093.349999999999</v>
          </cell>
          <cell r="D5741">
            <v>18100.599999999999</v>
          </cell>
          <cell r="E5741">
            <v>17846.150000000001</v>
          </cell>
          <cell r="F5741">
            <v>17891.95</v>
          </cell>
        </row>
        <row r="5742">
          <cell r="B5742">
            <v>44953</v>
          </cell>
          <cell r="C5742">
            <v>17877.2</v>
          </cell>
          <cell r="D5742">
            <v>17884.75</v>
          </cell>
          <cell r="E5742">
            <v>17493.55</v>
          </cell>
          <cell r="F5742">
            <v>17604.349999999999</v>
          </cell>
        </row>
        <row r="5743">
          <cell r="B5743">
            <v>44956</v>
          </cell>
          <cell r="C5743">
            <v>17541.95</v>
          </cell>
          <cell r="D5743">
            <v>17709.150000000001</v>
          </cell>
          <cell r="E5743">
            <v>17405.55</v>
          </cell>
          <cell r="F5743">
            <v>17648.95</v>
          </cell>
        </row>
        <row r="5744">
          <cell r="B5744">
            <v>44957</v>
          </cell>
          <cell r="C5744">
            <v>17731.45</v>
          </cell>
          <cell r="D5744">
            <v>17735.7</v>
          </cell>
          <cell r="E5744">
            <v>17537.55</v>
          </cell>
          <cell r="F5744">
            <v>17662.150000000001</v>
          </cell>
        </row>
        <row r="5745">
          <cell r="B5745">
            <v>44958</v>
          </cell>
          <cell r="C5745">
            <v>17811.599999999999</v>
          </cell>
          <cell r="D5745">
            <v>17972.2</v>
          </cell>
          <cell r="E5745">
            <v>17353.400000000001</v>
          </cell>
          <cell r="F5745">
            <v>17616.3</v>
          </cell>
        </row>
        <row r="5746">
          <cell r="B5746">
            <v>44959</v>
          </cell>
          <cell r="C5746">
            <v>17517.099999999999</v>
          </cell>
          <cell r="D5746">
            <v>17653.900000000001</v>
          </cell>
          <cell r="E5746">
            <v>17445.95</v>
          </cell>
          <cell r="F5746">
            <v>17610.400000000001</v>
          </cell>
        </row>
        <row r="5747">
          <cell r="B5747">
            <v>44960</v>
          </cell>
          <cell r="C5747">
            <v>17721.75</v>
          </cell>
          <cell r="D5747">
            <v>17870.3</v>
          </cell>
          <cell r="E5747">
            <v>17584.2</v>
          </cell>
          <cell r="F5747">
            <v>17854.05</v>
          </cell>
        </row>
        <row r="5748">
          <cell r="B5748">
            <v>44963</v>
          </cell>
          <cell r="C5748">
            <v>17818.55</v>
          </cell>
          <cell r="D5748">
            <v>17823.7</v>
          </cell>
          <cell r="E5748">
            <v>17698.349999999999</v>
          </cell>
          <cell r="F5748">
            <v>17764.599999999999</v>
          </cell>
        </row>
        <row r="5749">
          <cell r="B5749">
            <v>44964</v>
          </cell>
          <cell r="C5749">
            <v>17790.099999999999</v>
          </cell>
          <cell r="D5749">
            <v>17811.150000000001</v>
          </cell>
          <cell r="E5749">
            <v>17652.55</v>
          </cell>
          <cell r="F5749">
            <v>17721.5</v>
          </cell>
        </row>
        <row r="5750">
          <cell r="B5750">
            <v>44965</v>
          </cell>
          <cell r="C5750">
            <v>17750.3</v>
          </cell>
          <cell r="D5750">
            <v>17898.7</v>
          </cell>
          <cell r="E5750">
            <v>17744.150000000001</v>
          </cell>
          <cell r="F5750">
            <v>17871.7</v>
          </cell>
        </row>
        <row r="5751">
          <cell r="B5751">
            <v>44966</v>
          </cell>
          <cell r="C5751">
            <v>17885.5</v>
          </cell>
          <cell r="D5751">
            <v>17916.900000000001</v>
          </cell>
          <cell r="E5751">
            <v>17779.8</v>
          </cell>
          <cell r="F5751">
            <v>17893.45</v>
          </cell>
        </row>
        <row r="5752">
          <cell r="B5752">
            <v>44967</v>
          </cell>
          <cell r="C5752">
            <v>17847.55</v>
          </cell>
          <cell r="D5752">
            <v>17876.95</v>
          </cell>
          <cell r="E5752">
            <v>17801</v>
          </cell>
          <cell r="F5752">
            <v>17856.5</v>
          </cell>
        </row>
        <row r="5753">
          <cell r="B5753">
            <v>44970</v>
          </cell>
          <cell r="C5753">
            <v>17859.099999999999</v>
          </cell>
          <cell r="D5753">
            <v>17880.7</v>
          </cell>
          <cell r="E5753">
            <v>17719.75</v>
          </cell>
          <cell r="F5753">
            <v>17770.900000000001</v>
          </cell>
        </row>
        <row r="5754">
          <cell r="B5754">
            <v>44971</v>
          </cell>
          <cell r="C5754">
            <v>17840.349999999999</v>
          </cell>
          <cell r="D5754">
            <v>17954.55</v>
          </cell>
          <cell r="E5754">
            <v>17800.05</v>
          </cell>
          <cell r="F5754">
            <v>17929.849999999999</v>
          </cell>
        </row>
        <row r="5755">
          <cell r="B5755">
            <v>44972</v>
          </cell>
          <cell r="C5755">
            <v>17896.599999999999</v>
          </cell>
          <cell r="D5755">
            <v>18034.099999999999</v>
          </cell>
          <cell r="E5755">
            <v>17853.8</v>
          </cell>
          <cell r="F5755">
            <v>18015.849999999999</v>
          </cell>
        </row>
        <row r="5756">
          <cell r="B5756">
            <v>44973</v>
          </cell>
          <cell r="C5756">
            <v>18094.75</v>
          </cell>
          <cell r="D5756">
            <v>18134.75</v>
          </cell>
          <cell r="E5756">
            <v>18000.650000000001</v>
          </cell>
          <cell r="F5756">
            <v>18035.849999999999</v>
          </cell>
        </row>
        <row r="5757">
          <cell r="B5757">
            <v>44974</v>
          </cell>
          <cell r="C5757">
            <v>17974.849999999999</v>
          </cell>
          <cell r="D5757">
            <v>18034.25</v>
          </cell>
          <cell r="E5757">
            <v>17884.599999999999</v>
          </cell>
          <cell r="F5757">
            <v>17944.2</v>
          </cell>
        </row>
        <row r="5758">
          <cell r="B5758">
            <v>44977</v>
          </cell>
          <cell r="C5758">
            <v>17965.55</v>
          </cell>
          <cell r="D5758">
            <v>18004.349999999999</v>
          </cell>
          <cell r="E5758">
            <v>17818.400000000001</v>
          </cell>
          <cell r="F5758">
            <v>17844.599999999999</v>
          </cell>
        </row>
        <row r="5759">
          <cell r="B5759">
            <v>44978</v>
          </cell>
          <cell r="C5759">
            <v>17905.8</v>
          </cell>
          <cell r="D5759">
            <v>17924.900000000001</v>
          </cell>
          <cell r="E5759">
            <v>17800.3</v>
          </cell>
          <cell r="F5759">
            <v>17826.7</v>
          </cell>
        </row>
        <row r="5760">
          <cell r="B5760">
            <v>44979</v>
          </cell>
          <cell r="C5760">
            <v>17755.349999999999</v>
          </cell>
          <cell r="D5760">
            <v>17772.5</v>
          </cell>
          <cell r="E5760">
            <v>17529.45</v>
          </cell>
          <cell r="F5760">
            <v>17554.3</v>
          </cell>
        </row>
        <row r="5761">
          <cell r="B5761">
            <v>44980</v>
          </cell>
          <cell r="C5761">
            <v>17574.650000000001</v>
          </cell>
          <cell r="D5761">
            <v>17620.05</v>
          </cell>
          <cell r="E5761">
            <v>17455.400000000001</v>
          </cell>
          <cell r="F5761">
            <v>17511.25</v>
          </cell>
        </row>
        <row r="5762">
          <cell r="B5762">
            <v>44981</v>
          </cell>
          <cell r="C5762">
            <v>17591.349999999999</v>
          </cell>
          <cell r="D5762">
            <v>17599.75</v>
          </cell>
          <cell r="E5762">
            <v>17421.8</v>
          </cell>
          <cell r="F5762">
            <v>17465.8</v>
          </cell>
        </row>
        <row r="5763">
          <cell r="B5763">
            <v>44984</v>
          </cell>
          <cell r="C5763">
            <v>17428.599999999999</v>
          </cell>
          <cell r="D5763">
            <v>17451.599999999999</v>
          </cell>
          <cell r="E5763">
            <v>17299</v>
          </cell>
          <cell r="F5763">
            <v>17392.7</v>
          </cell>
        </row>
        <row r="5764">
          <cell r="B5764">
            <v>44985</v>
          </cell>
          <cell r="C5764">
            <v>17383.25</v>
          </cell>
          <cell r="D5764">
            <v>17440.45</v>
          </cell>
          <cell r="E5764">
            <v>17255.2</v>
          </cell>
          <cell r="F5764">
            <v>17303.95</v>
          </cell>
        </row>
        <row r="5765">
          <cell r="B5765">
            <v>44986</v>
          </cell>
          <cell r="C5765">
            <v>17360.099999999999</v>
          </cell>
          <cell r="D5765">
            <v>17467.75</v>
          </cell>
          <cell r="E5765">
            <v>17345.25</v>
          </cell>
          <cell r="F5765">
            <v>17450.900000000001</v>
          </cell>
        </row>
        <row r="5766">
          <cell r="B5766">
            <v>44987</v>
          </cell>
          <cell r="C5766">
            <v>17421.5</v>
          </cell>
          <cell r="D5766">
            <v>17445.8</v>
          </cell>
          <cell r="E5766">
            <v>17306</v>
          </cell>
          <cell r="F5766">
            <v>17321.900000000001</v>
          </cell>
        </row>
        <row r="5767">
          <cell r="B5767">
            <v>44988</v>
          </cell>
          <cell r="C5767">
            <v>17451.25</v>
          </cell>
          <cell r="D5767">
            <v>17644.75</v>
          </cell>
          <cell r="E5767">
            <v>17427.7</v>
          </cell>
          <cell r="F5767">
            <v>17594.349999999999</v>
          </cell>
        </row>
        <row r="5768">
          <cell r="B5768">
            <v>44991</v>
          </cell>
          <cell r="C5768">
            <v>17680.349999999999</v>
          </cell>
          <cell r="D5768">
            <v>17799.95</v>
          </cell>
          <cell r="E5768">
            <v>17671.95</v>
          </cell>
          <cell r="F5768">
            <v>17711.45</v>
          </cell>
        </row>
        <row r="5769">
          <cell r="B5769">
            <v>44993</v>
          </cell>
          <cell r="C5769">
            <v>17665.75</v>
          </cell>
          <cell r="D5769">
            <v>17766.5</v>
          </cell>
          <cell r="E5769">
            <v>17602.25</v>
          </cell>
          <cell r="F5769">
            <v>17754.400000000001</v>
          </cell>
        </row>
        <row r="5770">
          <cell r="B5770">
            <v>44994</v>
          </cell>
          <cell r="C5770">
            <v>17772.05</v>
          </cell>
          <cell r="D5770">
            <v>17772.349999999999</v>
          </cell>
          <cell r="E5770">
            <v>17573.599999999999</v>
          </cell>
          <cell r="F5770">
            <v>17589.599999999999</v>
          </cell>
        </row>
        <row r="5771">
          <cell r="B5771">
            <v>44995</v>
          </cell>
          <cell r="C5771">
            <v>17443.8</v>
          </cell>
          <cell r="D5771">
            <v>17451.5</v>
          </cell>
          <cell r="E5771">
            <v>17324.349999999999</v>
          </cell>
          <cell r="F5771">
            <v>17412.900000000001</v>
          </cell>
        </row>
        <row r="5772">
          <cell r="B5772">
            <v>44998</v>
          </cell>
          <cell r="C5772">
            <v>17421.900000000001</v>
          </cell>
          <cell r="D5772">
            <v>17529.900000000001</v>
          </cell>
          <cell r="E5772">
            <v>17113.45</v>
          </cell>
          <cell r="F5772">
            <v>17154.3</v>
          </cell>
        </row>
        <row r="5773">
          <cell r="B5773">
            <v>44999</v>
          </cell>
          <cell r="C5773">
            <v>17160.55</v>
          </cell>
          <cell r="D5773">
            <v>17224.650000000001</v>
          </cell>
          <cell r="E5773">
            <v>16987.099999999999</v>
          </cell>
          <cell r="F5773">
            <v>17043.3</v>
          </cell>
        </row>
        <row r="5774">
          <cell r="B5774">
            <v>45000</v>
          </cell>
          <cell r="C5774">
            <v>17166.45</v>
          </cell>
          <cell r="D5774">
            <v>17211.349999999999</v>
          </cell>
          <cell r="E5774">
            <v>16938.900000000001</v>
          </cell>
          <cell r="F5774">
            <v>16972.150000000001</v>
          </cell>
        </row>
        <row r="5775">
          <cell r="B5775">
            <v>45001</v>
          </cell>
          <cell r="C5775">
            <v>16994.650000000001</v>
          </cell>
          <cell r="D5775">
            <v>17062.45</v>
          </cell>
          <cell r="E5775">
            <v>16850.150000000001</v>
          </cell>
          <cell r="F5775">
            <v>16985.599999999999</v>
          </cell>
        </row>
        <row r="5776">
          <cell r="B5776">
            <v>45002</v>
          </cell>
          <cell r="C5776">
            <v>17111.8</v>
          </cell>
          <cell r="D5776">
            <v>17145.8</v>
          </cell>
          <cell r="E5776">
            <v>16958.150000000001</v>
          </cell>
          <cell r="F5776">
            <v>17100.05</v>
          </cell>
        </row>
        <row r="5777">
          <cell r="B5777">
            <v>45005</v>
          </cell>
          <cell r="C5777">
            <v>17066.599999999999</v>
          </cell>
          <cell r="D5777">
            <v>17066.599999999999</v>
          </cell>
          <cell r="E5777">
            <v>16828.349999999999</v>
          </cell>
          <cell r="F5777">
            <v>16988.400000000001</v>
          </cell>
        </row>
        <row r="5778">
          <cell r="B5778">
            <v>45006</v>
          </cell>
          <cell r="C5778">
            <v>17060.400000000001</v>
          </cell>
          <cell r="D5778">
            <v>17127.7</v>
          </cell>
          <cell r="E5778">
            <v>17016</v>
          </cell>
          <cell r="F5778">
            <v>17107.5</v>
          </cell>
        </row>
        <row r="5779">
          <cell r="B5779">
            <v>45007</v>
          </cell>
          <cell r="C5779">
            <v>17177.45</v>
          </cell>
          <cell r="D5779">
            <v>17207.25</v>
          </cell>
          <cell r="E5779">
            <v>17107.849999999999</v>
          </cell>
          <cell r="F5779">
            <v>17151.900000000001</v>
          </cell>
        </row>
        <row r="5780">
          <cell r="B5780">
            <v>45008</v>
          </cell>
          <cell r="C5780">
            <v>17097.400000000001</v>
          </cell>
          <cell r="D5780">
            <v>17205.400000000001</v>
          </cell>
          <cell r="E5780">
            <v>17045.3</v>
          </cell>
          <cell r="F5780">
            <v>17076.900000000001</v>
          </cell>
        </row>
        <row r="5781">
          <cell r="B5781">
            <v>45009</v>
          </cell>
          <cell r="C5781">
            <v>17076.2</v>
          </cell>
          <cell r="D5781">
            <v>17109.45</v>
          </cell>
          <cell r="E5781">
            <v>16917.349999999999</v>
          </cell>
          <cell r="F5781">
            <v>16945.05</v>
          </cell>
        </row>
        <row r="5782">
          <cell r="B5782">
            <v>45012</v>
          </cell>
          <cell r="C5782">
            <v>16984.3</v>
          </cell>
          <cell r="D5782">
            <v>17091</v>
          </cell>
          <cell r="E5782">
            <v>16918.55</v>
          </cell>
          <cell r="F5782">
            <v>16985.7</v>
          </cell>
        </row>
        <row r="5783">
          <cell r="B5783">
            <v>45013</v>
          </cell>
          <cell r="C5783">
            <v>17031.75</v>
          </cell>
          <cell r="D5783">
            <v>17061.75</v>
          </cell>
          <cell r="E5783">
            <v>16913.75</v>
          </cell>
          <cell r="F5783">
            <v>16951.7</v>
          </cell>
        </row>
        <row r="5784">
          <cell r="B5784">
            <v>45014</v>
          </cell>
          <cell r="C5784">
            <v>16977.3</v>
          </cell>
          <cell r="D5784">
            <v>17126.150000000001</v>
          </cell>
          <cell r="E5784">
            <v>16940.599999999999</v>
          </cell>
          <cell r="F5784">
            <v>17080.7</v>
          </cell>
        </row>
        <row r="5785">
          <cell r="B5785">
            <v>45016</v>
          </cell>
          <cell r="C5785">
            <v>17210.349999999999</v>
          </cell>
          <cell r="D5785">
            <v>17381.599999999999</v>
          </cell>
          <cell r="E5785">
            <v>17204.650000000001</v>
          </cell>
          <cell r="F5785">
            <v>17359.75</v>
          </cell>
        </row>
        <row r="5786">
          <cell r="B5786">
            <v>45019</v>
          </cell>
          <cell r="C5786">
            <v>17427.95</v>
          </cell>
          <cell r="D5786">
            <v>17428.05</v>
          </cell>
          <cell r="E5786">
            <v>17312.75</v>
          </cell>
          <cell r="F5786">
            <v>17398.05</v>
          </cell>
        </row>
        <row r="5787">
          <cell r="B5787">
            <v>45021</v>
          </cell>
          <cell r="C5787">
            <v>17422.3</v>
          </cell>
          <cell r="D5787">
            <v>17570.55</v>
          </cell>
          <cell r="E5787">
            <v>17402.7</v>
          </cell>
          <cell r="F5787">
            <v>17557.05</v>
          </cell>
        </row>
        <row r="5788">
          <cell r="B5788">
            <v>45022</v>
          </cell>
          <cell r="C5788">
            <v>17533.849999999999</v>
          </cell>
          <cell r="D5788">
            <v>17638.7</v>
          </cell>
          <cell r="E5788">
            <v>17502.849999999999</v>
          </cell>
          <cell r="F5788">
            <v>17599.150000000001</v>
          </cell>
        </row>
        <row r="5789">
          <cell r="B5789">
            <v>45026</v>
          </cell>
          <cell r="C5789">
            <v>17634.900000000001</v>
          </cell>
          <cell r="D5789">
            <v>17694.099999999999</v>
          </cell>
          <cell r="E5789">
            <v>17597.95</v>
          </cell>
          <cell r="F5789">
            <v>17624.05</v>
          </cell>
        </row>
        <row r="5790">
          <cell r="B5790">
            <v>45027</v>
          </cell>
          <cell r="C5790">
            <v>17704.8</v>
          </cell>
          <cell r="D5790">
            <v>17748.75</v>
          </cell>
          <cell r="E5790">
            <v>17655.150000000001</v>
          </cell>
          <cell r="F5790">
            <v>17722.3</v>
          </cell>
        </row>
        <row r="5791">
          <cell r="B5791">
            <v>45028</v>
          </cell>
          <cell r="C5791">
            <v>17759.55</v>
          </cell>
          <cell r="D5791">
            <v>17825.75</v>
          </cell>
          <cell r="E5791">
            <v>17717.25</v>
          </cell>
          <cell r="F5791">
            <v>17812.400000000001</v>
          </cell>
        </row>
        <row r="5792">
          <cell r="B5792">
            <v>45029</v>
          </cell>
          <cell r="C5792">
            <v>17807.3</v>
          </cell>
          <cell r="D5792">
            <v>17842.150000000001</v>
          </cell>
          <cell r="E5792">
            <v>17729.650000000001</v>
          </cell>
          <cell r="F5792">
            <v>17828</v>
          </cell>
        </row>
        <row r="5793">
          <cell r="B5793">
            <v>45033</v>
          </cell>
          <cell r="C5793">
            <v>17863</v>
          </cell>
          <cell r="D5793">
            <v>17863</v>
          </cell>
          <cell r="E5793">
            <v>17574.05</v>
          </cell>
          <cell r="F5793">
            <v>17706.849999999999</v>
          </cell>
        </row>
        <row r="5794">
          <cell r="B5794">
            <v>45034</v>
          </cell>
          <cell r="C5794">
            <v>17766.599999999999</v>
          </cell>
          <cell r="D5794">
            <v>17766.599999999999</v>
          </cell>
          <cell r="E5794">
            <v>17610.2</v>
          </cell>
          <cell r="F5794">
            <v>17660.150000000001</v>
          </cell>
        </row>
        <row r="5795">
          <cell r="B5795">
            <v>45035</v>
          </cell>
          <cell r="C5795">
            <v>17653.349999999999</v>
          </cell>
          <cell r="D5795">
            <v>17666.150000000001</v>
          </cell>
          <cell r="E5795">
            <v>17579.849999999999</v>
          </cell>
          <cell r="F5795">
            <v>17618.75</v>
          </cell>
        </row>
        <row r="5796">
          <cell r="B5796">
            <v>45036</v>
          </cell>
          <cell r="C5796">
            <v>17638.599999999999</v>
          </cell>
          <cell r="D5796">
            <v>17684.45</v>
          </cell>
          <cell r="E5796">
            <v>17584.349999999999</v>
          </cell>
          <cell r="F5796">
            <v>17624.45</v>
          </cell>
        </row>
        <row r="5797">
          <cell r="B5797">
            <v>45037</v>
          </cell>
          <cell r="C5797">
            <v>17639.75</v>
          </cell>
          <cell r="D5797">
            <v>17663.2</v>
          </cell>
          <cell r="E5797">
            <v>17553.95</v>
          </cell>
          <cell r="F5797">
            <v>17624.05</v>
          </cell>
        </row>
        <row r="5798">
          <cell r="B5798">
            <v>45040</v>
          </cell>
          <cell r="C5798">
            <v>17707.55</v>
          </cell>
          <cell r="D5798">
            <v>17754.5</v>
          </cell>
          <cell r="E5798">
            <v>17612.5</v>
          </cell>
          <cell r="F5798">
            <v>17743.400000000001</v>
          </cell>
        </row>
        <row r="5799">
          <cell r="B5799">
            <v>45041</v>
          </cell>
          <cell r="C5799">
            <v>17761.55</v>
          </cell>
          <cell r="D5799">
            <v>17807.45</v>
          </cell>
          <cell r="E5799">
            <v>17716.849999999999</v>
          </cell>
          <cell r="F5799">
            <v>17769.25</v>
          </cell>
        </row>
        <row r="5800">
          <cell r="B5800">
            <v>45042</v>
          </cell>
          <cell r="C5800">
            <v>17767.3</v>
          </cell>
          <cell r="D5800">
            <v>17827.75</v>
          </cell>
          <cell r="E5800">
            <v>17711.2</v>
          </cell>
          <cell r="F5800">
            <v>17813.599999999999</v>
          </cell>
        </row>
        <row r="5801">
          <cell r="B5801">
            <v>45043</v>
          </cell>
          <cell r="C5801">
            <v>17813.099999999999</v>
          </cell>
          <cell r="D5801">
            <v>17931.599999999999</v>
          </cell>
          <cell r="E5801">
            <v>17797.900000000001</v>
          </cell>
          <cell r="F5801">
            <v>17915.05</v>
          </cell>
        </row>
        <row r="5802">
          <cell r="B5802">
            <v>45044</v>
          </cell>
          <cell r="C5802">
            <v>17950.400000000001</v>
          </cell>
          <cell r="D5802">
            <v>18089.150000000001</v>
          </cell>
          <cell r="E5802">
            <v>17885.3</v>
          </cell>
          <cell r="F5802">
            <v>18065</v>
          </cell>
        </row>
        <row r="5803">
          <cell r="B5803">
            <v>45048</v>
          </cell>
          <cell r="C5803">
            <v>18124.8</v>
          </cell>
          <cell r="D5803">
            <v>18180.25</v>
          </cell>
          <cell r="E5803">
            <v>18101.75</v>
          </cell>
          <cell r="F5803">
            <v>18147.650000000001</v>
          </cell>
        </row>
        <row r="5804">
          <cell r="B5804">
            <v>45049</v>
          </cell>
          <cell r="C5804">
            <v>18113.8</v>
          </cell>
          <cell r="D5804">
            <v>18116.349999999999</v>
          </cell>
          <cell r="E5804">
            <v>18042.400000000001</v>
          </cell>
          <cell r="F5804">
            <v>18089.849999999999</v>
          </cell>
        </row>
        <row r="5805">
          <cell r="B5805">
            <v>45050</v>
          </cell>
          <cell r="C5805">
            <v>18081</v>
          </cell>
          <cell r="D5805">
            <v>18267.45</v>
          </cell>
          <cell r="E5805">
            <v>18066.7</v>
          </cell>
          <cell r="F5805">
            <v>18255.8</v>
          </cell>
        </row>
        <row r="5806">
          <cell r="B5806">
            <v>45051</v>
          </cell>
          <cell r="C5806">
            <v>18117.3</v>
          </cell>
          <cell r="D5806">
            <v>18216.95</v>
          </cell>
          <cell r="E5806">
            <v>18055.45</v>
          </cell>
          <cell r="F5806">
            <v>18069</v>
          </cell>
        </row>
        <row r="5807">
          <cell r="B5807">
            <v>45054</v>
          </cell>
          <cell r="C5807">
            <v>18120.599999999999</v>
          </cell>
          <cell r="D5807">
            <v>18286.95</v>
          </cell>
          <cell r="E5807">
            <v>18100.3</v>
          </cell>
          <cell r="F5807">
            <v>18264.400000000001</v>
          </cell>
        </row>
        <row r="5808">
          <cell r="B5808">
            <v>45055</v>
          </cell>
          <cell r="C5808">
            <v>18303.400000000001</v>
          </cell>
          <cell r="D5808">
            <v>18344.2</v>
          </cell>
          <cell r="E5808">
            <v>18229.650000000001</v>
          </cell>
          <cell r="F5808">
            <v>18265.95</v>
          </cell>
        </row>
        <row r="5809">
          <cell r="B5809">
            <v>45056</v>
          </cell>
          <cell r="C5809">
            <v>18313.599999999999</v>
          </cell>
          <cell r="D5809">
            <v>18326.75</v>
          </cell>
          <cell r="E5809">
            <v>18211.95</v>
          </cell>
          <cell r="F5809">
            <v>18315.099999999999</v>
          </cell>
        </row>
        <row r="5810">
          <cell r="B5810">
            <v>45057</v>
          </cell>
          <cell r="C5810">
            <v>18357.8</v>
          </cell>
          <cell r="D5810">
            <v>18389.7</v>
          </cell>
          <cell r="E5810">
            <v>18270.400000000001</v>
          </cell>
          <cell r="F5810">
            <v>18297</v>
          </cell>
        </row>
        <row r="5811">
          <cell r="B5811">
            <v>45058</v>
          </cell>
          <cell r="C5811">
            <v>18273.75</v>
          </cell>
          <cell r="D5811">
            <v>18342.75</v>
          </cell>
          <cell r="E5811">
            <v>18194.55</v>
          </cell>
          <cell r="F5811">
            <v>18314.8</v>
          </cell>
        </row>
        <row r="5812">
          <cell r="B5812">
            <v>45061</v>
          </cell>
          <cell r="C5812">
            <v>18339.3</v>
          </cell>
          <cell r="D5812">
            <v>18458.900000000001</v>
          </cell>
          <cell r="E5812">
            <v>18287.900000000001</v>
          </cell>
          <cell r="F5812">
            <v>18398.849999999999</v>
          </cell>
        </row>
        <row r="5813">
          <cell r="B5813">
            <v>45062</v>
          </cell>
          <cell r="C5813">
            <v>18432.349999999999</v>
          </cell>
          <cell r="D5813">
            <v>18432.349999999999</v>
          </cell>
          <cell r="E5813">
            <v>18264.349999999999</v>
          </cell>
          <cell r="F5813">
            <v>18286.5</v>
          </cell>
        </row>
        <row r="5814">
          <cell r="B5814">
            <v>45063</v>
          </cell>
          <cell r="C5814">
            <v>18300.45</v>
          </cell>
          <cell r="D5814">
            <v>18309</v>
          </cell>
          <cell r="E5814">
            <v>18115.349999999999</v>
          </cell>
          <cell r="F5814">
            <v>18181.75</v>
          </cell>
        </row>
        <row r="5815">
          <cell r="B5815">
            <v>45064</v>
          </cell>
          <cell r="C5815">
            <v>18287.5</v>
          </cell>
          <cell r="D5815">
            <v>18297.2</v>
          </cell>
          <cell r="E5815">
            <v>18104.849999999999</v>
          </cell>
          <cell r="F5815">
            <v>18129.95</v>
          </cell>
        </row>
        <row r="5816">
          <cell r="B5816">
            <v>45065</v>
          </cell>
          <cell r="C5816">
            <v>18186.150000000001</v>
          </cell>
          <cell r="D5816">
            <v>18218.099999999999</v>
          </cell>
          <cell r="E5816">
            <v>18060.400000000001</v>
          </cell>
          <cell r="F5816">
            <v>18203.400000000001</v>
          </cell>
        </row>
        <row r="5817">
          <cell r="B5817">
            <v>45068</v>
          </cell>
          <cell r="C5817">
            <v>18201.099999999999</v>
          </cell>
          <cell r="D5817">
            <v>18335.25</v>
          </cell>
          <cell r="E5817">
            <v>18178.849999999999</v>
          </cell>
          <cell r="F5817">
            <v>18314.400000000001</v>
          </cell>
        </row>
        <row r="5818">
          <cell r="B5818">
            <v>45069</v>
          </cell>
          <cell r="C5818">
            <v>18362.900000000001</v>
          </cell>
          <cell r="D5818">
            <v>18419.75</v>
          </cell>
          <cell r="E5818">
            <v>18324.2</v>
          </cell>
          <cell r="F5818">
            <v>18348</v>
          </cell>
        </row>
        <row r="5819">
          <cell r="B5819">
            <v>45070</v>
          </cell>
          <cell r="C5819">
            <v>18294.8</v>
          </cell>
          <cell r="D5819">
            <v>18392.599999999999</v>
          </cell>
          <cell r="E5819">
            <v>18262.95</v>
          </cell>
          <cell r="F5819">
            <v>18285.400000000001</v>
          </cell>
        </row>
        <row r="5820">
          <cell r="B5820">
            <v>45071</v>
          </cell>
          <cell r="C5820">
            <v>18268.900000000001</v>
          </cell>
          <cell r="D5820">
            <v>18338.099999999999</v>
          </cell>
          <cell r="E5820">
            <v>18202.400000000001</v>
          </cell>
          <cell r="F5820">
            <v>18321.150000000001</v>
          </cell>
        </row>
        <row r="5821">
          <cell r="B5821">
            <v>45072</v>
          </cell>
          <cell r="C5821">
            <v>18368.349999999999</v>
          </cell>
          <cell r="D5821">
            <v>18508.55</v>
          </cell>
          <cell r="E5821">
            <v>18333.150000000001</v>
          </cell>
          <cell r="F5821">
            <v>18499.349999999999</v>
          </cell>
        </row>
        <row r="5822">
          <cell r="B5822">
            <v>45075</v>
          </cell>
          <cell r="C5822">
            <v>18619.150000000001</v>
          </cell>
          <cell r="D5822">
            <v>18641.2</v>
          </cell>
          <cell r="E5822">
            <v>18581.25</v>
          </cell>
          <cell r="F5822">
            <v>18598.650000000001</v>
          </cell>
        </row>
        <row r="5823">
          <cell r="B5823">
            <v>45076</v>
          </cell>
          <cell r="C5823">
            <v>18606.650000000001</v>
          </cell>
          <cell r="D5823">
            <v>18662.45</v>
          </cell>
          <cell r="E5823">
            <v>18575.5</v>
          </cell>
          <cell r="F5823">
            <v>18633.849999999999</v>
          </cell>
        </row>
        <row r="5824">
          <cell r="B5824">
            <v>45077</v>
          </cell>
          <cell r="C5824">
            <v>18594.2</v>
          </cell>
          <cell r="D5824">
            <v>18603.900000000001</v>
          </cell>
          <cell r="E5824">
            <v>18483.849999999999</v>
          </cell>
          <cell r="F5824">
            <v>18534.400000000001</v>
          </cell>
        </row>
        <row r="5825">
          <cell r="B5825">
            <v>45078</v>
          </cell>
          <cell r="C5825">
            <v>18579.400000000001</v>
          </cell>
          <cell r="D5825">
            <v>18580.3</v>
          </cell>
          <cell r="E5825">
            <v>18464.55</v>
          </cell>
          <cell r="F5825">
            <v>18487.75</v>
          </cell>
        </row>
        <row r="5826">
          <cell r="B5826">
            <v>45079</v>
          </cell>
          <cell r="C5826">
            <v>18550.849999999999</v>
          </cell>
          <cell r="D5826">
            <v>18573.7</v>
          </cell>
          <cell r="E5826">
            <v>18478.400000000001</v>
          </cell>
          <cell r="F5826">
            <v>18534.099999999999</v>
          </cell>
        </row>
        <row r="5827">
          <cell r="B5827">
            <v>45082</v>
          </cell>
          <cell r="C5827">
            <v>18612</v>
          </cell>
          <cell r="D5827">
            <v>18640.150000000001</v>
          </cell>
          <cell r="E5827">
            <v>18582.8</v>
          </cell>
          <cell r="F5827">
            <v>18593.849999999999</v>
          </cell>
        </row>
        <row r="5828">
          <cell r="B5828">
            <v>45083</v>
          </cell>
          <cell r="C5828">
            <v>18600.8</v>
          </cell>
          <cell r="D5828">
            <v>18622.75</v>
          </cell>
          <cell r="E5828">
            <v>18531.599999999999</v>
          </cell>
          <cell r="F5828">
            <v>18599</v>
          </cell>
        </row>
        <row r="5829">
          <cell r="B5829">
            <v>45084</v>
          </cell>
          <cell r="C5829">
            <v>18665.599999999999</v>
          </cell>
          <cell r="D5829">
            <v>18738.95</v>
          </cell>
          <cell r="E5829">
            <v>18636</v>
          </cell>
          <cell r="F5829">
            <v>18726.400000000001</v>
          </cell>
        </row>
        <row r="5830">
          <cell r="B5830">
            <v>45085</v>
          </cell>
          <cell r="C5830">
            <v>18725.349999999999</v>
          </cell>
          <cell r="D5830">
            <v>18777.900000000001</v>
          </cell>
          <cell r="E5830">
            <v>18615.599999999999</v>
          </cell>
          <cell r="F5830">
            <v>18634.55</v>
          </cell>
        </row>
        <row r="5831">
          <cell r="B5831">
            <v>45086</v>
          </cell>
          <cell r="C5831">
            <v>18655.900000000001</v>
          </cell>
          <cell r="D5831">
            <v>18676.650000000001</v>
          </cell>
          <cell r="E5831">
            <v>18555.400000000001</v>
          </cell>
          <cell r="F5831">
            <v>18563.400000000001</v>
          </cell>
        </row>
        <row r="5832">
          <cell r="B5832">
            <v>45089</v>
          </cell>
          <cell r="C5832">
            <v>18595.05</v>
          </cell>
          <cell r="D5832">
            <v>18633.599999999999</v>
          </cell>
          <cell r="E5832">
            <v>18559.75</v>
          </cell>
          <cell r="F5832">
            <v>18601.5</v>
          </cell>
        </row>
        <row r="5833">
          <cell r="B5833">
            <v>45090</v>
          </cell>
          <cell r="C5833">
            <v>18631.8</v>
          </cell>
          <cell r="D5833">
            <v>18728.900000000001</v>
          </cell>
          <cell r="E5833">
            <v>18631.8</v>
          </cell>
          <cell r="F5833">
            <v>18716.150000000001</v>
          </cell>
        </row>
        <row r="5834">
          <cell r="B5834">
            <v>45091</v>
          </cell>
          <cell r="C5834">
            <v>18744.599999999999</v>
          </cell>
          <cell r="D5834">
            <v>18769.7</v>
          </cell>
          <cell r="E5834">
            <v>18690</v>
          </cell>
          <cell r="F5834">
            <v>18755.900000000001</v>
          </cell>
        </row>
        <row r="5835">
          <cell r="B5835">
            <v>45092</v>
          </cell>
          <cell r="C5835">
            <v>18774.45</v>
          </cell>
          <cell r="D5835">
            <v>18794.099999999999</v>
          </cell>
          <cell r="E5835">
            <v>18669.05</v>
          </cell>
          <cell r="F5835">
            <v>18688.099999999999</v>
          </cell>
        </row>
        <row r="5836">
          <cell r="B5836">
            <v>45093</v>
          </cell>
          <cell r="C5836">
            <v>18723.3</v>
          </cell>
          <cell r="D5836">
            <v>18864.7</v>
          </cell>
          <cell r="E5836">
            <v>18710.5</v>
          </cell>
          <cell r="F5836">
            <v>18826</v>
          </cell>
        </row>
        <row r="5837">
          <cell r="B5837">
            <v>45096</v>
          </cell>
          <cell r="C5837">
            <v>18873.3</v>
          </cell>
          <cell r="D5837">
            <v>18881.45</v>
          </cell>
          <cell r="E5837">
            <v>18719.150000000001</v>
          </cell>
          <cell r="F5837">
            <v>18755.45</v>
          </cell>
        </row>
        <row r="5838">
          <cell r="B5838">
            <v>45097</v>
          </cell>
          <cell r="C5838">
            <v>18752.349999999999</v>
          </cell>
          <cell r="D5838">
            <v>18839.7</v>
          </cell>
          <cell r="E5838">
            <v>18660.650000000001</v>
          </cell>
          <cell r="F5838">
            <v>18816.7</v>
          </cell>
        </row>
        <row r="5839">
          <cell r="B5839">
            <v>45098</v>
          </cell>
          <cell r="C5839">
            <v>18849.400000000001</v>
          </cell>
          <cell r="D5839">
            <v>18875.900000000001</v>
          </cell>
          <cell r="E5839">
            <v>18794.849999999999</v>
          </cell>
          <cell r="F5839">
            <v>18856.849999999999</v>
          </cell>
        </row>
        <row r="5840">
          <cell r="B5840">
            <v>45099</v>
          </cell>
          <cell r="C5840">
            <v>18853.599999999999</v>
          </cell>
          <cell r="D5840">
            <v>18886.599999999999</v>
          </cell>
          <cell r="E5840">
            <v>18759.5</v>
          </cell>
          <cell r="F5840">
            <v>18771.25</v>
          </cell>
        </row>
        <row r="5841">
          <cell r="B5841">
            <v>45100</v>
          </cell>
          <cell r="C5841">
            <v>18741.849999999999</v>
          </cell>
          <cell r="D5841">
            <v>18756.400000000001</v>
          </cell>
          <cell r="E5841">
            <v>18647.099999999999</v>
          </cell>
          <cell r="F5841">
            <v>18665.5</v>
          </cell>
        </row>
        <row r="5842">
          <cell r="B5842">
            <v>45103</v>
          </cell>
          <cell r="C5842">
            <v>18682.349999999999</v>
          </cell>
          <cell r="D5842">
            <v>18722.05</v>
          </cell>
          <cell r="E5842">
            <v>18646.7</v>
          </cell>
          <cell r="F5842">
            <v>18691.2</v>
          </cell>
        </row>
        <row r="5843">
          <cell r="B5843">
            <v>45104</v>
          </cell>
          <cell r="C5843">
            <v>18748.55</v>
          </cell>
          <cell r="D5843">
            <v>18829.25</v>
          </cell>
          <cell r="E5843">
            <v>18714.25</v>
          </cell>
          <cell r="F5843">
            <v>18817.400000000001</v>
          </cell>
        </row>
        <row r="5844">
          <cell r="B5844">
            <v>45105</v>
          </cell>
          <cell r="C5844">
            <v>18908.150000000001</v>
          </cell>
          <cell r="D5844">
            <v>19011.25</v>
          </cell>
          <cell r="E5844">
            <v>18861.349999999999</v>
          </cell>
          <cell r="F5844">
            <v>18972.099999999999</v>
          </cell>
        </row>
        <row r="5845">
          <cell r="B5845">
            <v>45107</v>
          </cell>
          <cell r="C5845">
            <v>19076.849999999999</v>
          </cell>
          <cell r="D5845">
            <v>19201.7</v>
          </cell>
          <cell r="E5845">
            <v>19024.599999999999</v>
          </cell>
          <cell r="F5845">
            <v>19189.05</v>
          </cell>
        </row>
        <row r="5846">
          <cell r="B5846">
            <v>45110</v>
          </cell>
          <cell r="C5846">
            <v>19246.5</v>
          </cell>
          <cell r="D5846">
            <v>19345.099999999999</v>
          </cell>
          <cell r="E5846">
            <v>19234.400000000001</v>
          </cell>
          <cell r="F5846">
            <v>19322.55</v>
          </cell>
        </row>
        <row r="5847">
          <cell r="B5847">
            <v>45111</v>
          </cell>
          <cell r="C5847">
            <v>19406.599999999999</v>
          </cell>
          <cell r="D5847">
            <v>19434.150000000001</v>
          </cell>
          <cell r="E5847">
            <v>19300</v>
          </cell>
          <cell r="F5847">
            <v>19389</v>
          </cell>
        </row>
        <row r="5848">
          <cell r="B5848">
            <v>45112</v>
          </cell>
          <cell r="C5848">
            <v>19405.95</v>
          </cell>
          <cell r="D5848">
            <v>19421.599999999999</v>
          </cell>
          <cell r="E5848">
            <v>19339.599999999999</v>
          </cell>
          <cell r="F5848">
            <v>19398.5</v>
          </cell>
        </row>
        <row r="5849">
          <cell r="B5849">
            <v>45113</v>
          </cell>
          <cell r="C5849">
            <v>19385.7</v>
          </cell>
          <cell r="D5849">
            <v>19512.2</v>
          </cell>
          <cell r="E5849">
            <v>19373</v>
          </cell>
          <cell r="F5849">
            <v>19497.3</v>
          </cell>
        </row>
        <row r="5850">
          <cell r="B5850">
            <v>45114</v>
          </cell>
          <cell r="C5850">
            <v>19422.8</v>
          </cell>
          <cell r="D5850">
            <v>19523.599999999999</v>
          </cell>
          <cell r="E5850">
            <v>19303.599999999999</v>
          </cell>
          <cell r="F5850">
            <v>19331.8</v>
          </cell>
        </row>
        <row r="5851">
          <cell r="B5851">
            <v>45117</v>
          </cell>
          <cell r="C5851">
            <v>19400.349999999999</v>
          </cell>
          <cell r="D5851">
            <v>19435.849999999999</v>
          </cell>
          <cell r="E5851">
            <v>19327.099999999999</v>
          </cell>
          <cell r="F5851">
            <v>19355.900000000001</v>
          </cell>
        </row>
        <row r="5852">
          <cell r="B5852">
            <v>45118</v>
          </cell>
          <cell r="C5852">
            <v>19427.099999999999</v>
          </cell>
          <cell r="D5852">
            <v>19515.099999999999</v>
          </cell>
          <cell r="E5852">
            <v>19406.45</v>
          </cell>
          <cell r="F5852">
            <v>19439.400000000001</v>
          </cell>
        </row>
        <row r="5853">
          <cell r="B5853">
            <v>45119</v>
          </cell>
          <cell r="C5853">
            <v>19497.45</v>
          </cell>
          <cell r="D5853">
            <v>19507.7</v>
          </cell>
          <cell r="E5853">
            <v>19361.75</v>
          </cell>
          <cell r="F5853">
            <v>19384.3</v>
          </cell>
        </row>
        <row r="5854">
          <cell r="B5854">
            <v>45120</v>
          </cell>
          <cell r="C5854">
            <v>19495.2</v>
          </cell>
          <cell r="D5854">
            <v>19567</v>
          </cell>
          <cell r="E5854">
            <v>19385.8</v>
          </cell>
          <cell r="F5854">
            <v>19413.75</v>
          </cell>
        </row>
        <row r="5855">
          <cell r="B5855">
            <v>45121</v>
          </cell>
          <cell r="C5855">
            <v>19493.45</v>
          </cell>
          <cell r="D5855">
            <v>19595.349999999999</v>
          </cell>
          <cell r="E5855">
            <v>19433.5</v>
          </cell>
          <cell r="F5855">
            <v>19564.5</v>
          </cell>
        </row>
        <row r="5856">
          <cell r="B5856">
            <v>45124</v>
          </cell>
          <cell r="C5856">
            <v>19612.150000000001</v>
          </cell>
          <cell r="D5856">
            <v>19731.849999999999</v>
          </cell>
          <cell r="E5856">
            <v>19562.95</v>
          </cell>
          <cell r="F5856">
            <v>19711.45</v>
          </cell>
        </row>
        <row r="5857">
          <cell r="B5857">
            <v>45125</v>
          </cell>
          <cell r="C5857">
            <v>19787.5</v>
          </cell>
          <cell r="D5857">
            <v>19819.45</v>
          </cell>
          <cell r="E5857">
            <v>19690.2</v>
          </cell>
          <cell r="F5857">
            <v>19749.25</v>
          </cell>
        </row>
        <row r="5858">
          <cell r="B5858">
            <v>45126</v>
          </cell>
          <cell r="C5858">
            <v>19802.95</v>
          </cell>
          <cell r="D5858">
            <v>19851.7</v>
          </cell>
          <cell r="E5858">
            <v>19727.45</v>
          </cell>
          <cell r="F5858">
            <v>19833.150000000001</v>
          </cell>
        </row>
        <row r="5859">
          <cell r="B5859">
            <v>45127</v>
          </cell>
          <cell r="C5859">
            <v>19831.7</v>
          </cell>
          <cell r="D5859">
            <v>19991.849999999999</v>
          </cell>
          <cell r="E5859">
            <v>19758.400000000001</v>
          </cell>
          <cell r="F5859">
            <v>19979.150000000001</v>
          </cell>
        </row>
        <row r="5860">
          <cell r="B5860">
            <v>45128</v>
          </cell>
          <cell r="C5860">
            <v>19800.45</v>
          </cell>
          <cell r="D5860">
            <v>19887.400000000001</v>
          </cell>
          <cell r="E5860">
            <v>19700</v>
          </cell>
          <cell r="F5860">
            <v>19745</v>
          </cell>
        </row>
        <row r="5861">
          <cell r="B5861">
            <v>45131</v>
          </cell>
          <cell r="C5861">
            <v>19748.45</v>
          </cell>
          <cell r="D5861">
            <v>19782.75</v>
          </cell>
          <cell r="E5861">
            <v>19658.3</v>
          </cell>
          <cell r="F5861">
            <v>19672.349999999999</v>
          </cell>
        </row>
        <row r="5862">
          <cell r="B5862">
            <v>45132</v>
          </cell>
          <cell r="C5862">
            <v>19729.349999999999</v>
          </cell>
          <cell r="D5862">
            <v>19729.349999999999</v>
          </cell>
          <cell r="E5862">
            <v>19615.95</v>
          </cell>
          <cell r="F5862">
            <v>19680.599999999999</v>
          </cell>
        </row>
        <row r="5863">
          <cell r="B5863">
            <v>45133</v>
          </cell>
          <cell r="C5863">
            <v>19733.349999999999</v>
          </cell>
          <cell r="D5863">
            <v>19825.599999999999</v>
          </cell>
          <cell r="E5863">
            <v>19716.7</v>
          </cell>
          <cell r="F5863">
            <v>19778.3</v>
          </cell>
        </row>
        <row r="5864">
          <cell r="B5864">
            <v>45134</v>
          </cell>
          <cell r="C5864">
            <v>19850.900000000001</v>
          </cell>
          <cell r="D5864">
            <v>19867.55</v>
          </cell>
          <cell r="E5864">
            <v>19603.55</v>
          </cell>
          <cell r="F5864">
            <v>19659.900000000001</v>
          </cell>
        </row>
        <row r="5865">
          <cell r="B5865">
            <v>45135</v>
          </cell>
          <cell r="C5865">
            <v>19659.75</v>
          </cell>
          <cell r="D5865">
            <v>19695.900000000001</v>
          </cell>
          <cell r="E5865">
            <v>19563.099999999999</v>
          </cell>
          <cell r="F5865">
            <v>19646.05</v>
          </cell>
        </row>
        <row r="5866">
          <cell r="B5866">
            <v>45138</v>
          </cell>
          <cell r="C5866">
            <v>19666.349999999999</v>
          </cell>
          <cell r="D5866">
            <v>19772.75</v>
          </cell>
          <cell r="E5866">
            <v>19597.599999999999</v>
          </cell>
          <cell r="F5866">
            <v>19753.8</v>
          </cell>
        </row>
        <row r="5867">
          <cell r="B5867">
            <v>45139</v>
          </cell>
          <cell r="C5867">
            <v>19784</v>
          </cell>
          <cell r="D5867">
            <v>19795.599999999999</v>
          </cell>
          <cell r="E5867">
            <v>19704.599999999999</v>
          </cell>
          <cell r="F5867">
            <v>19733.55</v>
          </cell>
        </row>
        <row r="5868">
          <cell r="B5868">
            <v>45140</v>
          </cell>
          <cell r="C5868">
            <v>19655.400000000001</v>
          </cell>
          <cell r="D5868">
            <v>19678.25</v>
          </cell>
          <cell r="E5868">
            <v>19423.55</v>
          </cell>
          <cell r="F5868">
            <v>19526.55</v>
          </cell>
        </row>
        <row r="5869">
          <cell r="B5869">
            <v>45141</v>
          </cell>
          <cell r="C5869">
            <v>19463.75</v>
          </cell>
          <cell r="D5869">
            <v>19537.650000000001</v>
          </cell>
          <cell r="E5869">
            <v>19296.45</v>
          </cell>
          <cell r="F5869">
            <v>19381.650000000001</v>
          </cell>
        </row>
        <row r="5870">
          <cell r="B5870">
            <v>45142</v>
          </cell>
          <cell r="C5870">
            <v>19462.8</v>
          </cell>
          <cell r="D5870">
            <v>19538.849999999999</v>
          </cell>
          <cell r="E5870">
            <v>19436.45</v>
          </cell>
          <cell r="F5870">
            <v>19517</v>
          </cell>
        </row>
        <row r="5871">
          <cell r="B5871">
            <v>45145</v>
          </cell>
          <cell r="C5871">
            <v>19576.849999999999</v>
          </cell>
          <cell r="D5871">
            <v>19620.45</v>
          </cell>
          <cell r="E5871">
            <v>19524.8</v>
          </cell>
          <cell r="F5871">
            <v>19597.3</v>
          </cell>
        </row>
        <row r="5872">
          <cell r="B5872">
            <v>45146</v>
          </cell>
          <cell r="C5872">
            <v>19627.2</v>
          </cell>
          <cell r="D5872">
            <v>19634.400000000001</v>
          </cell>
          <cell r="E5872">
            <v>19533.099999999999</v>
          </cell>
          <cell r="F5872">
            <v>19570.849999999999</v>
          </cell>
        </row>
        <row r="5873">
          <cell r="B5873">
            <v>45147</v>
          </cell>
          <cell r="C5873">
            <v>19578.8</v>
          </cell>
          <cell r="D5873">
            <v>19645.5</v>
          </cell>
          <cell r="E5873">
            <v>19467.5</v>
          </cell>
          <cell r="F5873">
            <v>19632.55</v>
          </cell>
        </row>
        <row r="5874">
          <cell r="B5874">
            <v>45148</v>
          </cell>
          <cell r="C5874">
            <v>19605.55</v>
          </cell>
          <cell r="D5874">
            <v>19623.599999999999</v>
          </cell>
          <cell r="E5874">
            <v>19495.400000000001</v>
          </cell>
          <cell r="F5874">
            <v>19543.099999999999</v>
          </cell>
        </row>
        <row r="5875">
          <cell r="B5875">
            <v>45149</v>
          </cell>
          <cell r="C5875">
            <v>19554.25</v>
          </cell>
          <cell r="D5875">
            <v>19557.75</v>
          </cell>
          <cell r="E5875">
            <v>19412.75</v>
          </cell>
          <cell r="F5875">
            <v>19428.3</v>
          </cell>
        </row>
        <row r="5876">
          <cell r="B5876">
            <v>45152</v>
          </cell>
          <cell r="C5876">
            <v>19383.95</v>
          </cell>
          <cell r="D5876">
            <v>19465.849999999999</v>
          </cell>
          <cell r="E5876">
            <v>19257.900000000001</v>
          </cell>
          <cell r="F5876">
            <v>19434.55</v>
          </cell>
        </row>
        <row r="5877">
          <cell r="B5877">
            <v>45154</v>
          </cell>
          <cell r="C5877">
            <v>19369</v>
          </cell>
          <cell r="D5877">
            <v>19482.75</v>
          </cell>
          <cell r="E5877">
            <v>19317.2</v>
          </cell>
          <cell r="F5877">
            <v>19465</v>
          </cell>
        </row>
        <row r="5878">
          <cell r="B5878">
            <v>45155</v>
          </cell>
          <cell r="C5878">
            <v>19450.55</v>
          </cell>
          <cell r="D5878">
            <v>19461.55</v>
          </cell>
          <cell r="E5878">
            <v>19326.25</v>
          </cell>
          <cell r="F5878">
            <v>19365.25</v>
          </cell>
        </row>
        <row r="5879">
          <cell r="B5879">
            <v>45156</v>
          </cell>
          <cell r="C5879">
            <v>19301.75</v>
          </cell>
          <cell r="D5879">
            <v>19373.8</v>
          </cell>
          <cell r="E5879">
            <v>19253.599999999999</v>
          </cell>
          <cell r="F5879">
            <v>19310.150000000001</v>
          </cell>
        </row>
        <row r="5880">
          <cell r="B5880">
            <v>45159</v>
          </cell>
          <cell r="C5880">
            <v>19320.650000000001</v>
          </cell>
          <cell r="D5880">
            <v>19425.95</v>
          </cell>
          <cell r="E5880">
            <v>19296.3</v>
          </cell>
          <cell r="F5880">
            <v>19393.599999999999</v>
          </cell>
        </row>
        <row r="5881">
          <cell r="B5881">
            <v>45160</v>
          </cell>
          <cell r="C5881">
            <v>19417.099999999999</v>
          </cell>
          <cell r="D5881">
            <v>19443.5</v>
          </cell>
          <cell r="E5881">
            <v>19381.3</v>
          </cell>
          <cell r="F5881">
            <v>19396.45</v>
          </cell>
        </row>
        <row r="5882">
          <cell r="B5882">
            <v>45161</v>
          </cell>
          <cell r="C5882">
            <v>19439.2</v>
          </cell>
          <cell r="D5882">
            <v>19472.05</v>
          </cell>
          <cell r="E5882">
            <v>19366.599999999999</v>
          </cell>
          <cell r="F5882">
            <v>19444</v>
          </cell>
        </row>
        <row r="5883">
          <cell r="B5883">
            <v>45162</v>
          </cell>
          <cell r="C5883">
            <v>19535.150000000001</v>
          </cell>
          <cell r="D5883">
            <v>19584.45</v>
          </cell>
          <cell r="E5883">
            <v>19369</v>
          </cell>
          <cell r="F5883">
            <v>19386.7</v>
          </cell>
        </row>
        <row r="5884">
          <cell r="B5884">
            <v>45163</v>
          </cell>
          <cell r="C5884">
            <v>19297.400000000001</v>
          </cell>
          <cell r="D5884">
            <v>19339.55</v>
          </cell>
          <cell r="E5884">
            <v>19229.7</v>
          </cell>
          <cell r="F5884">
            <v>19265.8</v>
          </cell>
        </row>
        <row r="5885">
          <cell r="B5885">
            <v>45166</v>
          </cell>
          <cell r="C5885">
            <v>19298.349999999999</v>
          </cell>
          <cell r="D5885">
            <v>19366.849999999999</v>
          </cell>
          <cell r="E5885">
            <v>19249.7</v>
          </cell>
          <cell r="F5885">
            <v>19306.05</v>
          </cell>
        </row>
        <row r="5886">
          <cell r="B5886">
            <v>45167</v>
          </cell>
          <cell r="C5886">
            <v>19374.849999999999</v>
          </cell>
          <cell r="D5886">
            <v>19377.900000000001</v>
          </cell>
          <cell r="E5886">
            <v>19309.099999999999</v>
          </cell>
          <cell r="F5886">
            <v>19342.650000000001</v>
          </cell>
        </row>
        <row r="5887">
          <cell r="B5887">
            <v>45168</v>
          </cell>
          <cell r="C5887">
            <v>19433.45</v>
          </cell>
          <cell r="D5887">
            <v>19452.8</v>
          </cell>
          <cell r="E5887">
            <v>19334.75</v>
          </cell>
          <cell r="F5887">
            <v>19347.45</v>
          </cell>
        </row>
        <row r="5888">
          <cell r="B5888">
            <v>45169</v>
          </cell>
          <cell r="C5888">
            <v>19375.55</v>
          </cell>
          <cell r="D5888">
            <v>19388.2</v>
          </cell>
          <cell r="E5888">
            <v>19223.650000000001</v>
          </cell>
          <cell r="F5888">
            <v>19253.8</v>
          </cell>
        </row>
        <row r="5889">
          <cell r="B5889">
            <v>45170</v>
          </cell>
          <cell r="C5889">
            <v>19258.150000000001</v>
          </cell>
          <cell r="D5889">
            <v>19458.55</v>
          </cell>
          <cell r="E5889">
            <v>19255.7</v>
          </cell>
          <cell r="F5889">
            <v>19435.3</v>
          </cell>
        </row>
        <row r="5890">
          <cell r="B5890">
            <v>45173</v>
          </cell>
          <cell r="C5890">
            <v>19525.05</v>
          </cell>
          <cell r="D5890">
            <v>19545.150000000001</v>
          </cell>
          <cell r="E5890">
            <v>19432.849999999999</v>
          </cell>
          <cell r="F5890">
            <v>19528.8</v>
          </cell>
        </row>
        <row r="5891">
          <cell r="B5891">
            <v>45174</v>
          </cell>
          <cell r="C5891">
            <v>19564.650000000001</v>
          </cell>
          <cell r="D5891">
            <v>19587.05</v>
          </cell>
          <cell r="E5891">
            <v>19525.75</v>
          </cell>
          <cell r="F5891">
            <v>19574.900000000001</v>
          </cell>
        </row>
        <row r="5892">
          <cell r="B5892">
            <v>45175</v>
          </cell>
          <cell r="C5892">
            <v>19581.2</v>
          </cell>
          <cell r="D5892">
            <v>19636.45</v>
          </cell>
          <cell r="E5892">
            <v>19491.5</v>
          </cell>
          <cell r="F5892">
            <v>19611.05</v>
          </cell>
        </row>
        <row r="5893">
          <cell r="B5893">
            <v>45176</v>
          </cell>
          <cell r="C5893">
            <v>19598.650000000001</v>
          </cell>
          <cell r="D5893">
            <v>19737</v>
          </cell>
          <cell r="E5893">
            <v>19550.05</v>
          </cell>
          <cell r="F5893">
            <v>19727.05</v>
          </cell>
        </row>
        <row r="5894">
          <cell r="B5894">
            <v>45177</v>
          </cell>
          <cell r="C5894">
            <v>19774.8</v>
          </cell>
          <cell r="D5894">
            <v>19867.150000000001</v>
          </cell>
          <cell r="E5894">
            <v>19728.05</v>
          </cell>
          <cell r="F5894">
            <v>19819.95</v>
          </cell>
        </row>
        <row r="5895">
          <cell r="B5895">
            <v>45180</v>
          </cell>
          <cell r="C5895">
            <v>19890</v>
          </cell>
          <cell r="D5895">
            <v>20008.150000000001</v>
          </cell>
          <cell r="E5895">
            <v>19865.349999999999</v>
          </cell>
          <cell r="F5895">
            <v>19996.349999999999</v>
          </cell>
        </row>
        <row r="5896">
          <cell r="B5896">
            <v>45181</v>
          </cell>
          <cell r="C5896">
            <v>20110.150000000001</v>
          </cell>
          <cell r="D5896">
            <v>20110.349999999999</v>
          </cell>
          <cell r="E5896">
            <v>19914.650000000001</v>
          </cell>
          <cell r="F5896">
            <v>19993.2</v>
          </cell>
        </row>
        <row r="5897">
          <cell r="B5897">
            <v>45182</v>
          </cell>
          <cell r="C5897">
            <v>19989.5</v>
          </cell>
          <cell r="D5897">
            <v>20096.900000000001</v>
          </cell>
          <cell r="E5897">
            <v>19944.099999999999</v>
          </cell>
          <cell r="F5897">
            <v>20070</v>
          </cell>
        </row>
        <row r="5898">
          <cell r="B5898">
            <v>45183</v>
          </cell>
          <cell r="C5898">
            <v>20127.95</v>
          </cell>
          <cell r="D5898">
            <v>20167.650000000001</v>
          </cell>
          <cell r="E5898">
            <v>20043.45</v>
          </cell>
          <cell r="F5898">
            <v>20103.099999999999</v>
          </cell>
        </row>
        <row r="5899">
          <cell r="B5899">
            <v>45184</v>
          </cell>
          <cell r="C5899">
            <v>20156.45</v>
          </cell>
          <cell r="D5899">
            <v>20222.45</v>
          </cell>
          <cell r="E5899">
            <v>20129.7</v>
          </cell>
          <cell r="F5899">
            <v>20192.349999999999</v>
          </cell>
        </row>
        <row r="5900">
          <cell r="B5900">
            <v>45187</v>
          </cell>
          <cell r="C5900">
            <v>20155.95</v>
          </cell>
          <cell r="D5900">
            <v>20195.349999999999</v>
          </cell>
          <cell r="E5900">
            <v>20115.7</v>
          </cell>
          <cell r="F5900">
            <v>20133.3</v>
          </cell>
        </row>
        <row r="5901">
          <cell r="B5901">
            <v>45189</v>
          </cell>
          <cell r="C5901">
            <v>19980.75</v>
          </cell>
          <cell r="D5901">
            <v>20050.650000000001</v>
          </cell>
          <cell r="E5901">
            <v>19878.849999999999</v>
          </cell>
          <cell r="F5901">
            <v>19901.400000000001</v>
          </cell>
        </row>
        <row r="5902">
          <cell r="B5902">
            <v>45190</v>
          </cell>
          <cell r="C5902">
            <v>19840.55</v>
          </cell>
          <cell r="D5902">
            <v>19848.75</v>
          </cell>
          <cell r="E5902">
            <v>19709.95</v>
          </cell>
          <cell r="F5902">
            <v>19742.349999999999</v>
          </cell>
        </row>
        <row r="5903">
          <cell r="B5903">
            <v>45191</v>
          </cell>
          <cell r="C5903">
            <v>19744.849999999999</v>
          </cell>
          <cell r="D5903">
            <v>19798.650000000001</v>
          </cell>
          <cell r="E5903">
            <v>19657.5</v>
          </cell>
          <cell r="F5903">
            <v>19674.25</v>
          </cell>
        </row>
        <row r="5904">
          <cell r="B5904">
            <v>45194</v>
          </cell>
          <cell r="C5904">
            <v>19678.2</v>
          </cell>
          <cell r="D5904">
            <v>19734.150000000001</v>
          </cell>
          <cell r="E5904">
            <v>19601.55</v>
          </cell>
          <cell r="F5904">
            <v>19674.55</v>
          </cell>
        </row>
        <row r="5905">
          <cell r="B5905">
            <v>45195</v>
          </cell>
          <cell r="C5905">
            <v>19682.8</v>
          </cell>
          <cell r="D5905">
            <v>19699.349999999999</v>
          </cell>
          <cell r="E5905">
            <v>19637.45</v>
          </cell>
          <cell r="F5905">
            <v>19664.7</v>
          </cell>
        </row>
        <row r="5906">
          <cell r="B5906">
            <v>45196</v>
          </cell>
          <cell r="C5906">
            <v>19637.05</v>
          </cell>
          <cell r="D5906">
            <v>19730.7</v>
          </cell>
          <cell r="E5906">
            <v>19554</v>
          </cell>
          <cell r="F5906">
            <v>19716.45</v>
          </cell>
        </row>
        <row r="5907">
          <cell r="B5907">
            <v>45197</v>
          </cell>
          <cell r="C5907">
            <v>19761.8</v>
          </cell>
          <cell r="D5907">
            <v>19766.650000000001</v>
          </cell>
          <cell r="E5907">
            <v>19492.099999999999</v>
          </cell>
          <cell r="F5907">
            <v>19523.55</v>
          </cell>
        </row>
        <row r="5908">
          <cell r="B5908">
            <v>45198</v>
          </cell>
          <cell r="C5908">
            <v>19581.2</v>
          </cell>
          <cell r="D5908">
            <v>19726.25</v>
          </cell>
          <cell r="E5908">
            <v>19551.05</v>
          </cell>
          <cell r="F5908">
            <v>19638.3</v>
          </cell>
        </row>
        <row r="5909">
          <cell r="B5909">
            <v>45202</v>
          </cell>
          <cell r="C5909">
            <v>19622.400000000001</v>
          </cell>
          <cell r="D5909">
            <v>19623.2</v>
          </cell>
          <cell r="E5909">
            <v>19479.650000000001</v>
          </cell>
          <cell r="F5909">
            <v>19528.75</v>
          </cell>
        </row>
        <row r="5910">
          <cell r="B5910">
            <v>45203</v>
          </cell>
          <cell r="C5910">
            <v>19446.3</v>
          </cell>
          <cell r="D5910">
            <v>19457.8</v>
          </cell>
          <cell r="E5910">
            <v>19333.599999999999</v>
          </cell>
          <cell r="F5910">
            <v>19436.099999999999</v>
          </cell>
        </row>
        <row r="5911">
          <cell r="B5911">
            <v>45204</v>
          </cell>
          <cell r="C5911">
            <v>19521.849999999999</v>
          </cell>
          <cell r="D5911">
            <v>19576.95</v>
          </cell>
          <cell r="E5911">
            <v>19487.3</v>
          </cell>
          <cell r="F5911">
            <v>19545.75</v>
          </cell>
        </row>
        <row r="5912">
          <cell r="B5912">
            <v>45205</v>
          </cell>
          <cell r="C5912">
            <v>19621.2</v>
          </cell>
          <cell r="D5912">
            <v>19675.75</v>
          </cell>
          <cell r="E5912">
            <v>19589.400000000001</v>
          </cell>
          <cell r="F5912">
            <v>19653.5</v>
          </cell>
        </row>
        <row r="5913">
          <cell r="B5913">
            <v>45208</v>
          </cell>
          <cell r="C5913">
            <v>19539.45</v>
          </cell>
          <cell r="D5913">
            <v>19588.95</v>
          </cell>
          <cell r="E5913">
            <v>19480.5</v>
          </cell>
          <cell r="F5913">
            <v>19512.349999999999</v>
          </cell>
        </row>
        <row r="5914">
          <cell r="B5914">
            <v>45209</v>
          </cell>
          <cell r="C5914">
            <v>19565.599999999999</v>
          </cell>
          <cell r="D5914">
            <v>19717.8</v>
          </cell>
          <cell r="E5914">
            <v>19565.45</v>
          </cell>
          <cell r="F5914">
            <v>19689.849999999999</v>
          </cell>
        </row>
        <row r="5915">
          <cell r="B5915">
            <v>45210</v>
          </cell>
          <cell r="C5915">
            <v>19767</v>
          </cell>
          <cell r="D5915">
            <v>19839.2</v>
          </cell>
          <cell r="E5915">
            <v>19756.95</v>
          </cell>
          <cell r="F5915">
            <v>19811.349999999999</v>
          </cell>
        </row>
        <row r="5916">
          <cell r="B5916">
            <v>45211</v>
          </cell>
          <cell r="C5916">
            <v>19822.7</v>
          </cell>
          <cell r="D5916">
            <v>19843.3</v>
          </cell>
          <cell r="E5916">
            <v>19772.650000000001</v>
          </cell>
          <cell r="F5916">
            <v>19794</v>
          </cell>
        </row>
        <row r="5917">
          <cell r="B5917">
            <v>45212</v>
          </cell>
          <cell r="C5917">
            <v>19654.55</v>
          </cell>
          <cell r="D5917">
            <v>19805.400000000001</v>
          </cell>
          <cell r="E5917">
            <v>19635.3</v>
          </cell>
          <cell r="F5917">
            <v>19751.05</v>
          </cell>
        </row>
        <row r="5918">
          <cell r="B5918">
            <v>45215</v>
          </cell>
          <cell r="C5918">
            <v>19737.25</v>
          </cell>
          <cell r="D5918">
            <v>19781.3</v>
          </cell>
          <cell r="E5918">
            <v>19691.849999999999</v>
          </cell>
          <cell r="F5918">
            <v>19731.75</v>
          </cell>
        </row>
        <row r="5919">
          <cell r="B5919">
            <v>45216</v>
          </cell>
          <cell r="C5919">
            <v>19843.2</v>
          </cell>
          <cell r="D5919">
            <v>19849.75</v>
          </cell>
          <cell r="E5919">
            <v>19775.650000000001</v>
          </cell>
          <cell r="F5919">
            <v>19811.5</v>
          </cell>
        </row>
        <row r="5920">
          <cell r="B5920">
            <v>45217</v>
          </cell>
          <cell r="C5920">
            <v>19820.45</v>
          </cell>
          <cell r="D5920">
            <v>19840.95</v>
          </cell>
          <cell r="E5920">
            <v>19659.95</v>
          </cell>
          <cell r="F5920">
            <v>19671.099999999999</v>
          </cell>
        </row>
        <row r="5921">
          <cell r="B5921">
            <v>45218</v>
          </cell>
          <cell r="C5921">
            <v>19545.2</v>
          </cell>
          <cell r="D5921">
            <v>19681.8</v>
          </cell>
          <cell r="E5921">
            <v>19512.349999999999</v>
          </cell>
          <cell r="F5921">
            <v>19624.7</v>
          </cell>
        </row>
        <row r="5922">
          <cell r="B5922">
            <v>45219</v>
          </cell>
          <cell r="C5922">
            <v>19542.150000000001</v>
          </cell>
          <cell r="D5922">
            <v>19593.8</v>
          </cell>
          <cell r="E5922">
            <v>19518.7</v>
          </cell>
          <cell r="F5922">
            <v>19542.650000000001</v>
          </cell>
        </row>
        <row r="5923">
          <cell r="B5923">
            <v>45222</v>
          </cell>
          <cell r="C5923">
            <v>19521.599999999999</v>
          </cell>
          <cell r="D5923">
            <v>19556.849999999999</v>
          </cell>
          <cell r="E5923">
            <v>19257.849999999999</v>
          </cell>
          <cell r="F5923">
            <v>19281.75</v>
          </cell>
        </row>
        <row r="5924">
          <cell r="B5924">
            <v>45224</v>
          </cell>
          <cell r="C5924">
            <v>19286.45</v>
          </cell>
          <cell r="D5924">
            <v>19347.3</v>
          </cell>
          <cell r="E5924">
            <v>19074.150000000001</v>
          </cell>
          <cell r="F5924">
            <v>19122.150000000001</v>
          </cell>
        </row>
        <row r="5925">
          <cell r="B5925">
            <v>45225</v>
          </cell>
          <cell r="C5925">
            <v>19027.25</v>
          </cell>
          <cell r="D5925">
            <v>19041.7</v>
          </cell>
          <cell r="E5925">
            <v>18837.849999999999</v>
          </cell>
          <cell r="F5925">
            <v>18857.25</v>
          </cell>
        </row>
        <row r="5926">
          <cell r="B5926">
            <v>45226</v>
          </cell>
          <cell r="C5926">
            <v>18928.75</v>
          </cell>
          <cell r="D5926">
            <v>19076.150000000001</v>
          </cell>
          <cell r="E5926">
            <v>18926.650000000001</v>
          </cell>
          <cell r="F5926">
            <v>19047.25</v>
          </cell>
        </row>
        <row r="5927">
          <cell r="B5927">
            <v>45229</v>
          </cell>
          <cell r="C5927">
            <v>19053.400000000001</v>
          </cell>
          <cell r="D5927">
            <v>19158.5</v>
          </cell>
          <cell r="E5927">
            <v>18940</v>
          </cell>
          <cell r="F5927">
            <v>19140.900000000001</v>
          </cell>
        </row>
        <row r="5928">
          <cell r="B5928">
            <v>45230</v>
          </cell>
          <cell r="C5928">
            <v>19232.95</v>
          </cell>
          <cell r="D5928">
            <v>19233.7</v>
          </cell>
          <cell r="E5928">
            <v>19056.45</v>
          </cell>
          <cell r="F5928">
            <v>19079.599999999999</v>
          </cell>
        </row>
        <row r="5929">
          <cell r="B5929">
            <v>45231</v>
          </cell>
          <cell r="C5929">
            <v>19064.05</v>
          </cell>
          <cell r="D5929">
            <v>19096.05</v>
          </cell>
          <cell r="E5929">
            <v>18973.7</v>
          </cell>
          <cell r="F5929">
            <v>18989.150000000001</v>
          </cell>
        </row>
        <row r="5930">
          <cell r="B5930">
            <v>45232</v>
          </cell>
          <cell r="C5930">
            <v>19120</v>
          </cell>
          <cell r="D5930">
            <v>19175.25</v>
          </cell>
          <cell r="E5930">
            <v>19064.150000000001</v>
          </cell>
          <cell r="F5930">
            <v>19133.25</v>
          </cell>
        </row>
        <row r="5931">
          <cell r="B5931">
            <v>45233</v>
          </cell>
          <cell r="C5931">
            <v>19241</v>
          </cell>
          <cell r="D5931">
            <v>19276.25</v>
          </cell>
          <cell r="E5931">
            <v>19210.900000000001</v>
          </cell>
          <cell r="F5931">
            <v>19230.599999999999</v>
          </cell>
        </row>
        <row r="5932">
          <cell r="B5932">
            <v>45236</v>
          </cell>
          <cell r="C5932">
            <v>19345.849999999999</v>
          </cell>
          <cell r="D5932">
            <v>19423</v>
          </cell>
          <cell r="E5932">
            <v>19309.7</v>
          </cell>
          <cell r="F5932">
            <v>19411.75</v>
          </cell>
        </row>
        <row r="5933">
          <cell r="B5933">
            <v>45237</v>
          </cell>
          <cell r="C5933">
            <v>19404.05</v>
          </cell>
          <cell r="D5933">
            <v>19423.5</v>
          </cell>
          <cell r="E5933">
            <v>19329.099999999999</v>
          </cell>
          <cell r="F5933">
            <v>19406.7</v>
          </cell>
        </row>
        <row r="5934">
          <cell r="B5934">
            <v>45238</v>
          </cell>
          <cell r="C5934">
            <v>19449.599999999999</v>
          </cell>
          <cell r="D5934">
            <v>19464.400000000001</v>
          </cell>
          <cell r="E5934">
            <v>19401.5</v>
          </cell>
          <cell r="F5934">
            <v>19443.5</v>
          </cell>
        </row>
        <row r="5935">
          <cell r="B5935">
            <v>45239</v>
          </cell>
          <cell r="C5935">
            <v>19457.400000000001</v>
          </cell>
          <cell r="D5935">
            <v>19463.900000000001</v>
          </cell>
          <cell r="E5935">
            <v>19378.349999999999</v>
          </cell>
          <cell r="F5935">
            <v>19395.3</v>
          </cell>
        </row>
        <row r="5936">
          <cell r="B5936">
            <v>45240</v>
          </cell>
          <cell r="C5936">
            <v>19351.849999999999</v>
          </cell>
          <cell r="D5936">
            <v>19451.3</v>
          </cell>
          <cell r="E5936">
            <v>19329.45</v>
          </cell>
          <cell r="F5936">
            <v>19425.349999999999</v>
          </cell>
        </row>
        <row r="5937">
          <cell r="B5937">
            <v>45242</v>
          </cell>
          <cell r="C5937">
            <v>19547.25</v>
          </cell>
          <cell r="D5937">
            <v>19547.25</v>
          </cell>
          <cell r="E5937">
            <v>19510.25</v>
          </cell>
          <cell r="F5937">
            <v>19525.55</v>
          </cell>
        </row>
        <row r="5938">
          <cell r="B5938">
            <v>45243</v>
          </cell>
          <cell r="C5938">
            <v>19486.75</v>
          </cell>
          <cell r="D5938">
            <v>19494.400000000001</v>
          </cell>
          <cell r="E5938">
            <v>19414.75</v>
          </cell>
          <cell r="F5938">
            <v>19443.55</v>
          </cell>
        </row>
        <row r="5939">
          <cell r="B5939">
            <v>45245</v>
          </cell>
          <cell r="C5939">
            <v>19651.400000000001</v>
          </cell>
          <cell r="D5939">
            <v>19693.2</v>
          </cell>
          <cell r="E5939">
            <v>19579.650000000001</v>
          </cell>
          <cell r="F5939">
            <v>19675.45</v>
          </cell>
        </row>
        <row r="5940">
          <cell r="B5940">
            <v>45246</v>
          </cell>
          <cell r="C5940">
            <v>19674.7</v>
          </cell>
          <cell r="D5940">
            <v>19875.25</v>
          </cell>
          <cell r="E5940">
            <v>19627</v>
          </cell>
          <cell r="F5940">
            <v>19765.2</v>
          </cell>
        </row>
        <row r="5941">
          <cell r="B5941">
            <v>45247</v>
          </cell>
          <cell r="C5941">
            <v>19674.75</v>
          </cell>
          <cell r="D5941">
            <v>19806</v>
          </cell>
          <cell r="E5941">
            <v>19667.45</v>
          </cell>
          <cell r="F5941">
            <v>19731.8</v>
          </cell>
        </row>
        <row r="5942">
          <cell r="B5942">
            <v>45250</v>
          </cell>
          <cell r="C5942">
            <v>19731.150000000001</v>
          </cell>
          <cell r="D5942">
            <v>19756.45</v>
          </cell>
          <cell r="E5942">
            <v>19670.5</v>
          </cell>
          <cell r="F5942">
            <v>19694</v>
          </cell>
        </row>
        <row r="5943">
          <cell r="B5943">
            <v>45251</v>
          </cell>
          <cell r="C5943">
            <v>19770.900000000001</v>
          </cell>
          <cell r="D5943">
            <v>19829.099999999999</v>
          </cell>
          <cell r="E5943">
            <v>19754.05</v>
          </cell>
          <cell r="F5943">
            <v>19783.400000000001</v>
          </cell>
        </row>
        <row r="5944">
          <cell r="B5944">
            <v>45252</v>
          </cell>
          <cell r="C5944">
            <v>19784</v>
          </cell>
          <cell r="D5944">
            <v>19825.55</v>
          </cell>
          <cell r="E5944">
            <v>19703.849999999999</v>
          </cell>
          <cell r="F5944">
            <v>19811.849999999999</v>
          </cell>
        </row>
        <row r="5945">
          <cell r="B5945">
            <v>45253</v>
          </cell>
          <cell r="C5945">
            <v>19828.45</v>
          </cell>
          <cell r="D5945">
            <v>19875.150000000001</v>
          </cell>
          <cell r="E5945">
            <v>19786.75</v>
          </cell>
          <cell r="F5945">
            <v>19802</v>
          </cell>
        </row>
        <row r="5946">
          <cell r="B5946">
            <v>45254</v>
          </cell>
          <cell r="C5946">
            <v>19809.599999999999</v>
          </cell>
          <cell r="D5946">
            <v>19832.849999999999</v>
          </cell>
          <cell r="E5946">
            <v>19768.849999999999</v>
          </cell>
          <cell r="F5946">
            <v>19794.7</v>
          </cell>
        </row>
        <row r="5947">
          <cell r="B5947">
            <v>45258</v>
          </cell>
          <cell r="C5947">
            <v>19844.650000000001</v>
          </cell>
          <cell r="D5947">
            <v>19916.849999999999</v>
          </cell>
          <cell r="E5947">
            <v>19800</v>
          </cell>
          <cell r="F5947">
            <v>19889.7</v>
          </cell>
        </row>
        <row r="5948">
          <cell r="B5948">
            <v>45259</v>
          </cell>
          <cell r="C5948">
            <v>19976.55</v>
          </cell>
          <cell r="D5948">
            <v>20104.650000000001</v>
          </cell>
          <cell r="E5948">
            <v>19956.3</v>
          </cell>
          <cell r="F5948">
            <v>20096.599999999999</v>
          </cell>
        </row>
        <row r="5949">
          <cell r="B5949">
            <v>45260</v>
          </cell>
          <cell r="C5949">
            <v>20108.5</v>
          </cell>
          <cell r="D5949">
            <v>20158.7</v>
          </cell>
          <cell r="E5949">
            <v>20015.849999999999</v>
          </cell>
          <cell r="F5949">
            <v>20133.150000000001</v>
          </cell>
        </row>
        <row r="5950">
          <cell r="B5950">
            <v>45261</v>
          </cell>
          <cell r="C5950">
            <v>20194.099999999999</v>
          </cell>
          <cell r="D5950">
            <v>20291.55</v>
          </cell>
          <cell r="E5950">
            <v>20183.7</v>
          </cell>
          <cell r="F5950">
            <v>20267.900000000001</v>
          </cell>
        </row>
        <row r="5951">
          <cell r="B5951">
            <v>45264</v>
          </cell>
          <cell r="C5951">
            <v>20601.95</v>
          </cell>
          <cell r="D5951">
            <v>20702.650000000001</v>
          </cell>
          <cell r="E5951">
            <v>20507.75</v>
          </cell>
          <cell r="F5951">
            <v>20686.8</v>
          </cell>
        </row>
        <row r="5952">
          <cell r="B5952">
            <v>45265</v>
          </cell>
          <cell r="C5952">
            <v>20808.900000000001</v>
          </cell>
          <cell r="D5952">
            <v>20864.05</v>
          </cell>
          <cell r="E5952">
            <v>20711.150000000001</v>
          </cell>
          <cell r="F5952">
            <v>20855.099999999999</v>
          </cell>
        </row>
        <row r="5953">
          <cell r="B5953">
            <v>45266</v>
          </cell>
          <cell r="C5953">
            <v>20950.75</v>
          </cell>
          <cell r="D5953">
            <v>20961.95</v>
          </cell>
          <cell r="E5953">
            <v>20852.150000000001</v>
          </cell>
          <cell r="F5953">
            <v>20937.7</v>
          </cell>
        </row>
        <row r="5954">
          <cell r="B5954">
            <v>45267</v>
          </cell>
          <cell r="C5954">
            <v>20932.400000000001</v>
          </cell>
          <cell r="D5954">
            <v>20941.25</v>
          </cell>
          <cell r="E5954">
            <v>20850.8</v>
          </cell>
          <cell r="F5954">
            <v>20901.150000000001</v>
          </cell>
        </row>
        <row r="5955">
          <cell r="B5955">
            <v>45268</v>
          </cell>
          <cell r="C5955">
            <v>20934.099999999999</v>
          </cell>
          <cell r="D5955">
            <v>21006.1</v>
          </cell>
          <cell r="E5955">
            <v>20862.7</v>
          </cell>
          <cell r="F5955">
            <v>20969.400000000001</v>
          </cell>
        </row>
        <row r="5956">
          <cell r="B5956">
            <v>45271</v>
          </cell>
          <cell r="C5956">
            <v>20965.3</v>
          </cell>
          <cell r="D5956">
            <v>21026.1</v>
          </cell>
          <cell r="E5956">
            <v>20923.7</v>
          </cell>
          <cell r="F5956">
            <v>20997.1</v>
          </cell>
        </row>
        <row r="5957">
          <cell r="B5957">
            <v>45272</v>
          </cell>
          <cell r="C5957">
            <v>21018.55</v>
          </cell>
          <cell r="D5957">
            <v>21037.9</v>
          </cell>
          <cell r="E5957">
            <v>20867.150000000001</v>
          </cell>
          <cell r="F5957">
            <v>20906.400000000001</v>
          </cell>
        </row>
        <row r="5958">
          <cell r="B5958">
            <v>45273</v>
          </cell>
          <cell r="C5958">
            <v>20929.75</v>
          </cell>
          <cell r="D5958">
            <v>20950</v>
          </cell>
          <cell r="E5958">
            <v>20769.5</v>
          </cell>
          <cell r="F5958">
            <v>20926.349999999999</v>
          </cell>
        </row>
        <row r="5959">
          <cell r="B5959">
            <v>45274</v>
          </cell>
          <cell r="C5959">
            <v>21110.400000000001</v>
          </cell>
          <cell r="D5959">
            <v>21210.9</v>
          </cell>
          <cell r="E5959">
            <v>21074.45</v>
          </cell>
          <cell r="F5959">
            <v>21182.7</v>
          </cell>
        </row>
        <row r="5960">
          <cell r="B5960">
            <v>45275</v>
          </cell>
          <cell r="C5960">
            <v>21287.45</v>
          </cell>
          <cell r="D5960">
            <v>21492.3</v>
          </cell>
          <cell r="E5960">
            <v>21235.3</v>
          </cell>
          <cell r="F5960">
            <v>21456.65</v>
          </cell>
        </row>
        <row r="5961">
          <cell r="B5961">
            <v>45278</v>
          </cell>
          <cell r="C5961">
            <v>21434.799999999999</v>
          </cell>
          <cell r="D5961">
            <v>21482.799999999999</v>
          </cell>
          <cell r="E5961">
            <v>21365.35</v>
          </cell>
          <cell r="F5961">
            <v>21418.65</v>
          </cell>
        </row>
        <row r="5962">
          <cell r="B5962">
            <v>45279</v>
          </cell>
          <cell r="C5962">
            <v>21477.65</v>
          </cell>
          <cell r="D5962">
            <v>21505.05</v>
          </cell>
          <cell r="E5962">
            <v>21337.75</v>
          </cell>
          <cell r="F5962">
            <v>21453.1</v>
          </cell>
        </row>
        <row r="5963">
          <cell r="B5963">
            <v>45280</v>
          </cell>
          <cell r="C5963">
            <v>21543.5</v>
          </cell>
          <cell r="D5963">
            <v>21593</v>
          </cell>
          <cell r="E5963">
            <v>21087.35</v>
          </cell>
          <cell r="F5963">
            <v>21150.15</v>
          </cell>
        </row>
        <row r="5964">
          <cell r="B5964">
            <v>45281</v>
          </cell>
          <cell r="C5964">
            <v>21033.95</v>
          </cell>
          <cell r="D5964">
            <v>21288.35</v>
          </cell>
          <cell r="E5964">
            <v>20976.799999999999</v>
          </cell>
          <cell r="F5964">
            <v>21255.05</v>
          </cell>
        </row>
        <row r="5965">
          <cell r="B5965">
            <v>45282</v>
          </cell>
          <cell r="C5965">
            <v>21295.85</v>
          </cell>
          <cell r="D5965">
            <v>21390.5</v>
          </cell>
          <cell r="E5965">
            <v>21232.45</v>
          </cell>
          <cell r="F5965">
            <v>21349.4</v>
          </cell>
        </row>
        <row r="5966">
          <cell r="B5966">
            <v>45286</v>
          </cell>
          <cell r="C5966">
            <v>21365.200000000001</v>
          </cell>
          <cell r="D5966">
            <v>21477.15</v>
          </cell>
          <cell r="E5966">
            <v>21329.45</v>
          </cell>
          <cell r="F5966">
            <v>21441.35</v>
          </cell>
        </row>
        <row r="5967">
          <cell r="B5967">
            <v>45287</v>
          </cell>
          <cell r="C5967">
            <v>21497.65</v>
          </cell>
          <cell r="D5967">
            <v>21675.75</v>
          </cell>
          <cell r="E5967">
            <v>21495.8</v>
          </cell>
          <cell r="F5967">
            <v>21654.75</v>
          </cell>
        </row>
        <row r="5968">
          <cell r="B5968">
            <v>45288</v>
          </cell>
          <cell r="C5968">
            <v>21715</v>
          </cell>
          <cell r="D5968">
            <v>21801.45</v>
          </cell>
          <cell r="E5968">
            <v>21678</v>
          </cell>
          <cell r="F5968">
            <v>21778.7</v>
          </cell>
        </row>
        <row r="5969">
          <cell r="B5969">
            <v>45289</v>
          </cell>
          <cell r="C5969">
            <v>21737.65</v>
          </cell>
          <cell r="D5969">
            <v>21770.3</v>
          </cell>
          <cell r="E5969">
            <v>21676.9</v>
          </cell>
          <cell r="F5969">
            <v>21731.4</v>
          </cell>
        </row>
        <row r="5970">
          <cell r="B5970">
            <v>45292</v>
          </cell>
          <cell r="C5970">
            <v>21727.75</v>
          </cell>
          <cell r="D5970">
            <v>21834.35</v>
          </cell>
          <cell r="E5970">
            <v>21680.85</v>
          </cell>
          <cell r="F5970">
            <v>21741.9</v>
          </cell>
        </row>
        <row r="5971">
          <cell r="B5971">
            <v>45293</v>
          </cell>
          <cell r="C5971">
            <v>21751.35</v>
          </cell>
          <cell r="D5971">
            <v>21755.599999999999</v>
          </cell>
          <cell r="E5971">
            <v>21555.65</v>
          </cell>
          <cell r="F5971">
            <v>21665.8</v>
          </cell>
        </row>
        <row r="5972">
          <cell r="B5972">
            <v>45294</v>
          </cell>
          <cell r="C5972">
            <v>21661.1</v>
          </cell>
          <cell r="D5972">
            <v>21677</v>
          </cell>
          <cell r="E5972">
            <v>21500.35</v>
          </cell>
          <cell r="F5972">
            <v>21517.35</v>
          </cell>
        </row>
        <row r="5973">
          <cell r="B5973">
            <v>45295</v>
          </cell>
          <cell r="C5973">
            <v>21605.8</v>
          </cell>
          <cell r="D5973">
            <v>21685.65</v>
          </cell>
          <cell r="E5973">
            <v>21564.55</v>
          </cell>
          <cell r="F5973">
            <v>21658.6</v>
          </cell>
        </row>
        <row r="5974">
          <cell r="B5974">
            <v>45296</v>
          </cell>
          <cell r="C5974">
            <v>21705.75</v>
          </cell>
          <cell r="D5974">
            <v>21749.599999999999</v>
          </cell>
          <cell r="E5974">
            <v>21629.200000000001</v>
          </cell>
          <cell r="F5974">
            <v>21710.799999999999</v>
          </cell>
        </row>
        <row r="5975">
          <cell r="B5975">
            <v>45299</v>
          </cell>
          <cell r="C5975">
            <v>21747.599999999999</v>
          </cell>
          <cell r="D5975">
            <v>21763.95</v>
          </cell>
          <cell r="E5975">
            <v>21492.9</v>
          </cell>
          <cell r="F5975">
            <v>21513</v>
          </cell>
        </row>
        <row r="5976">
          <cell r="B5976">
            <v>45300</v>
          </cell>
          <cell r="C5976">
            <v>21653.599999999999</v>
          </cell>
          <cell r="D5976">
            <v>21724.45</v>
          </cell>
          <cell r="E5976">
            <v>21517.85</v>
          </cell>
          <cell r="F5976">
            <v>21544.85</v>
          </cell>
        </row>
        <row r="5977">
          <cell r="B5977">
            <v>45301</v>
          </cell>
          <cell r="C5977">
            <v>21529.3</v>
          </cell>
          <cell r="D5977">
            <v>21641.85</v>
          </cell>
          <cell r="E5977">
            <v>21448.65</v>
          </cell>
          <cell r="F5977">
            <v>21618.7</v>
          </cell>
        </row>
        <row r="5978">
          <cell r="B5978">
            <v>45302</v>
          </cell>
          <cell r="C5978">
            <v>21688</v>
          </cell>
          <cell r="D5978">
            <v>21726.5</v>
          </cell>
          <cell r="E5978">
            <v>21593.75</v>
          </cell>
          <cell r="F5978">
            <v>21647.200000000001</v>
          </cell>
        </row>
        <row r="5979">
          <cell r="B5979">
            <v>45303</v>
          </cell>
          <cell r="C5979">
            <v>21773.55</v>
          </cell>
          <cell r="D5979">
            <v>21928.25</v>
          </cell>
          <cell r="E5979">
            <v>21715.15</v>
          </cell>
          <cell r="F5979">
            <v>21894.55</v>
          </cell>
        </row>
        <row r="5980">
          <cell r="B5980">
            <v>45306</v>
          </cell>
          <cell r="C5980">
            <v>22053.15</v>
          </cell>
          <cell r="D5980">
            <v>22115.55</v>
          </cell>
          <cell r="E5980">
            <v>21963.55</v>
          </cell>
          <cell r="F5980">
            <v>22097.45</v>
          </cell>
        </row>
        <row r="5981">
          <cell r="B5981">
            <v>45307</v>
          </cell>
          <cell r="C5981">
            <v>22080.5</v>
          </cell>
          <cell r="D5981">
            <v>22124.15</v>
          </cell>
          <cell r="E5981">
            <v>21969.8</v>
          </cell>
          <cell r="F5981">
            <v>22032.3</v>
          </cell>
        </row>
        <row r="5982">
          <cell r="B5982">
            <v>45308</v>
          </cell>
          <cell r="C5982">
            <v>21647.25</v>
          </cell>
          <cell r="D5982">
            <v>21851.5</v>
          </cell>
          <cell r="E5982">
            <v>21550.45</v>
          </cell>
          <cell r="F5982">
            <v>21571.95</v>
          </cell>
        </row>
        <row r="5983">
          <cell r="B5983">
            <v>45309</v>
          </cell>
          <cell r="C5983">
            <v>21414.2</v>
          </cell>
          <cell r="D5983">
            <v>21539.4</v>
          </cell>
          <cell r="E5983">
            <v>21285.55</v>
          </cell>
          <cell r="F5983">
            <v>21462.25</v>
          </cell>
        </row>
        <row r="5984">
          <cell r="B5984">
            <v>45310</v>
          </cell>
          <cell r="C5984">
            <v>21615.200000000001</v>
          </cell>
          <cell r="D5984">
            <v>21670.6</v>
          </cell>
          <cell r="E5984">
            <v>21575</v>
          </cell>
          <cell r="F5984">
            <v>21622.400000000001</v>
          </cell>
        </row>
        <row r="5985">
          <cell r="B5985">
            <v>45311</v>
          </cell>
          <cell r="C5985">
            <v>21706.15</v>
          </cell>
          <cell r="D5985">
            <v>21720.3</v>
          </cell>
          <cell r="E5985">
            <v>21541.8</v>
          </cell>
          <cell r="F5985">
            <v>21571.8</v>
          </cell>
        </row>
        <row r="5986">
          <cell r="B5986">
            <v>45314</v>
          </cell>
          <cell r="C5986">
            <v>21716.7</v>
          </cell>
          <cell r="D5986">
            <v>21750.25</v>
          </cell>
          <cell r="E5986">
            <v>21192.6</v>
          </cell>
          <cell r="F5986">
            <v>21238.799999999999</v>
          </cell>
        </row>
        <row r="5987">
          <cell r="B5987">
            <v>45315</v>
          </cell>
          <cell r="C5987">
            <v>21185.25</v>
          </cell>
          <cell r="D5987">
            <v>21482.35</v>
          </cell>
          <cell r="E5987">
            <v>21137.200000000001</v>
          </cell>
          <cell r="F5987">
            <v>21453.95</v>
          </cell>
        </row>
        <row r="5988">
          <cell r="B5988">
            <v>45316</v>
          </cell>
          <cell r="C5988">
            <v>21454.6</v>
          </cell>
          <cell r="D5988">
            <v>21459</v>
          </cell>
          <cell r="E5988">
            <v>21247.05</v>
          </cell>
          <cell r="F5988">
            <v>21352.6</v>
          </cell>
        </row>
        <row r="5989">
          <cell r="B5989">
            <v>45320</v>
          </cell>
          <cell r="C5989">
            <v>21433.1</v>
          </cell>
          <cell r="D5989">
            <v>21763.25</v>
          </cell>
          <cell r="E5989">
            <v>21429.599999999999</v>
          </cell>
          <cell r="F5989">
            <v>21737.599999999999</v>
          </cell>
        </row>
        <row r="5990">
          <cell r="B5990">
            <v>45321</v>
          </cell>
          <cell r="C5990">
            <v>21775.75</v>
          </cell>
          <cell r="D5990">
            <v>21813.05</v>
          </cell>
          <cell r="E5990">
            <v>21501.8</v>
          </cell>
          <cell r="F5990">
            <v>21522.1</v>
          </cell>
        </row>
        <row r="5991">
          <cell r="B5991">
            <v>45322</v>
          </cell>
          <cell r="C5991">
            <v>21487.25</v>
          </cell>
          <cell r="D5991">
            <v>21741.35</v>
          </cell>
          <cell r="E5991">
            <v>21448.85</v>
          </cell>
          <cell r="F5991">
            <v>21725.7</v>
          </cell>
        </row>
        <row r="5992">
          <cell r="B5992">
            <v>45323</v>
          </cell>
          <cell r="C5992">
            <v>21780.65</v>
          </cell>
          <cell r="D5992">
            <v>21832.95</v>
          </cell>
          <cell r="E5992">
            <v>21658.75</v>
          </cell>
          <cell r="F5992">
            <v>21697.45</v>
          </cell>
        </row>
        <row r="5993">
          <cell r="B5993">
            <v>45324</v>
          </cell>
          <cell r="C5993">
            <v>21812.75</v>
          </cell>
          <cell r="D5993">
            <v>22126.799999999999</v>
          </cell>
          <cell r="E5993">
            <v>21805.55</v>
          </cell>
          <cell r="F5993">
            <v>21853.8</v>
          </cell>
        </row>
        <row r="5994">
          <cell r="B5994">
            <v>45327</v>
          </cell>
          <cell r="C5994">
            <v>21921.05</v>
          </cell>
          <cell r="D5994">
            <v>21964.3</v>
          </cell>
          <cell r="E5994">
            <v>21726.95</v>
          </cell>
          <cell r="F5994">
            <v>21771.7</v>
          </cell>
        </row>
        <row r="5995">
          <cell r="B5995">
            <v>45328</v>
          </cell>
          <cell r="C5995">
            <v>21825.200000000001</v>
          </cell>
          <cell r="D5995">
            <v>21951.4</v>
          </cell>
          <cell r="E5995">
            <v>21737.55</v>
          </cell>
          <cell r="F5995">
            <v>21929.4</v>
          </cell>
        </row>
        <row r="5996">
          <cell r="B5996">
            <v>45329</v>
          </cell>
          <cell r="C5996">
            <v>22045.05</v>
          </cell>
          <cell r="D5996">
            <v>22053.3</v>
          </cell>
          <cell r="E5996">
            <v>21860.15</v>
          </cell>
          <cell r="F5996">
            <v>21930.5</v>
          </cell>
        </row>
        <row r="5997">
          <cell r="B5997">
            <v>45330</v>
          </cell>
          <cell r="C5997">
            <v>22009.65</v>
          </cell>
          <cell r="D5997">
            <v>22011.05</v>
          </cell>
          <cell r="E5997">
            <v>21665.3</v>
          </cell>
          <cell r="F5997">
            <v>21717.95</v>
          </cell>
        </row>
        <row r="5998">
          <cell r="B5998">
            <v>45331</v>
          </cell>
          <cell r="C5998">
            <v>21727</v>
          </cell>
          <cell r="D5998">
            <v>21804.45</v>
          </cell>
          <cell r="E5998">
            <v>21629.9</v>
          </cell>
          <cell r="F5998">
            <v>21782.5</v>
          </cell>
        </row>
        <row r="5999">
          <cell r="B5999">
            <v>45334</v>
          </cell>
          <cell r="C5999">
            <v>21800.799999999999</v>
          </cell>
          <cell r="D5999">
            <v>21831.7</v>
          </cell>
          <cell r="E5999">
            <v>21574.75</v>
          </cell>
          <cell r="F5999">
            <v>21616.05</v>
          </cell>
        </row>
        <row r="6000">
          <cell r="B6000">
            <v>45335</v>
          </cell>
          <cell r="C6000">
            <v>21664.3</v>
          </cell>
          <cell r="D6000">
            <v>21766.799999999999</v>
          </cell>
          <cell r="E6000">
            <v>21543.35</v>
          </cell>
          <cell r="F6000">
            <v>21743.25</v>
          </cell>
        </row>
        <row r="6001">
          <cell r="B6001">
            <v>45336</v>
          </cell>
          <cell r="C6001">
            <v>21578.15</v>
          </cell>
          <cell r="D6001">
            <v>21870.85</v>
          </cell>
          <cell r="E6001">
            <v>21530.2</v>
          </cell>
          <cell r="F6001">
            <v>21840.05</v>
          </cell>
        </row>
        <row r="6002">
          <cell r="B6002">
            <v>45337</v>
          </cell>
          <cell r="C6002">
            <v>21906.55</v>
          </cell>
          <cell r="D6002">
            <v>21953.85</v>
          </cell>
          <cell r="E6002">
            <v>21794.799999999999</v>
          </cell>
          <cell r="F6002">
            <v>21910.75</v>
          </cell>
        </row>
        <row r="6003">
          <cell r="B6003">
            <v>45338</v>
          </cell>
          <cell r="C6003">
            <v>22020.3</v>
          </cell>
          <cell r="D6003">
            <v>22068.65</v>
          </cell>
          <cell r="E6003">
            <v>21968.95</v>
          </cell>
          <cell r="F6003">
            <v>22040.7</v>
          </cell>
        </row>
        <row r="6004">
          <cell r="B6004">
            <v>45341</v>
          </cell>
          <cell r="C6004">
            <v>22103.45</v>
          </cell>
          <cell r="D6004">
            <v>22186.65</v>
          </cell>
          <cell r="E6004">
            <v>22021.05</v>
          </cell>
          <cell r="F6004">
            <v>22122.25</v>
          </cell>
        </row>
        <row r="6005">
          <cell r="B6005">
            <v>45342</v>
          </cell>
          <cell r="C6005">
            <v>22099.200000000001</v>
          </cell>
          <cell r="D6005">
            <v>22215.599999999999</v>
          </cell>
          <cell r="E6005">
            <v>22045.85</v>
          </cell>
          <cell r="F6005">
            <v>22196.95</v>
          </cell>
        </row>
        <row r="6006">
          <cell r="B6006">
            <v>45343</v>
          </cell>
          <cell r="C6006">
            <v>22248.85</v>
          </cell>
          <cell r="D6006">
            <v>22249.4</v>
          </cell>
          <cell r="E6006">
            <v>21997.95</v>
          </cell>
          <cell r="F6006">
            <v>22055.05</v>
          </cell>
        </row>
        <row r="6007">
          <cell r="B6007">
            <v>45344</v>
          </cell>
          <cell r="C6007">
            <v>22081.55</v>
          </cell>
          <cell r="D6007">
            <v>22252.5</v>
          </cell>
          <cell r="E6007">
            <v>21875.25</v>
          </cell>
          <cell r="F6007">
            <v>22217.45</v>
          </cell>
        </row>
        <row r="6008">
          <cell r="B6008">
            <v>45345</v>
          </cell>
          <cell r="C6008">
            <v>22290</v>
          </cell>
          <cell r="D6008">
            <v>22297.5</v>
          </cell>
          <cell r="E6008">
            <v>22186.1</v>
          </cell>
          <cell r="F6008">
            <v>22212.7</v>
          </cell>
        </row>
        <row r="6009">
          <cell r="B6009">
            <v>45348</v>
          </cell>
          <cell r="C6009">
            <v>22169.200000000001</v>
          </cell>
          <cell r="D6009">
            <v>22202.15</v>
          </cell>
          <cell r="E6009">
            <v>22075.15</v>
          </cell>
          <cell r="F6009">
            <v>22122.05</v>
          </cell>
        </row>
        <row r="6010">
          <cell r="B6010">
            <v>45349</v>
          </cell>
          <cell r="C6010">
            <v>22090.2</v>
          </cell>
          <cell r="D6010">
            <v>22218.25</v>
          </cell>
          <cell r="E6010">
            <v>22085.65</v>
          </cell>
          <cell r="F6010">
            <v>22198.35</v>
          </cell>
        </row>
        <row r="6011">
          <cell r="B6011">
            <v>45350</v>
          </cell>
          <cell r="C6011">
            <v>22214.1</v>
          </cell>
          <cell r="D6011">
            <v>22229.15</v>
          </cell>
          <cell r="E6011">
            <v>21915.85</v>
          </cell>
          <cell r="F6011">
            <v>21951.15</v>
          </cell>
        </row>
        <row r="6012">
          <cell r="B6012">
            <v>45351</v>
          </cell>
          <cell r="C6012">
            <v>21935.200000000001</v>
          </cell>
          <cell r="D6012">
            <v>22060.55</v>
          </cell>
          <cell r="E6012">
            <v>21860.65</v>
          </cell>
          <cell r="F6012">
            <v>21982.799999999999</v>
          </cell>
        </row>
        <row r="6013">
          <cell r="B6013">
            <v>45352</v>
          </cell>
          <cell r="C6013">
            <v>22048.3</v>
          </cell>
          <cell r="D6013">
            <v>22353.3</v>
          </cell>
          <cell r="E6013">
            <v>22047.75</v>
          </cell>
          <cell r="F6013">
            <v>22338.75</v>
          </cell>
        </row>
        <row r="6014">
          <cell r="B6014">
            <v>45353</v>
          </cell>
          <cell r="C6014">
            <v>22406.95</v>
          </cell>
          <cell r="D6014">
            <v>22419.55</v>
          </cell>
          <cell r="E6014">
            <v>22367.05</v>
          </cell>
          <cell r="F6014">
            <v>22378.400000000001</v>
          </cell>
        </row>
        <row r="6015">
          <cell r="B6015">
            <v>45355</v>
          </cell>
          <cell r="C6015">
            <v>22403.5</v>
          </cell>
          <cell r="D6015">
            <v>22440.9</v>
          </cell>
          <cell r="E6015">
            <v>22358.3</v>
          </cell>
          <cell r="F6015">
            <v>22405.599999999999</v>
          </cell>
        </row>
        <row r="6016">
          <cell r="B6016">
            <v>45356</v>
          </cell>
          <cell r="C6016">
            <v>22371.25</v>
          </cell>
          <cell r="D6016">
            <v>22416.9</v>
          </cell>
          <cell r="E6016">
            <v>22269.15</v>
          </cell>
          <cell r="F6016">
            <v>22356.3</v>
          </cell>
        </row>
        <row r="6017">
          <cell r="B6017">
            <v>45357</v>
          </cell>
          <cell r="C6017">
            <v>22327.5</v>
          </cell>
          <cell r="D6017">
            <v>22497.200000000001</v>
          </cell>
          <cell r="E6017">
            <v>22224.35</v>
          </cell>
          <cell r="F6017">
            <v>22474.05</v>
          </cell>
        </row>
        <row r="6018">
          <cell r="B6018">
            <v>45358</v>
          </cell>
          <cell r="C6018">
            <v>22505.3</v>
          </cell>
          <cell r="D6018">
            <v>22525.65</v>
          </cell>
          <cell r="E6018">
            <v>22430</v>
          </cell>
          <cell r="F6018">
            <v>22493.55</v>
          </cell>
        </row>
        <row r="6019">
          <cell r="B6019">
            <v>45362</v>
          </cell>
          <cell r="C6019">
            <v>22517.5</v>
          </cell>
          <cell r="D6019">
            <v>22526.6</v>
          </cell>
          <cell r="E6019">
            <v>22307.25</v>
          </cell>
          <cell r="F6019">
            <v>22332.65</v>
          </cell>
        </row>
        <row r="6020">
          <cell r="B6020">
            <v>45363</v>
          </cell>
          <cell r="C6020">
            <v>22334.45</v>
          </cell>
          <cell r="D6020">
            <v>22452.55</v>
          </cell>
          <cell r="E6020">
            <v>22256</v>
          </cell>
          <cell r="F6020">
            <v>22335.7</v>
          </cell>
        </row>
        <row r="6021">
          <cell r="B6021">
            <v>45364</v>
          </cell>
          <cell r="C6021">
            <v>22432.2</v>
          </cell>
          <cell r="D6021">
            <v>22446.75</v>
          </cell>
          <cell r="E6021">
            <v>21905.65</v>
          </cell>
          <cell r="F6021">
            <v>21997.7</v>
          </cell>
        </row>
        <row r="6022">
          <cell r="B6022">
            <v>45365</v>
          </cell>
          <cell r="C6022">
            <v>21982.55</v>
          </cell>
          <cell r="D6022">
            <v>22204.6</v>
          </cell>
          <cell r="E6022">
            <v>21917.5</v>
          </cell>
          <cell r="F6022">
            <v>22146.65</v>
          </cell>
        </row>
        <row r="6023">
          <cell r="B6023">
            <v>45366</v>
          </cell>
          <cell r="C6023">
            <v>22064.85</v>
          </cell>
          <cell r="D6023">
            <v>22120.9</v>
          </cell>
          <cell r="E6023">
            <v>21931.7</v>
          </cell>
          <cell r="F6023">
            <v>22023.35</v>
          </cell>
        </row>
        <row r="6024">
          <cell r="B6024">
            <v>45369</v>
          </cell>
          <cell r="C6024">
            <v>21990.1</v>
          </cell>
          <cell r="D6024">
            <v>22123.7</v>
          </cell>
          <cell r="E6024">
            <v>21916.55</v>
          </cell>
          <cell r="F6024">
            <v>22055.7</v>
          </cell>
        </row>
        <row r="6025">
          <cell r="B6025">
            <v>45370</v>
          </cell>
          <cell r="C6025">
            <v>21946.45</v>
          </cell>
          <cell r="D6025">
            <v>21978.3</v>
          </cell>
          <cell r="E6025">
            <v>21793.1</v>
          </cell>
          <cell r="F6025">
            <v>21817.45</v>
          </cell>
        </row>
        <row r="6026">
          <cell r="B6026">
            <v>45371</v>
          </cell>
          <cell r="C6026">
            <v>21843.9</v>
          </cell>
          <cell r="D6026">
            <v>21930.9</v>
          </cell>
          <cell r="E6026">
            <v>21710.2</v>
          </cell>
          <cell r="F6026">
            <v>21839.1</v>
          </cell>
        </row>
        <row r="6027">
          <cell r="B6027">
            <v>45372</v>
          </cell>
          <cell r="C6027">
            <v>21989.9</v>
          </cell>
          <cell r="D6027">
            <v>22080.95</v>
          </cell>
          <cell r="E6027">
            <v>21941.3</v>
          </cell>
          <cell r="F6027">
            <v>22011.95</v>
          </cell>
        </row>
        <row r="6028">
          <cell r="B6028">
            <v>45373</v>
          </cell>
          <cell r="C6028">
            <v>21932.2</v>
          </cell>
          <cell r="D6028">
            <v>22180.7</v>
          </cell>
          <cell r="E6028">
            <v>21883.3</v>
          </cell>
          <cell r="F6028">
            <v>22096.75</v>
          </cell>
        </row>
        <row r="6029">
          <cell r="B6029">
            <v>45377</v>
          </cell>
          <cell r="C6029">
            <v>21947.9</v>
          </cell>
          <cell r="D6029">
            <v>22073.200000000001</v>
          </cell>
          <cell r="E6029">
            <v>21947.55</v>
          </cell>
          <cell r="F6029">
            <v>22004.7</v>
          </cell>
        </row>
        <row r="6030">
          <cell r="B6030">
            <v>45378</v>
          </cell>
          <cell r="C6030">
            <v>22053.95</v>
          </cell>
          <cell r="D6030">
            <v>22193.599999999999</v>
          </cell>
          <cell r="E6030">
            <v>22052.85</v>
          </cell>
          <cell r="F6030">
            <v>22123.65</v>
          </cell>
        </row>
        <row r="6031">
          <cell r="B6031">
            <v>45379</v>
          </cell>
          <cell r="C6031">
            <v>22163.599999999999</v>
          </cell>
          <cell r="D6031">
            <v>22516</v>
          </cell>
          <cell r="E6031">
            <v>22163.599999999999</v>
          </cell>
          <cell r="F6031">
            <v>22326.9</v>
          </cell>
        </row>
        <row r="6032">
          <cell r="B6032">
            <v>45383</v>
          </cell>
          <cell r="C6032">
            <v>22455</v>
          </cell>
          <cell r="D6032">
            <v>22529.95</v>
          </cell>
          <cell r="E6032">
            <v>22427.75</v>
          </cell>
          <cell r="F6032">
            <v>22462</v>
          </cell>
        </row>
        <row r="6033">
          <cell r="B6033">
            <v>45384</v>
          </cell>
          <cell r="C6033">
            <v>22458.799999999999</v>
          </cell>
          <cell r="D6033">
            <v>22497.599999999999</v>
          </cell>
          <cell r="E6033">
            <v>22388.15</v>
          </cell>
          <cell r="F6033">
            <v>22453.3</v>
          </cell>
        </row>
        <row r="6034">
          <cell r="B6034">
            <v>45385</v>
          </cell>
          <cell r="C6034">
            <v>22385.7</v>
          </cell>
          <cell r="D6034">
            <v>22521.1</v>
          </cell>
          <cell r="E6034">
            <v>22346.5</v>
          </cell>
          <cell r="F6034">
            <v>22434.65</v>
          </cell>
        </row>
        <row r="6035">
          <cell r="B6035">
            <v>45386</v>
          </cell>
          <cell r="C6035">
            <v>22592.1</v>
          </cell>
          <cell r="D6035">
            <v>22619</v>
          </cell>
          <cell r="E6035">
            <v>22303.8</v>
          </cell>
          <cell r="F6035">
            <v>22514.65</v>
          </cell>
        </row>
        <row r="6036">
          <cell r="B6036">
            <v>45387</v>
          </cell>
          <cell r="C6036">
            <v>22486.400000000001</v>
          </cell>
          <cell r="D6036">
            <v>22537.599999999999</v>
          </cell>
          <cell r="E6036">
            <v>22427.599999999999</v>
          </cell>
          <cell r="F6036">
            <v>22513.7</v>
          </cell>
        </row>
        <row r="6037">
          <cell r="B6037">
            <v>45390</v>
          </cell>
          <cell r="C6037">
            <v>22578.35</v>
          </cell>
          <cell r="D6037">
            <v>22697.3</v>
          </cell>
          <cell r="E6037">
            <v>22550.35</v>
          </cell>
          <cell r="F6037">
            <v>22666.3</v>
          </cell>
        </row>
        <row r="6038">
          <cell r="B6038">
            <v>45391</v>
          </cell>
          <cell r="C6038">
            <v>22765.1</v>
          </cell>
          <cell r="D6038">
            <v>22768.400000000001</v>
          </cell>
          <cell r="E6038">
            <v>22612.25</v>
          </cell>
          <cell r="F6038">
            <v>22642.75</v>
          </cell>
        </row>
        <row r="6039">
          <cell r="B6039">
            <v>45392</v>
          </cell>
          <cell r="C6039">
            <v>22720.25</v>
          </cell>
          <cell r="D6039">
            <v>22775.7</v>
          </cell>
          <cell r="E6039">
            <v>22673.7</v>
          </cell>
          <cell r="F6039">
            <v>22753.8</v>
          </cell>
        </row>
        <row r="6040">
          <cell r="B6040">
            <v>45394</v>
          </cell>
          <cell r="C6040">
            <v>22677.4</v>
          </cell>
          <cell r="D6040">
            <v>22726.45</v>
          </cell>
          <cell r="E6040">
            <v>22503.75</v>
          </cell>
          <cell r="F6040">
            <v>22519.4</v>
          </cell>
        </row>
        <row r="6041">
          <cell r="B6041">
            <v>45397</v>
          </cell>
          <cell r="C6041">
            <v>22339.05</v>
          </cell>
          <cell r="D6041">
            <v>22427.45</v>
          </cell>
          <cell r="E6041">
            <v>22259.55</v>
          </cell>
          <cell r="F6041">
            <v>22272.5</v>
          </cell>
        </row>
        <row r="6042">
          <cell r="B6042">
            <v>45398</v>
          </cell>
          <cell r="C6042">
            <v>22125.3</v>
          </cell>
          <cell r="D6042">
            <v>22213.75</v>
          </cell>
          <cell r="E6042">
            <v>22079.45</v>
          </cell>
          <cell r="F6042">
            <v>22147.9</v>
          </cell>
        </row>
        <row r="6043">
          <cell r="B6043">
            <v>45400</v>
          </cell>
          <cell r="C6043">
            <v>22212.35</v>
          </cell>
          <cell r="D6043">
            <v>22326.5</v>
          </cell>
          <cell r="E6043">
            <v>21961.7</v>
          </cell>
          <cell r="F6043">
            <v>21995.85</v>
          </cell>
        </row>
        <row r="6044">
          <cell r="B6044">
            <v>45401</v>
          </cell>
          <cell r="C6044">
            <v>21861.5</v>
          </cell>
          <cell r="D6044">
            <v>22179.55</v>
          </cell>
          <cell r="E6044">
            <v>21777.65</v>
          </cell>
          <cell r="F6044">
            <v>22147</v>
          </cell>
        </row>
        <row r="6045">
          <cell r="B6045">
            <v>45404</v>
          </cell>
          <cell r="C6045">
            <v>22336.9</v>
          </cell>
          <cell r="D6045">
            <v>22375.65</v>
          </cell>
          <cell r="E6045">
            <v>22198.15</v>
          </cell>
          <cell r="F6045">
            <v>22336.400000000001</v>
          </cell>
        </row>
        <row r="6046">
          <cell r="B6046">
            <v>45405</v>
          </cell>
          <cell r="C6046">
            <v>22447.05</v>
          </cell>
          <cell r="D6046">
            <v>22447.55</v>
          </cell>
          <cell r="E6046">
            <v>22349.45</v>
          </cell>
          <cell r="F6046">
            <v>22368</v>
          </cell>
        </row>
        <row r="6047">
          <cell r="B6047">
            <v>45406</v>
          </cell>
          <cell r="C6047">
            <v>22421.55</v>
          </cell>
          <cell r="D6047">
            <v>22476.45</v>
          </cell>
          <cell r="E6047">
            <v>22384</v>
          </cell>
          <cell r="F6047">
            <v>22402.400000000001</v>
          </cell>
        </row>
        <row r="6048">
          <cell r="B6048">
            <v>45407</v>
          </cell>
          <cell r="C6048">
            <v>22316.9</v>
          </cell>
          <cell r="D6048">
            <v>22625.95</v>
          </cell>
          <cell r="E6048">
            <v>22305.25</v>
          </cell>
          <cell r="F6048">
            <v>22570.35</v>
          </cell>
        </row>
        <row r="6049">
          <cell r="B6049">
            <v>45408</v>
          </cell>
          <cell r="C6049">
            <v>22620.400000000001</v>
          </cell>
          <cell r="D6049">
            <v>22620.400000000001</v>
          </cell>
          <cell r="E6049">
            <v>22385.55</v>
          </cell>
          <cell r="F6049">
            <v>22419.95</v>
          </cell>
        </row>
        <row r="6050">
          <cell r="B6050">
            <v>45411</v>
          </cell>
          <cell r="C6050">
            <v>22475.55</v>
          </cell>
          <cell r="D6050">
            <v>22655.8</v>
          </cell>
          <cell r="E6050">
            <v>22441.9</v>
          </cell>
          <cell r="F6050">
            <v>22643.4</v>
          </cell>
        </row>
        <row r="6051">
          <cell r="B6051">
            <v>45412</v>
          </cell>
          <cell r="C6051">
            <v>22679.65</v>
          </cell>
          <cell r="D6051">
            <v>22783.35</v>
          </cell>
          <cell r="E6051">
            <v>22568.400000000001</v>
          </cell>
          <cell r="F6051">
            <v>22604.85</v>
          </cell>
        </row>
        <row r="6052">
          <cell r="B6052">
            <v>45414</v>
          </cell>
          <cell r="C6052">
            <v>22567.85</v>
          </cell>
          <cell r="D6052">
            <v>22710.5</v>
          </cell>
          <cell r="E6052">
            <v>22567.85</v>
          </cell>
          <cell r="F6052">
            <v>22648.2</v>
          </cell>
        </row>
        <row r="6053">
          <cell r="B6053">
            <v>45415</v>
          </cell>
          <cell r="C6053">
            <v>22766.35</v>
          </cell>
          <cell r="D6053">
            <v>22794.7</v>
          </cell>
          <cell r="E6053">
            <v>22348.05</v>
          </cell>
          <cell r="F6053">
            <v>22475.85</v>
          </cell>
        </row>
        <row r="6054">
          <cell r="B6054">
            <v>45418</v>
          </cell>
          <cell r="C6054">
            <v>22561.599999999999</v>
          </cell>
          <cell r="D6054">
            <v>22588.799999999999</v>
          </cell>
          <cell r="E6054">
            <v>22409.45</v>
          </cell>
          <cell r="F6054">
            <v>22442.7</v>
          </cell>
        </row>
        <row r="6055">
          <cell r="B6055">
            <v>45419</v>
          </cell>
          <cell r="C6055">
            <v>22489.75</v>
          </cell>
          <cell r="D6055">
            <v>22499.05</v>
          </cell>
          <cell r="E6055">
            <v>22232.05</v>
          </cell>
          <cell r="F6055">
            <v>22302.5</v>
          </cell>
        </row>
        <row r="6056">
          <cell r="B6056">
            <v>45420</v>
          </cell>
          <cell r="C6056">
            <v>22231.200000000001</v>
          </cell>
          <cell r="D6056">
            <v>22368.65</v>
          </cell>
          <cell r="E6056">
            <v>22185.200000000001</v>
          </cell>
          <cell r="F6056">
            <v>22302.5</v>
          </cell>
        </row>
        <row r="6057">
          <cell r="B6057">
            <v>45421</v>
          </cell>
          <cell r="C6057">
            <v>22224.799999999999</v>
          </cell>
          <cell r="D6057">
            <v>22307.75</v>
          </cell>
          <cell r="E6057">
            <v>21932.400000000001</v>
          </cell>
          <cell r="F6057">
            <v>21957.5</v>
          </cell>
        </row>
        <row r="6058">
          <cell r="B6058">
            <v>45422</v>
          </cell>
          <cell r="C6058">
            <v>21990.95</v>
          </cell>
          <cell r="D6058">
            <v>22131.3</v>
          </cell>
          <cell r="E6058">
            <v>21950.3</v>
          </cell>
          <cell r="F6058">
            <v>22055.200000000001</v>
          </cell>
        </row>
        <row r="6059">
          <cell r="B6059">
            <v>45425</v>
          </cell>
          <cell r="C6059">
            <v>22027.95</v>
          </cell>
          <cell r="D6059">
            <v>22131.65</v>
          </cell>
          <cell r="E6059">
            <v>21821.05</v>
          </cell>
          <cell r="F6059">
            <v>22104.05</v>
          </cell>
        </row>
        <row r="6060">
          <cell r="B6060">
            <v>45426</v>
          </cell>
          <cell r="C6060">
            <v>22112.9</v>
          </cell>
          <cell r="D6060">
            <v>22270.05</v>
          </cell>
          <cell r="E6060">
            <v>22081.25</v>
          </cell>
          <cell r="F6060">
            <v>22217.85</v>
          </cell>
        </row>
        <row r="6061">
          <cell r="B6061">
            <v>45427</v>
          </cell>
          <cell r="C6061">
            <v>22255.599999999999</v>
          </cell>
          <cell r="D6061">
            <v>22297.55</v>
          </cell>
          <cell r="E6061">
            <v>22151.75</v>
          </cell>
          <cell r="F6061">
            <v>22200.55</v>
          </cell>
        </row>
        <row r="6062">
          <cell r="B6062">
            <v>45428</v>
          </cell>
          <cell r="C6062">
            <v>22319.200000000001</v>
          </cell>
          <cell r="D6062">
            <v>22432.25</v>
          </cell>
          <cell r="E6062">
            <v>22054.55</v>
          </cell>
          <cell r="F6062">
            <v>22403.85</v>
          </cell>
        </row>
        <row r="6063">
          <cell r="B6063">
            <v>45429</v>
          </cell>
          <cell r="C6063">
            <v>22415.25</v>
          </cell>
          <cell r="D6063">
            <v>22502.15</v>
          </cell>
          <cell r="E6063">
            <v>22345.65</v>
          </cell>
          <cell r="F6063">
            <v>22466.1</v>
          </cell>
        </row>
        <row r="6064">
          <cell r="B6064">
            <v>45430</v>
          </cell>
          <cell r="C6064">
            <v>22512.85</v>
          </cell>
          <cell r="D6064">
            <v>22520.25</v>
          </cell>
          <cell r="E6064">
            <v>22470.05</v>
          </cell>
          <cell r="F6064">
            <v>22502</v>
          </cell>
        </row>
        <row r="6065">
          <cell r="B6065">
            <v>45433</v>
          </cell>
          <cell r="C6065">
            <v>22404.55</v>
          </cell>
          <cell r="D6065">
            <v>22591.1</v>
          </cell>
          <cell r="E6065">
            <v>22404.55</v>
          </cell>
          <cell r="F6065">
            <v>22529.05</v>
          </cell>
        </row>
        <row r="6066">
          <cell r="B6066">
            <v>45434</v>
          </cell>
          <cell r="C6066">
            <v>22576.6</v>
          </cell>
          <cell r="D6066">
            <v>22629.5</v>
          </cell>
          <cell r="E6066">
            <v>22483.15</v>
          </cell>
          <cell r="F6066">
            <v>22597.8</v>
          </cell>
        </row>
        <row r="6067">
          <cell r="B6067">
            <v>45435</v>
          </cell>
          <cell r="C6067">
            <v>22614.1</v>
          </cell>
          <cell r="D6067">
            <v>22993.599999999999</v>
          </cell>
          <cell r="E6067">
            <v>22577.45</v>
          </cell>
          <cell r="F6067">
            <v>22967.65</v>
          </cell>
        </row>
        <row r="6068">
          <cell r="B6068">
            <v>45436</v>
          </cell>
          <cell r="C6068">
            <v>22930.75</v>
          </cell>
          <cell r="D6068">
            <v>23026.400000000001</v>
          </cell>
          <cell r="E6068">
            <v>22908</v>
          </cell>
          <cell r="F6068">
            <v>22957.1</v>
          </cell>
        </row>
        <row r="6069">
          <cell r="B6069">
            <v>45439</v>
          </cell>
          <cell r="C6069">
            <v>23038.95</v>
          </cell>
          <cell r="D6069">
            <v>23110.799999999999</v>
          </cell>
          <cell r="E6069">
            <v>22871.200000000001</v>
          </cell>
          <cell r="F6069">
            <v>22932.45</v>
          </cell>
        </row>
        <row r="6070">
          <cell r="B6070">
            <v>45440</v>
          </cell>
          <cell r="C6070">
            <v>22977.15</v>
          </cell>
          <cell r="D6070">
            <v>22998.55</v>
          </cell>
          <cell r="E6070">
            <v>22858.5</v>
          </cell>
          <cell r="F6070">
            <v>22888.15</v>
          </cell>
        </row>
        <row r="6071">
          <cell r="B6071">
            <v>45441</v>
          </cell>
          <cell r="C6071">
            <v>22762.75</v>
          </cell>
          <cell r="D6071">
            <v>22825.5</v>
          </cell>
          <cell r="E6071">
            <v>22685.45</v>
          </cell>
          <cell r="F6071">
            <v>22704.7</v>
          </cell>
        </row>
        <row r="6072">
          <cell r="B6072">
            <v>45442</v>
          </cell>
          <cell r="C6072">
            <v>22617.45</v>
          </cell>
          <cell r="D6072">
            <v>22705.75</v>
          </cell>
          <cell r="E6072">
            <v>22417</v>
          </cell>
          <cell r="F6072">
            <v>22488.65</v>
          </cell>
        </row>
        <row r="6073">
          <cell r="B6073">
            <v>45443</v>
          </cell>
          <cell r="C6073">
            <v>22568.1</v>
          </cell>
          <cell r="D6073">
            <v>22653.75</v>
          </cell>
          <cell r="E6073">
            <v>22465.1</v>
          </cell>
          <cell r="F6073">
            <v>22530.7</v>
          </cell>
        </row>
        <row r="6074">
          <cell r="B6074">
            <v>45446</v>
          </cell>
          <cell r="C6074">
            <v>23337.9</v>
          </cell>
          <cell r="D6074">
            <v>23338.7</v>
          </cell>
          <cell r="E6074">
            <v>23062.3</v>
          </cell>
          <cell r="F6074">
            <v>23263.9</v>
          </cell>
        </row>
        <row r="6075">
          <cell r="B6075">
            <v>45447</v>
          </cell>
          <cell r="C6075">
            <v>23179.5</v>
          </cell>
          <cell r="D6075">
            <v>23179.5</v>
          </cell>
          <cell r="E6075">
            <v>21281.45</v>
          </cell>
          <cell r="F6075">
            <v>21884.5</v>
          </cell>
        </row>
        <row r="6076">
          <cell r="B6076">
            <v>45448</v>
          </cell>
          <cell r="C6076">
            <v>22128.35</v>
          </cell>
          <cell r="D6076">
            <v>22670.400000000001</v>
          </cell>
          <cell r="E6076">
            <v>21791.95</v>
          </cell>
          <cell r="F6076">
            <v>22620.35</v>
          </cell>
        </row>
        <row r="6077">
          <cell r="B6077">
            <v>45449</v>
          </cell>
          <cell r="C6077">
            <v>22798.6</v>
          </cell>
          <cell r="D6077">
            <v>22910.15</v>
          </cell>
          <cell r="E6077">
            <v>22642.6</v>
          </cell>
          <cell r="F6077">
            <v>22821.4</v>
          </cell>
        </row>
        <row r="6078">
          <cell r="B6078">
            <v>45450</v>
          </cell>
          <cell r="C6078">
            <v>22821.85</v>
          </cell>
          <cell r="D6078">
            <v>23320.2</v>
          </cell>
          <cell r="E6078">
            <v>22789.05</v>
          </cell>
          <cell r="F6078">
            <v>23290.15</v>
          </cell>
        </row>
        <row r="6079">
          <cell r="B6079">
            <v>45453</v>
          </cell>
          <cell r="C6079">
            <v>23319.15</v>
          </cell>
          <cell r="D6079">
            <v>23411.9</v>
          </cell>
          <cell r="E6079">
            <v>23227.15</v>
          </cell>
          <cell r="F6079">
            <v>23259.200000000001</v>
          </cell>
        </row>
        <row r="6080">
          <cell r="B6080">
            <v>45454</v>
          </cell>
          <cell r="C6080">
            <v>23283.75</v>
          </cell>
          <cell r="D6080">
            <v>23389.45</v>
          </cell>
          <cell r="E6080">
            <v>23206.65</v>
          </cell>
          <cell r="F6080">
            <v>23264.85</v>
          </cell>
        </row>
        <row r="6081">
          <cell r="B6081">
            <v>45455</v>
          </cell>
          <cell r="C6081">
            <v>23344.45</v>
          </cell>
          <cell r="D6081">
            <v>23441.95</v>
          </cell>
          <cell r="E6081">
            <v>23295.95</v>
          </cell>
          <cell r="F6081">
            <v>23322.95</v>
          </cell>
        </row>
        <row r="6082">
          <cell r="B6082">
            <v>45456</v>
          </cell>
          <cell r="C6082">
            <v>23480.95</v>
          </cell>
          <cell r="D6082">
            <v>23481.05</v>
          </cell>
          <cell r="E6082">
            <v>23353.9</v>
          </cell>
          <cell r="F6082">
            <v>23398.9</v>
          </cell>
        </row>
        <row r="6083">
          <cell r="B6083">
            <v>45457</v>
          </cell>
          <cell r="C6083">
            <v>23464.95</v>
          </cell>
          <cell r="D6083">
            <v>23490.400000000001</v>
          </cell>
          <cell r="E6083">
            <v>23334.25</v>
          </cell>
          <cell r="F6083">
            <v>23465.599999999999</v>
          </cell>
        </row>
        <row r="6084">
          <cell r="B6084">
            <v>45461</v>
          </cell>
          <cell r="C6084">
            <v>23570.799999999999</v>
          </cell>
          <cell r="D6084">
            <v>23579.05</v>
          </cell>
          <cell r="E6084">
            <v>23499.7</v>
          </cell>
          <cell r="F6084">
            <v>23557.9</v>
          </cell>
        </row>
        <row r="6085">
          <cell r="B6085">
            <v>45462</v>
          </cell>
          <cell r="C6085">
            <v>23629.85</v>
          </cell>
          <cell r="D6085">
            <v>23664</v>
          </cell>
          <cell r="E6085">
            <v>23412.9</v>
          </cell>
          <cell r="F6085">
            <v>23516</v>
          </cell>
        </row>
        <row r="6086">
          <cell r="B6086">
            <v>45463</v>
          </cell>
          <cell r="C6086">
            <v>23586.15</v>
          </cell>
          <cell r="D6086">
            <v>23624</v>
          </cell>
          <cell r="E6086">
            <v>23442.6</v>
          </cell>
          <cell r="F6086">
            <v>23567</v>
          </cell>
        </row>
        <row r="6087">
          <cell r="B6087">
            <v>45464</v>
          </cell>
          <cell r="C6087">
            <v>23661.15</v>
          </cell>
          <cell r="D6087">
            <v>23667.1</v>
          </cell>
          <cell r="E6087">
            <v>23398.2</v>
          </cell>
          <cell r="F6087">
            <v>23501.1</v>
          </cell>
        </row>
        <row r="6088">
          <cell r="B6088">
            <v>45467</v>
          </cell>
          <cell r="C6088">
            <v>23382.3</v>
          </cell>
          <cell r="D6088">
            <v>23558.1</v>
          </cell>
          <cell r="E6088">
            <v>23350</v>
          </cell>
          <cell r="F6088">
            <v>23537.85</v>
          </cell>
        </row>
        <row r="6089">
          <cell r="B6089">
            <v>45468</v>
          </cell>
          <cell r="C6089">
            <v>23577.1</v>
          </cell>
          <cell r="D6089">
            <v>23754.15</v>
          </cell>
          <cell r="E6089">
            <v>23562.05</v>
          </cell>
          <cell r="F6089">
            <v>23721.3</v>
          </cell>
        </row>
        <row r="6090">
          <cell r="B6090">
            <v>45469</v>
          </cell>
          <cell r="C6090">
            <v>23723.1</v>
          </cell>
          <cell r="D6090">
            <v>23889.9</v>
          </cell>
          <cell r="E6090">
            <v>23670.45</v>
          </cell>
          <cell r="F6090">
            <v>23868.799999999999</v>
          </cell>
        </row>
        <row r="6091">
          <cell r="B6091">
            <v>45470</v>
          </cell>
          <cell r="C6091">
            <v>23881.55</v>
          </cell>
          <cell r="D6091">
            <v>24087.45</v>
          </cell>
          <cell r="E6091">
            <v>23805.4</v>
          </cell>
          <cell r="F6091">
            <v>24044.5</v>
          </cell>
        </row>
        <row r="6092">
          <cell r="B6092">
            <v>45471</v>
          </cell>
          <cell r="C6092">
            <v>24085.9</v>
          </cell>
          <cell r="D6092">
            <v>24174</v>
          </cell>
          <cell r="E6092">
            <v>23985.8</v>
          </cell>
          <cell r="F6092">
            <v>24010.6</v>
          </cell>
        </row>
        <row r="6093">
          <cell r="B6093">
            <v>45474</v>
          </cell>
          <cell r="C6093">
            <v>23992.95</v>
          </cell>
          <cell r="D6093">
            <v>24164</v>
          </cell>
          <cell r="E6093">
            <v>23992.7</v>
          </cell>
          <cell r="F6093">
            <v>24141.95</v>
          </cell>
        </row>
        <row r="6094">
          <cell r="B6094">
            <v>45475</v>
          </cell>
          <cell r="C6094">
            <v>24228.75</v>
          </cell>
          <cell r="D6094">
            <v>24236.35</v>
          </cell>
          <cell r="E6094">
            <v>24056.400000000001</v>
          </cell>
          <cell r="F6094">
            <v>24123.85</v>
          </cell>
        </row>
        <row r="6095">
          <cell r="B6095">
            <v>45476</v>
          </cell>
          <cell r="C6095">
            <v>24291.75</v>
          </cell>
          <cell r="D6095">
            <v>24309.15</v>
          </cell>
          <cell r="E6095">
            <v>24207.1</v>
          </cell>
          <cell r="F6095">
            <v>24286.5</v>
          </cell>
        </row>
        <row r="6096">
          <cell r="B6096">
            <v>45477</v>
          </cell>
          <cell r="C6096">
            <v>24369.95</v>
          </cell>
          <cell r="D6096">
            <v>24401</v>
          </cell>
          <cell r="E6096">
            <v>24281</v>
          </cell>
          <cell r="F6096">
            <v>24302.15</v>
          </cell>
        </row>
        <row r="6097">
          <cell r="B6097">
            <v>45478</v>
          </cell>
          <cell r="C6097">
            <v>24213.35</v>
          </cell>
          <cell r="D6097">
            <v>24363</v>
          </cell>
          <cell r="E6097">
            <v>24168.85</v>
          </cell>
          <cell r="F6097">
            <v>24323.85</v>
          </cell>
        </row>
        <row r="6098">
          <cell r="B6098">
            <v>45481</v>
          </cell>
          <cell r="C6098">
            <v>24329.45</v>
          </cell>
          <cell r="D6098">
            <v>24344.6</v>
          </cell>
          <cell r="E6098">
            <v>24240.55</v>
          </cell>
          <cell r="F6098">
            <v>24320.55</v>
          </cell>
        </row>
        <row r="6099">
          <cell r="B6099">
            <v>45482</v>
          </cell>
          <cell r="C6099">
            <v>24351</v>
          </cell>
          <cell r="D6099">
            <v>24443.599999999999</v>
          </cell>
          <cell r="E6099">
            <v>24331.9</v>
          </cell>
          <cell r="F6099">
            <v>24433.200000000001</v>
          </cell>
        </row>
        <row r="6100">
          <cell r="B6100">
            <v>45483</v>
          </cell>
          <cell r="C6100">
            <v>24459.85</v>
          </cell>
          <cell r="D6100">
            <v>24461.05</v>
          </cell>
          <cell r="E6100">
            <v>24141.8</v>
          </cell>
          <cell r="F6100">
            <v>24324.45</v>
          </cell>
        </row>
        <row r="6101">
          <cell r="B6101">
            <v>45484</v>
          </cell>
          <cell r="C6101">
            <v>24396.55</v>
          </cell>
          <cell r="D6101">
            <v>24402.65</v>
          </cell>
          <cell r="E6101">
            <v>24193.75</v>
          </cell>
          <cell r="F6101">
            <v>24315.95</v>
          </cell>
        </row>
        <row r="6102">
          <cell r="B6102">
            <v>45485</v>
          </cell>
          <cell r="C6102">
            <v>24387.95</v>
          </cell>
          <cell r="D6102">
            <v>24592.2</v>
          </cell>
          <cell r="E6102">
            <v>24331.15</v>
          </cell>
          <cell r="F6102">
            <v>24502.15</v>
          </cell>
        </row>
        <row r="6103">
          <cell r="B6103">
            <v>45488</v>
          </cell>
          <cell r="C6103">
            <v>24587.599999999999</v>
          </cell>
          <cell r="D6103">
            <v>24635.05</v>
          </cell>
          <cell r="E6103">
            <v>24522.75</v>
          </cell>
          <cell r="F6103">
            <v>24586.7</v>
          </cell>
        </row>
        <row r="6104">
          <cell r="B6104">
            <v>45489</v>
          </cell>
          <cell r="C6104">
            <v>24615.9</v>
          </cell>
          <cell r="D6104">
            <v>24661.25</v>
          </cell>
          <cell r="E6104">
            <v>24587.65</v>
          </cell>
          <cell r="F6104">
            <v>24613</v>
          </cell>
        </row>
        <row r="6105">
          <cell r="B6105">
            <v>45491</v>
          </cell>
          <cell r="C6105">
            <v>24543.8</v>
          </cell>
          <cell r="D6105">
            <v>24837.75</v>
          </cell>
          <cell r="E6105">
            <v>24504.45</v>
          </cell>
          <cell r="F6105">
            <v>24800.85</v>
          </cell>
        </row>
        <row r="6106">
          <cell r="B6106">
            <v>45492</v>
          </cell>
          <cell r="C6106">
            <v>24853.8</v>
          </cell>
          <cell r="D6106">
            <v>24854.799999999999</v>
          </cell>
          <cell r="E6106">
            <v>24508.15</v>
          </cell>
          <cell r="F6106">
            <v>24530.9</v>
          </cell>
        </row>
        <row r="6107">
          <cell r="B6107">
            <v>45495</v>
          </cell>
          <cell r="C6107">
            <v>24445.75</v>
          </cell>
          <cell r="D6107">
            <v>24595.200000000001</v>
          </cell>
          <cell r="E6107">
            <v>24362.3</v>
          </cell>
          <cell r="F6107">
            <v>24509.25</v>
          </cell>
        </row>
        <row r="6108">
          <cell r="B6108">
            <v>45496</v>
          </cell>
          <cell r="C6108">
            <v>24568.9</v>
          </cell>
          <cell r="D6108">
            <v>24582.55</v>
          </cell>
          <cell r="E6108">
            <v>24074.2</v>
          </cell>
          <cell r="F6108">
            <v>24479.05</v>
          </cell>
        </row>
        <row r="6109">
          <cell r="B6109">
            <v>45497</v>
          </cell>
          <cell r="C6109">
            <v>24444.95</v>
          </cell>
          <cell r="D6109">
            <v>24504.25</v>
          </cell>
          <cell r="E6109">
            <v>24307.25</v>
          </cell>
          <cell r="F6109">
            <v>24413.5</v>
          </cell>
        </row>
        <row r="6110">
          <cell r="B6110">
            <v>45498</v>
          </cell>
          <cell r="C6110">
            <v>24230.95</v>
          </cell>
          <cell r="D6110">
            <v>24426.15</v>
          </cell>
          <cell r="E6110">
            <v>24210.799999999999</v>
          </cell>
          <cell r="F6110">
            <v>24406.1</v>
          </cell>
        </row>
        <row r="6111">
          <cell r="B6111">
            <v>45499</v>
          </cell>
          <cell r="C6111">
            <v>24423.35</v>
          </cell>
          <cell r="D6111">
            <v>24861.15</v>
          </cell>
          <cell r="E6111">
            <v>24410.9</v>
          </cell>
          <cell r="F6111">
            <v>24834.85</v>
          </cell>
        </row>
        <row r="6112">
          <cell r="B6112">
            <v>45502</v>
          </cell>
          <cell r="C6112">
            <v>24943.3</v>
          </cell>
          <cell r="D6112">
            <v>24999.75</v>
          </cell>
          <cell r="E6112">
            <v>24774.6</v>
          </cell>
          <cell r="F6112">
            <v>24836.1</v>
          </cell>
        </row>
        <row r="6113">
          <cell r="B6113">
            <v>45503</v>
          </cell>
          <cell r="C6113">
            <v>24839.4</v>
          </cell>
          <cell r="D6113">
            <v>24971.75</v>
          </cell>
          <cell r="E6113">
            <v>24798.65</v>
          </cell>
          <cell r="F6113">
            <v>24857.3</v>
          </cell>
        </row>
        <row r="6114">
          <cell r="B6114">
            <v>45504</v>
          </cell>
          <cell r="C6114">
            <v>24886.7</v>
          </cell>
          <cell r="D6114">
            <v>24984.6</v>
          </cell>
          <cell r="E6114">
            <v>24856.5</v>
          </cell>
          <cell r="F6114">
            <v>24951.15</v>
          </cell>
        </row>
        <row r="6115">
          <cell r="B6115">
            <v>45505</v>
          </cell>
          <cell r="C6115">
            <v>25030.95</v>
          </cell>
          <cell r="D6115">
            <v>25078.3</v>
          </cell>
          <cell r="E6115">
            <v>24956.400000000001</v>
          </cell>
          <cell r="F6115">
            <v>25010.9</v>
          </cell>
        </row>
        <row r="6116">
          <cell r="B6116">
            <v>45506</v>
          </cell>
          <cell r="C6116">
            <v>24789</v>
          </cell>
          <cell r="D6116">
            <v>24851.9</v>
          </cell>
          <cell r="E6116">
            <v>24686.85</v>
          </cell>
          <cell r="F6116">
            <v>24717.7</v>
          </cell>
        </row>
        <row r="6117">
          <cell r="B6117">
            <v>45509</v>
          </cell>
          <cell r="C6117">
            <v>24302.85</v>
          </cell>
          <cell r="D6117">
            <v>24350.05</v>
          </cell>
          <cell r="E6117">
            <v>23893.7</v>
          </cell>
          <cell r="F6117">
            <v>24055.599999999999</v>
          </cell>
        </row>
        <row r="6118">
          <cell r="B6118">
            <v>45510</v>
          </cell>
          <cell r="C6118">
            <v>24189.85</v>
          </cell>
          <cell r="D6118">
            <v>24382.6</v>
          </cell>
          <cell r="E6118">
            <v>23960.400000000001</v>
          </cell>
          <cell r="F6118">
            <v>23992.55</v>
          </cell>
        </row>
        <row r="6119">
          <cell r="B6119">
            <v>45511</v>
          </cell>
          <cell r="C6119">
            <v>24289.4</v>
          </cell>
          <cell r="D6119">
            <v>24337.7</v>
          </cell>
          <cell r="E6119">
            <v>24184.9</v>
          </cell>
          <cell r="F6119">
            <v>24297.5</v>
          </cell>
        </row>
        <row r="6120">
          <cell r="B6120">
            <v>45512</v>
          </cell>
          <cell r="C6120">
            <v>24248.55</v>
          </cell>
          <cell r="D6120">
            <v>24340.5</v>
          </cell>
          <cell r="E6120">
            <v>24079.7</v>
          </cell>
          <cell r="F6120">
            <v>24117</v>
          </cell>
        </row>
        <row r="6121">
          <cell r="B6121">
            <v>45513</v>
          </cell>
          <cell r="C6121">
            <v>24386.85</v>
          </cell>
          <cell r="D6121">
            <v>24419.75</v>
          </cell>
          <cell r="E6121">
            <v>24311.200000000001</v>
          </cell>
          <cell r="F6121">
            <v>24367.5</v>
          </cell>
        </row>
        <row r="6122">
          <cell r="B6122">
            <v>45516</v>
          </cell>
          <cell r="C6122">
            <v>24320.05</v>
          </cell>
          <cell r="D6122">
            <v>24472.799999999999</v>
          </cell>
          <cell r="E6122">
            <v>24212.1</v>
          </cell>
          <cell r="F6122">
            <v>24347</v>
          </cell>
        </row>
        <row r="6123">
          <cell r="B6123">
            <v>45517</v>
          </cell>
          <cell r="C6123">
            <v>24342.35</v>
          </cell>
          <cell r="D6123">
            <v>24359.95</v>
          </cell>
          <cell r="E6123">
            <v>24116.5</v>
          </cell>
          <cell r="F6123">
            <v>24139</v>
          </cell>
        </row>
        <row r="6124">
          <cell r="B6124">
            <v>45518</v>
          </cell>
          <cell r="C6124">
            <v>24184.400000000001</v>
          </cell>
          <cell r="D6124">
            <v>24196.5</v>
          </cell>
          <cell r="E6124">
            <v>24099.7</v>
          </cell>
          <cell r="F6124">
            <v>24143.75</v>
          </cell>
        </row>
        <row r="6125">
          <cell r="B6125">
            <v>45520</v>
          </cell>
          <cell r="C6125">
            <v>24334.85</v>
          </cell>
          <cell r="D6125">
            <v>24563.9</v>
          </cell>
          <cell r="E6125">
            <v>24204.5</v>
          </cell>
          <cell r="F6125">
            <v>24541.15</v>
          </cell>
        </row>
        <row r="6126">
          <cell r="B6126">
            <v>45523</v>
          </cell>
          <cell r="C6126">
            <v>24636.35</v>
          </cell>
          <cell r="D6126">
            <v>24638.799999999999</v>
          </cell>
          <cell r="E6126">
            <v>24522.95</v>
          </cell>
          <cell r="F6126">
            <v>24572.65</v>
          </cell>
        </row>
        <row r="6127">
          <cell r="B6127">
            <v>45524</v>
          </cell>
          <cell r="C6127">
            <v>24648.9</v>
          </cell>
          <cell r="D6127">
            <v>24734.3</v>
          </cell>
          <cell r="E6127">
            <v>24607.200000000001</v>
          </cell>
          <cell r="F6127">
            <v>24698.85</v>
          </cell>
        </row>
        <row r="6128">
          <cell r="B6128">
            <v>45525</v>
          </cell>
          <cell r="C6128">
            <v>24680.55</v>
          </cell>
          <cell r="D6128">
            <v>24787.95</v>
          </cell>
          <cell r="E6128">
            <v>24654.5</v>
          </cell>
          <cell r="F6128">
            <v>24770.2</v>
          </cell>
        </row>
        <row r="6129">
          <cell r="B6129">
            <v>45526</v>
          </cell>
          <cell r="C6129">
            <v>24863.4</v>
          </cell>
          <cell r="D6129">
            <v>24867.35</v>
          </cell>
          <cell r="E6129">
            <v>24784.45</v>
          </cell>
          <cell r="F6129">
            <v>24811.5</v>
          </cell>
        </row>
        <row r="6130">
          <cell r="B6130">
            <v>45527</v>
          </cell>
          <cell r="C6130">
            <v>24845.4</v>
          </cell>
          <cell r="D6130">
            <v>24858.400000000001</v>
          </cell>
          <cell r="E6130">
            <v>24771.65</v>
          </cell>
          <cell r="F6130">
            <v>24823.15</v>
          </cell>
        </row>
        <row r="6131">
          <cell r="B6131">
            <v>45530</v>
          </cell>
          <cell r="C6131">
            <v>24906.1</v>
          </cell>
          <cell r="D6131">
            <v>25043.8</v>
          </cell>
          <cell r="E6131">
            <v>24874.7</v>
          </cell>
          <cell r="F6131">
            <v>25010.6</v>
          </cell>
        </row>
        <row r="6132">
          <cell r="B6132">
            <v>45531</v>
          </cell>
          <cell r="C6132">
            <v>25024.799999999999</v>
          </cell>
          <cell r="D6132">
            <v>25073.1</v>
          </cell>
          <cell r="E6132">
            <v>24973.65</v>
          </cell>
          <cell r="F6132">
            <v>25017.75</v>
          </cell>
        </row>
        <row r="6133">
          <cell r="B6133">
            <v>45532</v>
          </cell>
          <cell r="C6133">
            <v>25030.799999999999</v>
          </cell>
          <cell r="D6133">
            <v>25129.599999999999</v>
          </cell>
          <cell r="E6133">
            <v>24964.65</v>
          </cell>
          <cell r="F6133">
            <v>25052.35</v>
          </cell>
        </row>
        <row r="6134">
          <cell r="B6134">
            <v>45533</v>
          </cell>
          <cell r="C6134">
            <v>25035.3</v>
          </cell>
          <cell r="D6134">
            <v>25192.9</v>
          </cell>
          <cell r="E6134">
            <v>24998.5</v>
          </cell>
          <cell r="F6134">
            <v>25151.95</v>
          </cell>
        </row>
        <row r="6135">
          <cell r="B6135">
            <v>45534</v>
          </cell>
          <cell r="C6135">
            <v>25249.7</v>
          </cell>
          <cell r="D6135">
            <v>25268.35</v>
          </cell>
          <cell r="E6135">
            <v>25199.4</v>
          </cell>
          <cell r="F6135">
            <v>25235.9</v>
          </cell>
        </row>
        <row r="6136">
          <cell r="B6136">
            <v>45537</v>
          </cell>
          <cell r="C6136">
            <v>25333.599999999999</v>
          </cell>
          <cell r="D6136">
            <v>25333.65</v>
          </cell>
          <cell r="E6136">
            <v>25235.5</v>
          </cell>
          <cell r="F6136">
            <v>25278.7</v>
          </cell>
        </row>
        <row r="6137">
          <cell r="B6137">
            <v>45538</v>
          </cell>
          <cell r="C6137">
            <v>25313.4</v>
          </cell>
          <cell r="D6137">
            <v>25321.7</v>
          </cell>
          <cell r="E6137">
            <v>25235.8</v>
          </cell>
          <cell r="F6137">
            <v>25279.85</v>
          </cell>
        </row>
        <row r="6138">
          <cell r="B6138">
            <v>45539</v>
          </cell>
          <cell r="C6138">
            <v>25089.95</v>
          </cell>
          <cell r="D6138">
            <v>25216</v>
          </cell>
          <cell r="E6138">
            <v>25083.8</v>
          </cell>
          <cell r="F6138">
            <v>25198.7</v>
          </cell>
        </row>
        <row r="6139">
          <cell r="B6139">
            <v>45540</v>
          </cell>
          <cell r="C6139">
            <v>25250.5</v>
          </cell>
          <cell r="D6139">
            <v>25275.45</v>
          </cell>
          <cell r="E6139">
            <v>25127.75</v>
          </cell>
          <cell r="F6139">
            <v>25145.1</v>
          </cell>
        </row>
        <row r="6140">
          <cell r="B6140">
            <v>45541</v>
          </cell>
          <cell r="C6140">
            <v>25093.7</v>
          </cell>
          <cell r="D6140">
            <v>25168.75</v>
          </cell>
          <cell r="E6140">
            <v>24801.3</v>
          </cell>
          <cell r="F6140">
            <v>24852.15</v>
          </cell>
        </row>
        <row r="6141">
          <cell r="B6141">
            <v>45544</v>
          </cell>
          <cell r="C6141">
            <v>24823.4</v>
          </cell>
          <cell r="D6141">
            <v>24957.5</v>
          </cell>
          <cell r="E6141">
            <v>24753.15</v>
          </cell>
          <cell r="F6141">
            <v>24936.400000000001</v>
          </cell>
        </row>
        <row r="6142">
          <cell r="B6142">
            <v>45545</v>
          </cell>
          <cell r="C6142">
            <v>24999.4</v>
          </cell>
          <cell r="D6142">
            <v>25130.5</v>
          </cell>
          <cell r="E6142">
            <v>24896.799999999999</v>
          </cell>
          <cell r="F6142">
            <v>25041.1</v>
          </cell>
        </row>
        <row r="6143">
          <cell r="B6143">
            <v>45546</v>
          </cell>
          <cell r="C6143">
            <v>25034</v>
          </cell>
          <cell r="D6143">
            <v>25113.7</v>
          </cell>
          <cell r="E6143">
            <v>24885.15</v>
          </cell>
          <cell r="F6143">
            <v>24918.45</v>
          </cell>
        </row>
        <row r="6144">
          <cell r="B6144">
            <v>45547</v>
          </cell>
          <cell r="C6144">
            <v>25059.65</v>
          </cell>
          <cell r="D6144">
            <v>25433.35</v>
          </cell>
          <cell r="E6144">
            <v>24941.45</v>
          </cell>
          <cell r="F6144">
            <v>25388.9</v>
          </cell>
        </row>
        <row r="6145">
          <cell r="B6145">
            <v>45548</v>
          </cell>
          <cell r="C6145">
            <v>25430.45</v>
          </cell>
          <cell r="D6145">
            <v>25430.5</v>
          </cell>
          <cell r="E6145">
            <v>25292.45</v>
          </cell>
          <cell r="F6145">
            <v>25356.5</v>
          </cell>
        </row>
        <row r="6146">
          <cell r="B6146">
            <v>45551</v>
          </cell>
          <cell r="C6146">
            <v>25406.65</v>
          </cell>
          <cell r="D6146">
            <v>25445.7</v>
          </cell>
          <cell r="E6146">
            <v>25336.2</v>
          </cell>
          <cell r="F6146">
            <v>25383.75</v>
          </cell>
        </row>
        <row r="6147">
          <cell r="B6147">
            <v>45552</v>
          </cell>
          <cell r="C6147">
            <v>25416.9</v>
          </cell>
          <cell r="D6147">
            <v>25441.65</v>
          </cell>
          <cell r="E6147">
            <v>25352.25</v>
          </cell>
          <cell r="F6147">
            <v>25418.55</v>
          </cell>
        </row>
        <row r="6148">
          <cell r="B6148">
            <v>45553</v>
          </cell>
          <cell r="C6148">
            <v>25402.400000000001</v>
          </cell>
          <cell r="D6148">
            <v>25482.2</v>
          </cell>
          <cell r="E6148">
            <v>25285.55</v>
          </cell>
          <cell r="F6148">
            <v>25377.55</v>
          </cell>
        </row>
        <row r="6149">
          <cell r="B6149">
            <v>45554</v>
          </cell>
          <cell r="C6149">
            <v>25487.05</v>
          </cell>
          <cell r="D6149">
            <v>25611.95</v>
          </cell>
          <cell r="E6149">
            <v>25376.05</v>
          </cell>
          <cell r="F6149">
            <v>25415.8</v>
          </cell>
        </row>
        <row r="6150">
          <cell r="B6150">
            <v>45555</v>
          </cell>
          <cell r="C6150">
            <v>25525.95</v>
          </cell>
          <cell r="D6150">
            <v>25849.25</v>
          </cell>
          <cell r="E6150">
            <v>25426.6</v>
          </cell>
          <cell r="F6150">
            <v>25790.95</v>
          </cell>
        </row>
        <row r="6151">
          <cell r="B6151">
            <v>45558</v>
          </cell>
          <cell r="C6151">
            <v>25872.55</v>
          </cell>
          <cell r="D6151">
            <v>25956</v>
          </cell>
          <cell r="E6151">
            <v>25847.35</v>
          </cell>
          <cell r="F6151">
            <v>25939.05</v>
          </cell>
        </row>
        <row r="6152">
          <cell r="B6152">
            <v>45559</v>
          </cell>
          <cell r="C6152">
            <v>25921.45</v>
          </cell>
          <cell r="D6152">
            <v>26011.55</v>
          </cell>
          <cell r="E6152">
            <v>25886.85</v>
          </cell>
          <cell r="F6152">
            <v>25940.400000000001</v>
          </cell>
        </row>
        <row r="6153">
          <cell r="B6153">
            <v>45560</v>
          </cell>
          <cell r="C6153">
            <v>25899.45</v>
          </cell>
          <cell r="D6153">
            <v>26032.799999999999</v>
          </cell>
          <cell r="E6153">
            <v>25871.35</v>
          </cell>
          <cell r="F6153">
            <v>26004.15</v>
          </cell>
        </row>
        <row r="6154">
          <cell r="B6154">
            <v>45561</v>
          </cell>
          <cell r="C6154">
            <v>26005.4</v>
          </cell>
          <cell r="D6154">
            <v>26250.9</v>
          </cell>
          <cell r="E6154">
            <v>25998.400000000001</v>
          </cell>
          <cell r="F6154">
            <v>26216.05</v>
          </cell>
        </row>
        <row r="6155">
          <cell r="B6155">
            <v>45562</v>
          </cell>
          <cell r="C6155">
            <v>26248.25</v>
          </cell>
          <cell r="D6155">
            <v>26277.35</v>
          </cell>
          <cell r="E6155">
            <v>26151.4</v>
          </cell>
          <cell r="F6155">
            <v>26178.95</v>
          </cell>
        </row>
        <row r="6156">
          <cell r="B6156">
            <v>45565</v>
          </cell>
          <cell r="C6156">
            <v>26061.3</v>
          </cell>
          <cell r="D6156">
            <v>26134.7</v>
          </cell>
          <cell r="E6156">
            <v>25794.1</v>
          </cell>
          <cell r="F6156">
            <v>25810.85</v>
          </cell>
        </row>
        <row r="6157">
          <cell r="B6157">
            <v>45566</v>
          </cell>
          <cell r="C6157">
            <v>25788.45</v>
          </cell>
          <cell r="D6157">
            <v>25907.599999999999</v>
          </cell>
          <cell r="E6157">
            <v>25739.200000000001</v>
          </cell>
          <cell r="F6157">
            <v>25796.9</v>
          </cell>
        </row>
        <row r="6158">
          <cell r="B6158">
            <v>45568</v>
          </cell>
          <cell r="C6158">
            <v>25452.85</v>
          </cell>
          <cell r="D6158">
            <v>25639.45</v>
          </cell>
          <cell r="E6158">
            <v>25230.3</v>
          </cell>
          <cell r="F6158">
            <v>25250.1</v>
          </cell>
        </row>
        <row r="6159">
          <cell r="B6159">
            <v>45569</v>
          </cell>
          <cell r="C6159">
            <v>25181.9</v>
          </cell>
          <cell r="D6159">
            <v>25485.05</v>
          </cell>
          <cell r="E6159">
            <v>24966.799999999999</v>
          </cell>
          <cell r="F6159">
            <v>25014.6</v>
          </cell>
        </row>
        <row r="6160">
          <cell r="B6160">
            <v>45572</v>
          </cell>
          <cell r="C6160">
            <v>25084.1</v>
          </cell>
          <cell r="D6160">
            <v>25143</v>
          </cell>
          <cell r="E6160">
            <v>24694.35</v>
          </cell>
          <cell r="F6160">
            <v>24795.75</v>
          </cell>
        </row>
        <row r="6161">
          <cell r="B6161">
            <v>45573</v>
          </cell>
          <cell r="C6161">
            <v>24832.2</v>
          </cell>
          <cell r="D6161">
            <v>25044</v>
          </cell>
          <cell r="E6161">
            <v>24756.799999999999</v>
          </cell>
          <cell r="F6161">
            <v>25013.15</v>
          </cell>
        </row>
        <row r="6162">
          <cell r="B6162">
            <v>45574</v>
          </cell>
          <cell r="C6162">
            <v>25065.8</v>
          </cell>
          <cell r="D6162">
            <v>25234.05</v>
          </cell>
          <cell r="E6162">
            <v>24947.7</v>
          </cell>
          <cell r="F6162">
            <v>24981.95</v>
          </cell>
        </row>
        <row r="6163">
          <cell r="B6163">
            <v>45575</v>
          </cell>
          <cell r="C6163">
            <v>25067.05</v>
          </cell>
          <cell r="D6163">
            <v>25134.05</v>
          </cell>
          <cell r="E6163">
            <v>24979.4</v>
          </cell>
          <cell r="F6163">
            <v>24998.45</v>
          </cell>
        </row>
        <row r="6164">
          <cell r="B6164">
            <v>45576</v>
          </cell>
          <cell r="C6164">
            <v>24985.3</v>
          </cell>
          <cell r="D6164">
            <v>25028.65</v>
          </cell>
          <cell r="E6164">
            <v>24920.05</v>
          </cell>
          <cell r="F6164">
            <v>24964.25</v>
          </cell>
        </row>
        <row r="6165">
          <cell r="B6165">
            <v>45579</v>
          </cell>
          <cell r="C6165">
            <v>25023.45</v>
          </cell>
          <cell r="D6165">
            <v>25159.75</v>
          </cell>
          <cell r="E6165">
            <v>25017.5</v>
          </cell>
          <cell r="F6165">
            <v>25127.95</v>
          </cell>
        </row>
        <row r="6166">
          <cell r="B6166">
            <v>45580</v>
          </cell>
          <cell r="C6166">
            <v>25186.3</v>
          </cell>
          <cell r="D6166">
            <v>25212.05</v>
          </cell>
          <cell r="E6166">
            <v>25008.15</v>
          </cell>
          <cell r="F6166">
            <v>25057.35</v>
          </cell>
        </row>
        <row r="6167">
          <cell r="B6167">
            <v>45581</v>
          </cell>
          <cell r="C6167">
            <v>25008.55</v>
          </cell>
          <cell r="D6167">
            <v>25093.4</v>
          </cell>
          <cell r="E6167">
            <v>24908.45</v>
          </cell>
          <cell r="F6167">
            <v>24971.3</v>
          </cell>
        </row>
        <row r="6168">
          <cell r="B6168">
            <v>45582</v>
          </cell>
          <cell r="C6168">
            <v>25027.4</v>
          </cell>
          <cell r="D6168">
            <v>25029.5</v>
          </cell>
          <cell r="E6168">
            <v>24728.9</v>
          </cell>
          <cell r="F6168">
            <v>24749.85</v>
          </cell>
        </row>
        <row r="6169">
          <cell r="B6169">
            <v>45583</v>
          </cell>
          <cell r="C6169">
            <v>24664.95</v>
          </cell>
          <cell r="D6169">
            <v>24886.2</v>
          </cell>
          <cell r="E6169">
            <v>24567.65</v>
          </cell>
          <cell r="F6169">
            <v>24854.05</v>
          </cell>
        </row>
        <row r="6170">
          <cell r="B6170">
            <v>45586</v>
          </cell>
          <cell r="C6170">
            <v>24956.15</v>
          </cell>
          <cell r="D6170">
            <v>24978.3</v>
          </cell>
          <cell r="E6170">
            <v>24679.599999999999</v>
          </cell>
          <cell r="F6170">
            <v>24781.1</v>
          </cell>
        </row>
        <row r="6171">
          <cell r="B6171">
            <v>45587</v>
          </cell>
          <cell r="C6171">
            <v>24798.65</v>
          </cell>
          <cell r="D6171">
            <v>24882</v>
          </cell>
          <cell r="E6171">
            <v>24445.8</v>
          </cell>
          <cell r="F6171">
            <v>24472.1</v>
          </cell>
        </row>
        <row r="6172">
          <cell r="B6172">
            <v>45588</v>
          </cell>
          <cell r="C6172">
            <v>24378.15</v>
          </cell>
          <cell r="D6172">
            <v>24604.25</v>
          </cell>
          <cell r="E6172">
            <v>24378.1</v>
          </cell>
          <cell r="F6172">
            <v>24435.5</v>
          </cell>
        </row>
        <row r="6173">
          <cell r="B6173">
            <v>45589</v>
          </cell>
          <cell r="C6173">
            <v>24412.7</v>
          </cell>
          <cell r="D6173">
            <v>24480.65</v>
          </cell>
          <cell r="E6173">
            <v>24341.200000000001</v>
          </cell>
          <cell r="F6173">
            <v>24399.4</v>
          </cell>
        </row>
        <row r="6174">
          <cell r="B6174">
            <v>45590</v>
          </cell>
          <cell r="C6174">
            <v>24418.05</v>
          </cell>
          <cell r="D6174">
            <v>24440.25</v>
          </cell>
          <cell r="E6174">
            <v>24073.9</v>
          </cell>
          <cell r="F6174">
            <v>24180.799999999999</v>
          </cell>
        </row>
        <row r="6175">
          <cell r="B6175">
            <v>45593</v>
          </cell>
          <cell r="C6175">
            <v>24251.1</v>
          </cell>
          <cell r="D6175">
            <v>24492.6</v>
          </cell>
          <cell r="E6175">
            <v>24134.9</v>
          </cell>
          <cell r="F6175">
            <v>24339.15</v>
          </cell>
        </row>
        <row r="6176">
          <cell r="B6176">
            <v>45594</v>
          </cell>
          <cell r="C6176">
            <v>24328.85</v>
          </cell>
          <cell r="D6176">
            <v>24484.5</v>
          </cell>
          <cell r="E6176">
            <v>24140.85</v>
          </cell>
          <cell r="F6176">
            <v>24466.85</v>
          </cell>
        </row>
        <row r="6177">
          <cell r="B6177">
            <v>45595</v>
          </cell>
          <cell r="C6177">
            <v>24371.45</v>
          </cell>
          <cell r="D6177">
            <v>24498.2</v>
          </cell>
          <cell r="E6177">
            <v>24307.3</v>
          </cell>
          <cell r="F6177">
            <v>24340.85</v>
          </cell>
        </row>
        <row r="6178">
          <cell r="B6178">
            <v>45596</v>
          </cell>
          <cell r="C6178">
            <v>24349.85</v>
          </cell>
          <cell r="D6178">
            <v>24372.45</v>
          </cell>
          <cell r="E6178">
            <v>24172.6</v>
          </cell>
          <cell r="F6178">
            <v>24205.35</v>
          </cell>
        </row>
        <row r="6179">
          <cell r="B6179">
            <v>45597</v>
          </cell>
          <cell r="C6179">
            <v>24302.75</v>
          </cell>
          <cell r="D6179">
            <v>24368.25</v>
          </cell>
          <cell r="E6179">
            <v>24280.2</v>
          </cell>
          <cell r="F6179">
            <v>24304.35</v>
          </cell>
        </row>
        <row r="6180">
          <cell r="B6180">
            <v>45600</v>
          </cell>
          <cell r="C6180">
            <v>24315.75</v>
          </cell>
          <cell r="D6180">
            <v>24316.75</v>
          </cell>
          <cell r="E6180">
            <v>23816.15</v>
          </cell>
          <cell r="F6180">
            <v>23995.35</v>
          </cell>
        </row>
        <row r="6181">
          <cell r="B6181">
            <v>45601</v>
          </cell>
          <cell r="C6181">
            <v>23916.5</v>
          </cell>
          <cell r="D6181">
            <v>24229.05</v>
          </cell>
          <cell r="E6181">
            <v>23842.75</v>
          </cell>
          <cell r="F6181">
            <v>24213.3</v>
          </cell>
        </row>
        <row r="6182">
          <cell r="B6182">
            <v>45602</v>
          </cell>
          <cell r="C6182">
            <v>24308.75</v>
          </cell>
          <cell r="D6182">
            <v>24537.599999999999</v>
          </cell>
          <cell r="E6182">
            <v>24204.05</v>
          </cell>
          <cell r="F6182">
            <v>24484.05</v>
          </cell>
        </row>
        <row r="6183">
          <cell r="B6183">
            <v>45603</v>
          </cell>
          <cell r="C6183">
            <v>24489.599999999999</v>
          </cell>
          <cell r="D6183">
            <v>24503.35</v>
          </cell>
          <cell r="E6183">
            <v>24179.05</v>
          </cell>
          <cell r="F6183">
            <v>24199.35</v>
          </cell>
        </row>
        <row r="6184">
          <cell r="B6184">
            <v>45604</v>
          </cell>
          <cell r="C6184">
            <v>24207.7</v>
          </cell>
          <cell r="D6184">
            <v>24276.15</v>
          </cell>
          <cell r="E6184">
            <v>24066.65</v>
          </cell>
          <cell r="F6184">
            <v>24148.2</v>
          </cell>
        </row>
        <row r="6185">
          <cell r="B6185">
            <v>45607</v>
          </cell>
          <cell r="C6185">
            <v>24087.25</v>
          </cell>
          <cell r="D6185">
            <v>24336.799999999999</v>
          </cell>
          <cell r="E6185">
            <v>24004.6</v>
          </cell>
          <cell r="F6185">
            <v>24141.3</v>
          </cell>
        </row>
        <row r="6186">
          <cell r="B6186">
            <v>45608</v>
          </cell>
          <cell r="C6186">
            <v>24225.8</v>
          </cell>
          <cell r="D6186">
            <v>24242</v>
          </cell>
          <cell r="E6186">
            <v>23839.15</v>
          </cell>
          <cell r="F6186">
            <v>23883.45</v>
          </cell>
        </row>
        <row r="6187">
          <cell r="B6187">
            <v>45609</v>
          </cell>
          <cell r="C6187">
            <v>23822.45</v>
          </cell>
          <cell r="D6187">
            <v>23873.599999999999</v>
          </cell>
          <cell r="E6187">
            <v>23509.599999999999</v>
          </cell>
          <cell r="F6187">
            <v>23559.05</v>
          </cell>
        </row>
        <row r="6188">
          <cell r="B6188">
            <v>45610</v>
          </cell>
          <cell r="C6188">
            <v>23542.15</v>
          </cell>
          <cell r="D6188">
            <v>23675.9</v>
          </cell>
          <cell r="E6188">
            <v>23484.15</v>
          </cell>
          <cell r="F6188">
            <v>23532.7</v>
          </cell>
        </row>
        <row r="6189">
          <cell r="B6189">
            <v>45614</v>
          </cell>
          <cell r="C6189">
            <v>23605.3</v>
          </cell>
          <cell r="D6189">
            <v>23606.799999999999</v>
          </cell>
          <cell r="E6189">
            <v>23350.400000000001</v>
          </cell>
          <cell r="F6189">
            <v>23453.8</v>
          </cell>
        </row>
        <row r="6190">
          <cell r="B6190">
            <v>45615</v>
          </cell>
          <cell r="C6190">
            <v>23529.55</v>
          </cell>
          <cell r="D6190">
            <v>23780.65</v>
          </cell>
          <cell r="E6190">
            <v>23464.799999999999</v>
          </cell>
          <cell r="F6190">
            <v>23518.5</v>
          </cell>
        </row>
        <row r="6191">
          <cell r="B6191">
            <v>45617</v>
          </cell>
          <cell r="C6191">
            <v>23488.45</v>
          </cell>
          <cell r="D6191">
            <v>23507.3</v>
          </cell>
          <cell r="E6191">
            <v>23263.15</v>
          </cell>
          <cell r="F6191">
            <v>23349.9</v>
          </cell>
        </row>
        <row r="6192">
          <cell r="B6192">
            <v>45618</v>
          </cell>
          <cell r="C6192">
            <v>23411.8</v>
          </cell>
          <cell r="D6192">
            <v>23956.1</v>
          </cell>
          <cell r="E6192">
            <v>23359</v>
          </cell>
          <cell r="F6192">
            <v>23907.25</v>
          </cell>
        </row>
        <row r="6193">
          <cell r="B6193">
            <v>45621</v>
          </cell>
          <cell r="C6193">
            <v>24253.55</v>
          </cell>
          <cell r="D6193">
            <v>24351.55</v>
          </cell>
          <cell r="E6193">
            <v>24135.45</v>
          </cell>
          <cell r="F6193">
            <v>24221.9</v>
          </cell>
        </row>
        <row r="6194">
          <cell r="B6194">
            <v>45622</v>
          </cell>
          <cell r="C6194">
            <v>24343.3</v>
          </cell>
          <cell r="D6194">
            <v>24343.3</v>
          </cell>
          <cell r="E6194">
            <v>24125.4</v>
          </cell>
          <cell r="F6194">
            <v>24194.5</v>
          </cell>
        </row>
        <row r="6195">
          <cell r="B6195">
            <v>45623</v>
          </cell>
          <cell r="C6195">
            <v>24204.799999999999</v>
          </cell>
          <cell r="D6195">
            <v>24354.55</v>
          </cell>
          <cell r="E6195">
            <v>24145.65</v>
          </cell>
          <cell r="F6195">
            <v>24274.9</v>
          </cell>
        </row>
        <row r="6196">
          <cell r="B6196">
            <v>45624</v>
          </cell>
          <cell r="C6196">
            <v>24274.15</v>
          </cell>
          <cell r="D6196">
            <v>24345.75</v>
          </cell>
          <cell r="E6196">
            <v>23873.35</v>
          </cell>
          <cell r="F6196">
            <v>23914.15</v>
          </cell>
        </row>
        <row r="6197">
          <cell r="B6197">
            <v>45625</v>
          </cell>
          <cell r="C6197">
            <v>23927.15</v>
          </cell>
          <cell r="D6197">
            <v>24188.45</v>
          </cell>
          <cell r="E6197">
            <v>23927.15</v>
          </cell>
          <cell r="F6197">
            <v>24131.1</v>
          </cell>
        </row>
        <row r="6198">
          <cell r="B6198">
            <v>45628</v>
          </cell>
          <cell r="C6198">
            <v>24140.85</v>
          </cell>
          <cell r="D6198">
            <v>24301.7</v>
          </cell>
          <cell r="E6198">
            <v>24008.65</v>
          </cell>
          <cell r="F6198">
            <v>24276.05</v>
          </cell>
        </row>
        <row r="6199">
          <cell r="B6199">
            <v>45629</v>
          </cell>
          <cell r="C6199">
            <v>24367.5</v>
          </cell>
          <cell r="D6199">
            <v>24481.35</v>
          </cell>
          <cell r="E6199">
            <v>24280</v>
          </cell>
          <cell r="F6199">
            <v>24457.15</v>
          </cell>
        </row>
        <row r="6200">
          <cell r="B6200">
            <v>45630</v>
          </cell>
          <cell r="C6200">
            <v>24488.75</v>
          </cell>
          <cell r="D6200">
            <v>24573.200000000001</v>
          </cell>
          <cell r="E6200">
            <v>24366.3</v>
          </cell>
          <cell r="F6200">
            <v>24467.45</v>
          </cell>
        </row>
        <row r="6201">
          <cell r="B6201">
            <v>45631</v>
          </cell>
          <cell r="C6201">
            <v>24539.15</v>
          </cell>
          <cell r="D6201">
            <v>24857.75</v>
          </cell>
          <cell r="E6201">
            <v>24295.55</v>
          </cell>
          <cell r="F6201">
            <v>24708.400000000001</v>
          </cell>
        </row>
        <row r="6202">
          <cell r="B6202">
            <v>45632</v>
          </cell>
          <cell r="C6202">
            <v>24729.45</v>
          </cell>
          <cell r="D6202">
            <v>24751.05</v>
          </cell>
          <cell r="E6202">
            <v>24620.5</v>
          </cell>
          <cell r="F6202">
            <v>24677.8</v>
          </cell>
        </row>
        <row r="6203">
          <cell r="B6203">
            <v>45635</v>
          </cell>
          <cell r="C6203">
            <v>24633.9</v>
          </cell>
          <cell r="D6203">
            <v>24705</v>
          </cell>
          <cell r="E6203">
            <v>24580.05</v>
          </cell>
          <cell r="F6203">
            <v>24619</v>
          </cell>
        </row>
        <row r="6204">
          <cell r="B6204">
            <v>45636</v>
          </cell>
          <cell r="C6204">
            <v>24652.65</v>
          </cell>
          <cell r="D6204">
            <v>24677.8</v>
          </cell>
          <cell r="E6204">
            <v>24510.65</v>
          </cell>
          <cell r="F6204">
            <v>24610.05</v>
          </cell>
        </row>
        <row r="6205">
          <cell r="B6205">
            <v>45637</v>
          </cell>
          <cell r="C6205">
            <v>24620.5</v>
          </cell>
          <cell r="D6205">
            <v>24691.75</v>
          </cell>
          <cell r="E6205">
            <v>24583.85</v>
          </cell>
          <cell r="F6205">
            <v>24641.8</v>
          </cell>
        </row>
        <row r="6206">
          <cell r="B6206">
            <v>45638</v>
          </cell>
          <cell r="C6206">
            <v>24604.45</v>
          </cell>
          <cell r="D6206">
            <v>24675.25</v>
          </cell>
          <cell r="E6206">
            <v>24527.95</v>
          </cell>
          <cell r="F6206">
            <v>24548.7</v>
          </cell>
        </row>
        <row r="6207">
          <cell r="B6207">
            <v>45639</v>
          </cell>
          <cell r="C6207">
            <v>24498.35</v>
          </cell>
          <cell r="D6207">
            <v>24792.3</v>
          </cell>
          <cell r="E6207">
            <v>24180.799999999999</v>
          </cell>
          <cell r="F6207">
            <v>24768.3</v>
          </cell>
        </row>
        <row r="6208">
          <cell r="B6208">
            <v>45642</v>
          </cell>
          <cell r="C6208">
            <v>24753.4</v>
          </cell>
          <cell r="D6208">
            <v>24781.25</v>
          </cell>
          <cell r="E6208">
            <v>24601.75</v>
          </cell>
          <cell r="F6208">
            <v>24668.25</v>
          </cell>
        </row>
        <row r="6209">
          <cell r="B6209">
            <v>45643</v>
          </cell>
          <cell r="C6209">
            <v>24584.799999999999</v>
          </cell>
          <cell r="D6209">
            <v>24624.1</v>
          </cell>
          <cell r="E6209">
            <v>24303.45</v>
          </cell>
          <cell r="F6209">
            <v>24336</v>
          </cell>
        </row>
        <row r="6210">
          <cell r="B6210">
            <v>45644</v>
          </cell>
          <cell r="C6210">
            <v>24297.95</v>
          </cell>
          <cell r="D6210">
            <v>24394.45</v>
          </cell>
          <cell r="E6210">
            <v>24149.85</v>
          </cell>
          <cell r="F6210">
            <v>24198.85</v>
          </cell>
        </row>
        <row r="6211">
          <cell r="B6211">
            <v>45645</v>
          </cell>
          <cell r="C6211">
            <v>23877.15</v>
          </cell>
          <cell r="D6211">
            <v>24004.9</v>
          </cell>
          <cell r="E6211">
            <v>23870.3</v>
          </cell>
          <cell r="F6211">
            <v>23951.7</v>
          </cell>
        </row>
        <row r="6212">
          <cell r="B6212">
            <v>45646</v>
          </cell>
          <cell r="C6212">
            <v>23960.7</v>
          </cell>
          <cell r="D6212">
            <v>24065.8</v>
          </cell>
          <cell r="E6212">
            <v>23537.35</v>
          </cell>
          <cell r="F6212">
            <v>23587.5</v>
          </cell>
        </row>
        <row r="6213">
          <cell r="B6213">
            <v>45649</v>
          </cell>
          <cell r="C6213">
            <v>23738.2</v>
          </cell>
          <cell r="D6213">
            <v>23869.55</v>
          </cell>
          <cell r="E6213">
            <v>23647.200000000001</v>
          </cell>
          <cell r="F6213">
            <v>23753.45</v>
          </cell>
        </row>
        <row r="6214">
          <cell r="B6214">
            <v>45650</v>
          </cell>
          <cell r="C6214">
            <v>23769.1</v>
          </cell>
          <cell r="D6214">
            <v>23867.65</v>
          </cell>
          <cell r="E6214">
            <v>23685.15</v>
          </cell>
          <cell r="F6214">
            <v>23727.65</v>
          </cell>
        </row>
        <row r="6215">
          <cell r="B6215">
            <v>45652</v>
          </cell>
          <cell r="C6215">
            <v>23775.8</v>
          </cell>
          <cell r="D6215">
            <v>23854.5</v>
          </cell>
          <cell r="E6215">
            <v>23653.599999999999</v>
          </cell>
          <cell r="F6215">
            <v>23750.2</v>
          </cell>
        </row>
        <row r="6216">
          <cell r="B6216">
            <v>45653</v>
          </cell>
          <cell r="C6216">
            <v>23801.4</v>
          </cell>
          <cell r="D6216">
            <v>23938.85</v>
          </cell>
          <cell r="E6216">
            <v>23800.6</v>
          </cell>
          <cell r="F6216">
            <v>23813.4</v>
          </cell>
        </row>
        <row r="6217">
          <cell r="B6217">
            <v>45656</v>
          </cell>
          <cell r="C6217">
            <v>23796.9</v>
          </cell>
          <cell r="D6217">
            <v>23915.35</v>
          </cell>
          <cell r="E6217">
            <v>23599.3</v>
          </cell>
          <cell r="F6217">
            <v>23644.9</v>
          </cell>
        </row>
        <row r="6218">
          <cell r="B6218">
            <v>45657</v>
          </cell>
          <cell r="C6218">
            <v>23560.6</v>
          </cell>
          <cell r="D6218">
            <v>23689.85</v>
          </cell>
          <cell r="E6218">
            <v>23460.45</v>
          </cell>
          <cell r="F6218">
            <v>23644.799999999999</v>
          </cell>
        </row>
        <row r="6219">
          <cell r="B6219">
            <v>45658</v>
          </cell>
          <cell r="C6219">
            <v>23637.65</v>
          </cell>
          <cell r="D6219">
            <v>23822.799999999999</v>
          </cell>
          <cell r="E6219">
            <v>23562.799999999999</v>
          </cell>
          <cell r="F6219">
            <v>23742.9</v>
          </cell>
        </row>
        <row r="6220">
          <cell r="B6220">
            <v>45659</v>
          </cell>
          <cell r="C6220">
            <v>23783</v>
          </cell>
          <cell r="D6220">
            <v>24226.7</v>
          </cell>
          <cell r="E6220">
            <v>23751.55</v>
          </cell>
          <cell r="F6220">
            <v>24188.65</v>
          </cell>
        </row>
        <row r="6221">
          <cell r="B6221">
            <v>45660</v>
          </cell>
          <cell r="C6221">
            <v>24196.400000000001</v>
          </cell>
          <cell r="D6221">
            <v>24196.45</v>
          </cell>
          <cell r="E6221">
            <v>23976</v>
          </cell>
          <cell r="F6221">
            <v>24004.75</v>
          </cell>
        </row>
        <row r="6222">
          <cell r="B6222">
            <v>45663</v>
          </cell>
          <cell r="C6222">
            <v>24045.8</v>
          </cell>
          <cell r="D6222">
            <v>24089.95</v>
          </cell>
          <cell r="E6222">
            <v>23551.9</v>
          </cell>
          <cell r="F6222">
            <v>23616.05</v>
          </cell>
        </row>
        <row r="6223">
          <cell r="B6223">
            <v>45664</v>
          </cell>
          <cell r="C6223">
            <v>23679.9</v>
          </cell>
          <cell r="D6223">
            <v>23795.200000000001</v>
          </cell>
          <cell r="E6223">
            <v>23637.8</v>
          </cell>
          <cell r="F6223">
            <v>23707.9</v>
          </cell>
        </row>
        <row r="6224">
          <cell r="B6224">
            <v>45665</v>
          </cell>
          <cell r="C6224">
            <v>23746.65</v>
          </cell>
          <cell r="D6224">
            <v>23751.85</v>
          </cell>
          <cell r="E6224">
            <v>23496.15</v>
          </cell>
          <cell r="F6224">
            <v>23688.95</v>
          </cell>
        </row>
        <row r="6225">
          <cell r="B6225">
            <v>45666</v>
          </cell>
          <cell r="C6225">
            <v>23674.75</v>
          </cell>
          <cell r="D6225">
            <v>23689.5</v>
          </cell>
          <cell r="E6225">
            <v>23503.05</v>
          </cell>
          <cell r="F6225">
            <v>23526.5</v>
          </cell>
        </row>
        <row r="6226">
          <cell r="B6226">
            <v>45667</v>
          </cell>
          <cell r="C6226">
            <v>23551.9</v>
          </cell>
          <cell r="D6226">
            <v>23596.6</v>
          </cell>
          <cell r="E6226">
            <v>23344.35</v>
          </cell>
          <cell r="F6226">
            <v>23431.5</v>
          </cell>
        </row>
        <row r="6227">
          <cell r="B6227">
            <v>45670</v>
          </cell>
          <cell r="C6227">
            <v>23195.4</v>
          </cell>
          <cell r="D6227">
            <v>23340.95</v>
          </cell>
          <cell r="E6227">
            <v>23047.25</v>
          </cell>
          <cell r="F6227">
            <v>23085.95</v>
          </cell>
        </row>
        <row r="6228">
          <cell r="B6228">
            <v>45671</v>
          </cell>
          <cell r="C6228">
            <v>23165.9</v>
          </cell>
          <cell r="D6228">
            <v>23264.95</v>
          </cell>
          <cell r="E6228">
            <v>23134.15</v>
          </cell>
          <cell r="F6228">
            <v>23176.05</v>
          </cell>
        </row>
        <row r="6229">
          <cell r="B6229">
            <v>45672</v>
          </cell>
          <cell r="C6229">
            <v>23250.45</v>
          </cell>
          <cell r="D6229">
            <v>23293.65</v>
          </cell>
          <cell r="E6229">
            <v>23146.45</v>
          </cell>
          <cell r="F6229">
            <v>23213.200000000001</v>
          </cell>
        </row>
        <row r="6230">
          <cell r="B6230">
            <v>45673</v>
          </cell>
          <cell r="C6230">
            <v>23377.25</v>
          </cell>
          <cell r="D6230">
            <v>23391.65</v>
          </cell>
          <cell r="E6230">
            <v>23272.05</v>
          </cell>
          <cell r="F6230">
            <v>23311.8</v>
          </cell>
        </row>
        <row r="6231">
          <cell r="B6231">
            <v>45674</v>
          </cell>
          <cell r="C6231">
            <v>23277.1</v>
          </cell>
          <cell r="D6231">
            <v>23292.1</v>
          </cell>
          <cell r="E6231">
            <v>23100.35</v>
          </cell>
          <cell r="F6231">
            <v>23203.200000000001</v>
          </cell>
        </row>
        <row r="6232">
          <cell r="B6232">
            <v>45677</v>
          </cell>
          <cell r="C6232">
            <v>23290.400000000001</v>
          </cell>
          <cell r="D6232">
            <v>23391.1</v>
          </cell>
          <cell r="E6232">
            <v>23170.65</v>
          </cell>
          <cell r="F6232">
            <v>23344.75</v>
          </cell>
        </row>
        <row r="6233">
          <cell r="B6233">
            <v>45678</v>
          </cell>
          <cell r="C6233">
            <v>23421.65</v>
          </cell>
          <cell r="D6233">
            <v>23426.3</v>
          </cell>
          <cell r="E6233">
            <v>22976.85</v>
          </cell>
          <cell r="F6233">
            <v>23024.65</v>
          </cell>
        </row>
        <row r="6234">
          <cell r="B6234">
            <v>45679</v>
          </cell>
          <cell r="C6234">
            <v>23099.15</v>
          </cell>
          <cell r="D6234">
            <v>23169.55</v>
          </cell>
          <cell r="E6234">
            <v>22981.3</v>
          </cell>
          <cell r="F6234">
            <v>23155.35</v>
          </cell>
        </row>
        <row r="6235">
          <cell r="B6235">
            <v>45680</v>
          </cell>
          <cell r="C6235">
            <v>23128.3</v>
          </cell>
          <cell r="D6235">
            <v>23270.799999999999</v>
          </cell>
          <cell r="E6235">
            <v>23090.65</v>
          </cell>
          <cell r="F6235">
            <v>23205.35</v>
          </cell>
        </row>
        <row r="6236">
          <cell r="B6236">
            <v>45681</v>
          </cell>
          <cell r="C6236">
            <v>23183.9</v>
          </cell>
          <cell r="D6236">
            <v>23347.3</v>
          </cell>
          <cell r="E6236">
            <v>23050</v>
          </cell>
          <cell r="F6236">
            <v>23092.2</v>
          </cell>
        </row>
        <row r="6237">
          <cell r="B6237">
            <v>45684</v>
          </cell>
          <cell r="C6237">
            <v>22940.15</v>
          </cell>
          <cell r="D6237">
            <v>23007.45</v>
          </cell>
          <cell r="E6237">
            <v>22786.9</v>
          </cell>
          <cell r="F6237">
            <v>22829.15</v>
          </cell>
        </row>
        <row r="6238">
          <cell r="B6238">
            <v>45685</v>
          </cell>
          <cell r="C6238">
            <v>22960.45</v>
          </cell>
          <cell r="D6238">
            <v>23137.95</v>
          </cell>
          <cell r="E6238">
            <v>22857.65</v>
          </cell>
          <cell r="F6238">
            <v>22957.25</v>
          </cell>
        </row>
        <row r="6239">
          <cell r="B6239">
            <v>45686</v>
          </cell>
          <cell r="C6239">
            <v>23026.75</v>
          </cell>
          <cell r="D6239">
            <v>23183.35</v>
          </cell>
          <cell r="E6239">
            <v>22976.5</v>
          </cell>
          <cell r="F6239">
            <v>23163.1</v>
          </cell>
        </row>
        <row r="6240">
          <cell r="B6240">
            <v>45687</v>
          </cell>
          <cell r="C6240">
            <v>23169.5</v>
          </cell>
          <cell r="D6240">
            <v>23322.05</v>
          </cell>
          <cell r="E6240">
            <v>23139.200000000001</v>
          </cell>
          <cell r="F6240">
            <v>23249.5</v>
          </cell>
        </row>
        <row r="6241">
          <cell r="B6241">
            <v>45688</v>
          </cell>
          <cell r="C6241">
            <v>23296.75</v>
          </cell>
          <cell r="D6241">
            <v>23546.799999999999</v>
          </cell>
          <cell r="E6241">
            <v>23277.4</v>
          </cell>
          <cell r="F6241">
            <v>23508.400000000001</v>
          </cell>
        </row>
        <row r="6242">
          <cell r="B6242">
            <v>45689</v>
          </cell>
          <cell r="C6242">
            <v>23528.6</v>
          </cell>
          <cell r="D6242">
            <v>23632.45</v>
          </cell>
          <cell r="E6242">
            <v>23318.3</v>
          </cell>
          <cell r="F6242">
            <v>23482.15</v>
          </cell>
        </row>
        <row r="6243">
          <cell r="B6243">
            <v>45691</v>
          </cell>
          <cell r="C6243">
            <v>23319.35</v>
          </cell>
          <cell r="D6243">
            <v>23381.599999999999</v>
          </cell>
          <cell r="E6243">
            <v>23222</v>
          </cell>
          <cell r="F6243">
            <v>23361.05</v>
          </cell>
        </row>
        <row r="6244">
          <cell r="B6244">
            <v>45692</v>
          </cell>
          <cell r="C6244">
            <v>23509.9</v>
          </cell>
          <cell r="D6244">
            <v>23762.75</v>
          </cell>
          <cell r="E6244">
            <v>23423.15</v>
          </cell>
          <cell r="F6244">
            <v>23739.25</v>
          </cell>
        </row>
        <row r="6245">
          <cell r="B6245">
            <v>45693</v>
          </cell>
          <cell r="C6245">
            <v>23801.75</v>
          </cell>
          <cell r="D6245">
            <v>23807.3</v>
          </cell>
          <cell r="E6245">
            <v>23680.45</v>
          </cell>
          <cell r="F6245">
            <v>23696.3</v>
          </cell>
        </row>
        <row r="6246">
          <cell r="B6246">
            <v>45694</v>
          </cell>
          <cell r="C6246">
            <v>23761.95</v>
          </cell>
          <cell r="D6246">
            <v>23773.55</v>
          </cell>
          <cell r="E6246">
            <v>23556.25</v>
          </cell>
          <cell r="F6246">
            <v>23603.35</v>
          </cell>
        </row>
        <row r="6247">
          <cell r="B6247">
            <v>45695</v>
          </cell>
          <cell r="C6247">
            <v>23649.5</v>
          </cell>
          <cell r="D6247">
            <v>23694.5</v>
          </cell>
          <cell r="E6247">
            <v>23443.200000000001</v>
          </cell>
          <cell r="F6247">
            <v>23559.95</v>
          </cell>
        </row>
        <row r="6248">
          <cell r="B6248">
            <v>45698</v>
          </cell>
          <cell r="C6248">
            <v>23543.8</v>
          </cell>
          <cell r="D6248">
            <v>23568.6</v>
          </cell>
          <cell r="E6248">
            <v>23316.3</v>
          </cell>
          <cell r="F6248">
            <v>23381.599999999999</v>
          </cell>
        </row>
        <row r="6249">
          <cell r="B6249">
            <v>45699</v>
          </cell>
          <cell r="C6249">
            <v>23383.55</v>
          </cell>
          <cell r="D6249">
            <v>23390.05</v>
          </cell>
          <cell r="E6249">
            <v>22986.65</v>
          </cell>
          <cell r="F6249">
            <v>23071.8</v>
          </cell>
        </row>
        <row r="6250">
          <cell r="B6250">
            <v>45700</v>
          </cell>
          <cell r="C6250">
            <v>23050.799999999999</v>
          </cell>
          <cell r="D6250">
            <v>23144.7</v>
          </cell>
          <cell r="E6250">
            <v>22798.35</v>
          </cell>
          <cell r="F6250">
            <v>23045.25</v>
          </cell>
        </row>
        <row r="6251">
          <cell r="B6251">
            <v>45701</v>
          </cell>
          <cell r="C6251">
            <v>23055.75</v>
          </cell>
          <cell r="D6251">
            <v>23235.5</v>
          </cell>
          <cell r="E6251">
            <v>22992.2</v>
          </cell>
          <cell r="F6251">
            <v>23031.4</v>
          </cell>
        </row>
        <row r="6252">
          <cell r="B6252">
            <v>45702</v>
          </cell>
          <cell r="C6252">
            <v>23096.45</v>
          </cell>
          <cell r="D6252">
            <v>23133.7</v>
          </cell>
          <cell r="E6252">
            <v>22774.85</v>
          </cell>
          <cell r="F6252">
            <v>22929.25</v>
          </cell>
        </row>
        <row r="6253">
          <cell r="B6253">
            <v>45705</v>
          </cell>
          <cell r="C6253">
            <v>22809.9</v>
          </cell>
          <cell r="D6253">
            <v>22974.2</v>
          </cell>
          <cell r="E6253">
            <v>22725.45</v>
          </cell>
          <cell r="F6253">
            <v>22959.5</v>
          </cell>
        </row>
        <row r="6254">
          <cell r="B6254">
            <v>45706</v>
          </cell>
          <cell r="C6254">
            <v>22963.65</v>
          </cell>
          <cell r="D6254">
            <v>22992.5</v>
          </cell>
          <cell r="E6254">
            <v>22801.5</v>
          </cell>
          <cell r="F6254">
            <v>22945.3</v>
          </cell>
        </row>
        <row r="6255">
          <cell r="B6255">
            <v>45707</v>
          </cell>
          <cell r="C6255">
            <v>22847.25</v>
          </cell>
          <cell r="D6255">
            <v>23049.95</v>
          </cell>
          <cell r="E6255">
            <v>22814.85</v>
          </cell>
          <cell r="F6255">
            <v>22932.9</v>
          </cell>
        </row>
        <row r="6256">
          <cell r="B6256">
            <v>45708</v>
          </cell>
          <cell r="C6256">
            <v>22821.1</v>
          </cell>
          <cell r="D6256">
            <v>22923.85</v>
          </cell>
          <cell r="E6256">
            <v>22812.75</v>
          </cell>
          <cell r="F6256">
            <v>22913.15</v>
          </cell>
        </row>
        <row r="6257">
          <cell r="B6257">
            <v>45709</v>
          </cell>
          <cell r="C6257">
            <v>22857.200000000001</v>
          </cell>
          <cell r="D6257">
            <v>22921</v>
          </cell>
          <cell r="E6257">
            <v>22720.3</v>
          </cell>
          <cell r="F6257">
            <v>22795.9</v>
          </cell>
        </row>
        <row r="6258">
          <cell r="B6258">
            <v>45712</v>
          </cell>
          <cell r="C6258">
            <v>22609.35</v>
          </cell>
          <cell r="D6258">
            <v>22668.05</v>
          </cell>
          <cell r="E6258">
            <v>22518.799999999999</v>
          </cell>
          <cell r="F6258">
            <v>22553.35</v>
          </cell>
        </row>
        <row r="6259">
          <cell r="B6259">
            <v>45713</v>
          </cell>
          <cell r="C6259">
            <v>22516.45</v>
          </cell>
          <cell r="D6259">
            <v>22625.3</v>
          </cell>
          <cell r="E6259">
            <v>22513.9</v>
          </cell>
          <cell r="F6259">
            <v>22547.55</v>
          </cell>
        </row>
        <row r="6260">
          <cell r="B6260">
            <v>45715</v>
          </cell>
          <cell r="C6260">
            <v>22568.95</v>
          </cell>
          <cell r="D6260">
            <v>22613.3</v>
          </cell>
          <cell r="E6260">
            <v>22508.400000000001</v>
          </cell>
          <cell r="F6260">
            <v>22545.05</v>
          </cell>
        </row>
        <row r="6261">
          <cell r="B6261">
            <v>45716</v>
          </cell>
          <cell r="C6261">
            <v>22433.4</v>
          </cell>
          <cell r="D6261">
            <v>22450.35</v>
          </cell>
          <cell r="E6261">
            <v>22104.85</v>
          </cell>
          <cell r="F6261">
            <v>22124.7</v>
          </cell>
        </row>
        <row r="6262">
          <cell r="B6262">
            <v>45719</v>
          </cell>
          <cell r="C6262">
            <v>22194.55</v>
          </cell>
          <cell r="D6262">
            <v>22261.55</v>
          </cell>
          <cell r="E6262">
            <v>22004.7</v>
          </cell>
          <cell r="F6262">
            <v>22119.3</v>
          </cell>
        </row>
        <row r="6263">
          <cell r="B6263">
            <v>45720</v>
          </cell>
          <cell r="C6263">
            <v>21974.45</v>
          </cell>
          <cell r="D6263">
            <v>22105.05</v>
          </cell>
          <cell r="E6263">
            <v>21964.6</v>
          </cell>
          <cell r="F6263">
            <v>22082.65</v>
          </cell>
        </row>
        <row r="6264">
          <cell r="B6264">
            <v>45721</v>
          </cell>
          <cell r="C6264">
            <v>22073.05</v>
          </cell>
          <cell r="D6264">
            <v>22394.9</v>
          </cell>
          <cell r="E6264">
            <v>22067.8</v>
          </cell>
          <cell r="F6264">
            <v>22337.3</v>
          </cell>
        </row>
        <row r="6265">
          <cell r="B6265">
            <v>45722</v>
          </cell>
          <cell r="C6265">
            <v>22476.35</v>
          </cell>
          <cell r="D6265">
            <v>22556.45</v>
          </cell>
          <cell r="E6265">
            <v>22245.85</v>
          </cell>
          <cell r="F6265">
            <v>22544.7</v>
          </cell>
        </row>
        <row r="6266">
          <cell r="B6266">
            <v>45723</v>
          </cell>
          <cell r="C6266">
            <v>22508.65</v>
          </cell>
          <cell r="D6266">
            <v>22633.8</v>
          </cell>
          <cell r="E6266">
            <v>22464.75</v>
          </cell>
          <cell r="F6266">
            <v>22552.5</v>
          </cell>
        </row>
        <row r="6267">
          <cell r="B6267">
            <v>45726</v>
          </cell>
          <cell r="C6267">
            <v>22521.85</v>
          </cell>
          <cell r="D6267">
            <v>22676.75</v>
          </cell>
          <cell r="E6267">
            <v>22429.05</v>
          </cell>
          <cell r="F6267">
            <v>22460.3</v>
          </cell>
        </row>
        <row r="6268">
          <cell r="B6268">
            <v>45727</v>
          </cell>
          <cell r="C6268">
            <v>22345.95</v>
          </cell>
          <cell r="D6268">
            <v>22522.1</v>
          </cell>
          <cell r="E6268">
            <v>22314.7</v>
          </cell>
          <cell r="F6268">
            <v>22497.9</v>
          </cell>
        </row>
        <row r="6269">
          <cell r="B6269">
            <v>45728</v>
          </cell>
          <cell r="C6269">
            <v>22536.35</v>
          </cell>
          <cell r="D6269">
            <v>22577.4</v>
          </cell>
          <cell r="E6269">
            <v>22329.55</v>
          </cell>
          <cell r="F6269">
            <v>22470.5</v>
          </cell>
        </row>
        <row r="6270">
          <cell r="B6270">
            <v>45729</v>
          </cell>
          <cell r="C6270">
            <v>22541.5</v>
          </cell>
          <cell r="D6270">
            <v>22558.05</v>
          </cell>
          <cell r="E6270">
            <v>22377.35</v>
          </cell>
          <cell r="F6270">
            <v>22397.200000000001</v>
          </cell>
        </row>
        <row r="6271">
          <cell r="B6271">
            <v>45733</v>
          </cell>
          <cell r="C6271">
            <v>22353.15</v>
          </cell>
          <cell r="D6271">
            <v>22577</v>
          </cell>
          <cell r="E6271">
            <v>22353.15</v>
          </cell>
          <cell r="F6271">
            <v>22508.75</v>
          </cell>
        </row>
        <row r="6272">
          <cell r="B6272">
            <v>45734</v>
          </cell>
          <cell r="C6272">
            <v>22662.25</v>
          </cell>
          <cell r="D6272">
            <v>22857.8</v>
          </cell>
          <cell r="E6272">
            <v>22599.200000000001</v>
          </cell>
          <cell r="F6272">
            <v>22834.3</v>
          </cell>
        </row>
        <row r="6273">
          <cell r="B6273">
            <v>45735</v>
          </cell>
          <cell r="C6273">
            <v>22874.95</v>
          </cell>
          <cell r="D6273">
            <v>22940.7</v>
          </cell>
          <cell r="E6273">
            <v>22807.95</v>
          </cell>
          <cell r="F6273">
            <v>22907.599999999999</v>
          </cell>
        </row>
        <row r="6274">
          <cell r="B6274">
            <v>45736</v>
          </cell>
          <cell r="C6274">
            <v>23036.6</v>
          </cell>
          <cell r="D6274">
            <v>23216.7</v>
          </cell>
          <cell r="E6274">
            <v>22973.95</v>
          </cell>
          <cell r="F6274">
            <v>23190.65</v>
          </cell>
        </row>
        <row r="6275">
          <cell r="B6275">
            <v>45737</v>
          </cell>
          <cell r="C6275">
            <v>23168.25</v>
          </cell>
          <cell r="D6275">
            <v>23402.7</v>
          </cell>
          <cell r="E6275">
            <v>23132.799999999999</v>
          </cell>
          <cell r="F6275">
            <v>23350.400000000001</v>
          </cell>
        </row>
        <row r="6276">
          <cell r="B6276">
            <v>45740</v>
          </cell>
          <cell r="C6276">
            <v>23515.4</v>
          </cell>
          <cell r="D6276">
            <v>23708.75</v>
          </cell>
          <cell r="E6276">
            <v>23433.5</v>
          </cell>
          <cell r="F6276">
            <v>23658.35</v>
          </cell>
        </row>
        <row r="6277">
          <cell r="B6277">
            <v>45741</v>
          </cell>
          <cell r="C6277">
            <v>23751.5</v>
          </cell>
          <cell r="D6277">
            <v>23869.599999999999</v>
          </cell>
          <cell r="E6277">
            <v>23601.4</v>
          </cell>
          <cell r="F6277">
            <v>23668.65</v>
          </cell>
        </row>
        <row r="6278">
          <cell r="B6278">
            <v>45742</v>
          </cell>
          <cell r="C6278">
            <v>23700.95</v>
          </cell>
          <cell r="D6278">
            <v>23736.5</v>
          </cell>
          <cell r="E6278">
            <v>23451.7</v>
          </cell>
          <cell r="F6278">
            <v>23486.85</v>
          </cell>
        </row>
        <row r="6279">
          <cell r="B6279">
            <v>45743</v>
          </cell>
          <cell r="C6279">
            <v>23433.95</v>
          </cell>
          <cell r="D6279">
            <v>23646.45</v>
          </cell>
          <cell r="E6279">
            <v>23412.2</v>
          </cell>
          <cell r="F6279">
            <v>23591.95</v>
          </cell>
        </row>
        <row r="6280">
          <cell r="B6280">
            <v>45744</v>
          </cell>
          <cell r="C6280">
            <v>23600.400000000001</v>
          </cell>
          <cell r="D6280">
            <v>23649.200000000001</v>
          </cell>
          <cell r="E6280">
            <v>23450.2</v>
          </cell>
          <cell r="F6280">
            <v>23519.35</v>
          </cell>
        </row>
        <row r="6281">
          <cell r="B6281">
            <v>45748</v>
          </cell>
          <cell r="C6281">
            <v>23341.1</v>
          </cell>
          <cell r="D6281">
            <v>23565.15</v>
          </cell>
          <cell r="E6281">
            <v>23136.400000000001</v>
          </cell>
          <cell r="F6281">
            <v>23165.7</v>
          </cell>
        </row>
        <row r="6282">
          <cell r="B6282">
            <v>45749</v>
          </cell>
          <cell r="C6282">
            <v>23192.6</v>
          </cell>
          <cell r="D6282">
            <v>23350</v>
          </cell>
          <cell r="E6282">
            <v>23158.45</v>
          </cell>
          <cell r="F6282">
            <v>23332.35</v>
          </cell>
        </row>
        <row r="6283">
          <cell r="B6283">
            <v>45750</v>
          </cell>
          <cell r="C6283">
            <v>23150.3</v>
          </cell>
          <cell r="D6283">
            <v>23306.5</v>
          </cell>
          <cell r="E6283">
            <v>23145.8</v>
          </cell>
          <cell r="F6283">
            <v>23250.1</v>
          </cell>
        </row>
        <row r="6284">
          <cell r="B6284">
            <v>45751</v>
          </cell>
          <cell r="C6284">
            <v>23190.400000000001</v>
          </cell>
          <cell r="D6284">
            <v>23214.7</v>
          </cell>
          <cell r="E6284">
            <v>22857.45</v>
          </cell>
          <cell r="F6284">
            <v>22904.45</v>
          </cell>
        </row>
        <row r="6285">
          <cell r="B6285">
            <v>45754</v>
          </cell>
          <cell r="C6285">
            <v>21758.400000000001</v>
          </cell>
          <cell r="D6285">
            <v>22254</v>
          </cell>
          <cell r="E6285">
            <v>21743.65</v>
          </cell>
          <cell r="F6285">
            <v>22161.599999999999</v>
          </cell>
        </row>
        <row r="6286">
          <cell r="B6286">
            <v>45755</v>
          </cell>
          <cell r="C6286">
            <v>22446.75</v>
          </cell>
          <cell r="D6286">
            <v>22697.200000000001</v>
          </cell>
          <cell r="E6286">
            <v>22270.85</v>
          </cell>
          <cell r="F6286">
            <v>22535.85</v>
          </cell>
        </row>
        <row r="6287">
          <cell r="B6287">
            <v>45756</v>
          </cell>
          <cell r="C6287">
            <v>22460.3</v>
          </cell>
          <cell r="D6287">
            <v>22468.7</v>
          </cell>
          <cell r="E6287">
            <v>22353.25</v>
          </cell>
          <cell r="F6287">
            <v>22399.15</v>
          </cell>
        </row>
        <row r="6288">
          <cell r="B6288">
            <v>45758</v>
          </cell>
          <cell r="C6288">
            <v>22695.4</v>
          </cell>
          <cell r="D6288">
            <v>22923.9</v>
          </cell>
          <cell r="E6288">
            <v>22695.4</v>
          </cell>
          <cell r="F6288">
            <v>22828.55</v>
          </cell>
        </row>
        <row r="6289">
          <cell r="B6289">
            <v>45762</v>
          </cell>
          <cell r="C6289">
            <v>23368.35</v>
          </cell>
          <cell r="D6289">
            <v>23368.35</v>
          </cell>
          <cell r="E6289">
            <v>23207</v>
          </cell>
          <cell r="F6289">
            <v>23328.55</v>
          </cell>
        </row>
        <row r="6290">
          <cell r="B6290">
            <v>45763</v>
          </cell>
          <cell r="C6290">
            <v>23344.1</v>
          </cell>
          <cell r="D6290">
            <v>23452.2</v>
          </cell>
          <cell r="E6290">
            <v>23273.05</v>
          </cell>
          <cell r="F6290">
            <v>23437.200000000001</v>
          </cell>
        </row>
        <row r="6291">
          <cell r="B6291">
            <v>45764</v>
          </cell>
          <cell r="C6291">
            <v>23401.85</v>
          </cell>
          <cell r="D6291">
            <v>23872.35</v>
          </cell>
          <cell r="E6291">
            <v>23298.55</v>
          </cell>
          <cell r="F6291">
            <v>23851.65</v>
          </cell>
        </row>
        <row r="6292">
          <cell r="B6292">
            <v>45768</v>
          </cell>
          <cell r="C6292">
            <v>23949.15</v>
          </cell>
          <cell r="D6292">
            <v>24189.55</v>
          </cell>
          <cell r="E6292">
            <v>23903.65</v>
          </cell>
          <cell r="F6292">
            <v>24125.55</v>
          </cell>
        </row>
        <row r="6293">
          <cell r="B6293">
            <v>45769</v>
          </cell>
          <cell r="C6293">
            <v>24185.4</v>
          </cell>
          <cell r="D6293">
            <v>24242.6</v>
          </cell>
          <cell r="E6293">
            <v>24072</v>
          </cell>
          <cell r="F6293">
            <v>24167.25</v>
          </cell>
        </row>
        <row r="6294">
          <cell r="B6294">
            <v>45770</v>
          </cell>
          <cell r="C6294">
            <v>24357.599999999999</v>
          </cell>
          <cell r="D6294">
            <v>24359.3</v>
          </cell>
          <cell r="E6294">
            <v>24119.95</v>
          </cell>
          <cell r="F6294">
            <v>24328.95</v>
          </cell>
        </row>
        <row r="6295">
          <cell r="B6295">
            <v>45771</v>
          </cell>
          <cell r="C6295">
            <v>24277.9</v>
          </cell>
          <cell r="D6295">
            <v>24347.85</v>
          </cell>
          <cell r="E6295">
            <v>24216.15</v>
          </cell>
          <cell r="F6295">
            <v>24246.7</v>
          </cell>
        </row>
        <row r="6296">
          <cell r="B6296">
            <v>45772</v>
          </cell>
          <cell r="C6296">
            <v>24289</v>
          </cell>
          <cell r="D6296">
            <v>24365.45</v>
          </cell>
          <cell r="E6296">
            <v>23847.85</v>
          </cell>
          <cell r="F6296">
            <v>24039.35</v>
          </cell>
        </row>
        <row r="6297">
          <cell r="B6297">
            <v>45775</v>
          </cell>
          <cell r="C6297">
            <v>24070.25</v>
          </cell>
          <cell r="D6297">
            <v>24355.1</v>
          </cell>
          <cell r="E6297">
            <v>24054.05</v>
          </cell>
          <cell r="F6297">
            <v>24328.5</v>
          </cell>
        </row>
        <row r="6298">
          <cell r="B6298">
            <v>45776</v>
          </cell>
          <cell r="C6298">
            <v>24370.7</v>
          </cell>
          <cell r="D6298">
            <v>24457.65</v>
          </cell>
          <cell r="E6298">
            <v>24290.75</v>
          </cell>
          <cell r="F6298">
            <v>24335.95</v>
          </cell>
        </row>
        <row r="6299">
          <cell r="B6299">
            <v>45777</v>
          </cell>
          <cell r="C6299">
            <v>24342.05</v>
          </cell>
          <cell r="D6299">
            <v>24396.15</v>
          </cell>
          <cell r="E6299">
            <v>24198.75</v>
          </cell>
          <cell r="F6299">
            <v>24334.2</v>
          </cell>
        </row>
        <row r="6300">
          <cell r="B6300">
            <v>45779</v>
          </cell>
          <cell r="C6300">
            <v>24311.9</v>
          </cell>
          <cell r="D6300">
            <v>24589.15</v>
          </cell>
          <cell r="E6300">
            <v>24238.5</v>
          </cell>
          <cell r="F6300">
            <v>24346.7</v>
          </cell>
        </row>
        <row r="6301">
          <cell r="B6301">
            <v>45782</v>
          </cell>
          <cell r="C6301">
            <v>24419.5</v>
          </cell>
          <cell r="D6301">
            <v>24526.400000000001</v>
          </cell>
          <cell r="E6301">
            <v>24400.65</v>
          </cell>
          <cell r="F6301">
            <v>24461.15</v>
          </cell>
        </row>
        <row r="6302">
          <cell r="B6302">
            <v>45783</v>
          </cell>
          <cell r="C6302">
            <v>24500.75</v>
          </cell>
          <cell r="D6302">
            <v>24509.65</v>
          </cell>
          <cell r="E6302">
            <v>24331.8</v>
          </cell>
          <cell r="F6302">
            <v>24379.599999999999</v>
          </cell>
        </row>
        <row r="6303">
          <cell r="B6303">
            <v>45784</v>
          </cell>
          <cell r="C6303">
            <v>24233.3</v>
          </cell>
          <cell r="D6303">
            <v>24449.599999999999</v>
          </cell>
          <cell r="E6303">
            <v>24220</v>
          </cell>
          <cell r="F6303">
            <v>24414.400000000001</v>
          </cell>
        </row>
        <row r="6304">
          <cell r="B6304">
            <v>45785</v>
          </cell>
          <cell r="C6304">
            <v>24431.5</v>
          </cell>
          <cell r="D6304">
            <v>24447.25</v>
          </cell>
          <cell r="E6304">
            <v>24150.2</v>
          </cell>
          <cell r="F6304">
            <v>24273.8</v>
          </cell>
        </row>
        <row r="6305">
          <cell r="B6305">
            <v>45786</v>
          </cell>
          <cell r="C6305">
            <v>23935.75</v>
          </cell>
          <cell r="D6305">
            <v>24164.25</v>
          </cell>
          <cell r="E6305">
            <v>23935.75</v>
          </cell>
          <cell r="F6305">
            <v>24008</v>
          </cell>
        </row>
        <row r="6306">
          <cell r="B6306">
            <v>45789</v>
          </cell>
          <cell r="C6306">
            <v>24420.1</v>
          </cell>
          <cell r="D6306">
            <v>24944.799999999999</v>
          </cell>
          <cell r="E6306">
            <v>24378.85</v>
          </cell>
          <cell r="F6306">
            <v>24924.7</v>
          </cell>
        </row>
        <row r="6307">
          <cell r="B6307">
            <v>45790</v>
          </cell>
          <cell r="C6307">
            <v>24864.05</v>
          </cell>
          <cell r="D6307">
            <v>24973.8</v>
          </cell>
          <cell r="E6307">
            <v>24547.5</v>
          </cell>
          <cell r="F6307">
            <v>24578.35</v>
          </cell>
        </row>
        <row r="6308">
          <cell r="B6308">
            <v>45791</v>
          </cell>
          <cell r="C6308">
            <v>24613.8</v>
          </cell>
          <cell r="D6308">
            <v>24767.55</v>
          </cell>
          <cell r="E6308">
            <v>24535.55</v>
          </cell>
          <cell r="F6308">
            <v>24666.9</v>
          </cell>
        </row>
        <row r="6309">
          <cell r="B6309">
            <v>45792</v>
          </cell>
          <cell r="C6309">
            <v>24694.45</v>
          </cell>
          <cell r="D6309">
            <v>25116.25</v>
          </cell>
          <cell r="E6309">
            <v>24494.45</v>
          </cell>
          <cell r="F6309">
            <v>25062.1</v>
          </cell>
        </row>
        <row r="6310">
          <cell r="B6310">
            <v>45793</v>
          </cell>
          <cell r="C6310">
            <v>25064.65</v>
          </cell>
          <cell r="D6310">
            <v>25070</v>
          </cell>
          <cell r="E6310">
            <v>24953.05</v>
          </cell>
          <cell r="F6310">
            <v>25019.8</v>
          </cell>
        </row>
        <row r="6311">
          <cell r="B6311">
            <v>45796</v>
          </cell>
          <cell r="C6311">
            <v>25005.35</v>
          </cell>
          <cell r="D6311">
            <v>25062.95</v>
          </cell>
          <cell r="E6311">
            <v>24916.65</v>
          </cell>
          <cell r="F6311">
            <v>24945.45</v>
          </cell>
        </row>
        <row r="6312">
          <cell r="B6312">
            <v>45797</v>
          </cell>
          <cell r="C6312">
            <v>24996.2</v>
          </cell>
          <cell r="D6312">
            <v>25010.35</v>
          </cell>
          <cell r="E6312">
            <v>24669.7</v>
          </cell>
          <cell r="F6312">
            <v>24683.9</v>
          </cell>
        </row>
        <row r="6313">
          <cell r="B6313">
            <v>45798</v>
          </cell>
          <cell r="C6313">
            <v>24744.25</v>
          </cell>
          <cell r="D6313">
            <v>24946.2</v>
          </cell>
          <cell r="E6313">
            <v>24685.35</v>
          </cell>
          <cell r="F6313">
            <v>24813.45</v>
          </cell>
        </row>
        <row r="6314">
          <cell r="B6314">
            <v>45799</v>
          </cell>
          <cell r="C6314">
            <v>24733.95</v>
          </cell>
          <cell r="D6314">
            <v>24737.5</v>
          </cell>
          <cell r="E6314">
            <v>24462.400000000001</v>
          </cell>
          <cell r="F6314">
            <v>24609.7</v>
          </cell>
        </row>
        <row r="6315">
          <cell r="B6315">
            <v>45800</v>
          </cell>
          <cell r="C6315">
            <v>24639.5</v>
          </cell>
          <cell r="D6315">
            <v>24909.05</v>
          </cell>
          <cell r="E6315">
            <v>24614.05</v>
          </cell>
          <cell r="F6315">
            <v>24853.15</v>
          </cell>
        </row>
        <row r="6316">
          <cell r="B6316">
            <v>45803</v>
          </cell>
          <cell r="C6316">
            <v>24919.35</v>
          </cell>
          <cell r="D6316">
            <v>25079.200000000001</v>
          </cell>
          <cell r="E6316">
            <v>24900.5</v>
          </cell>
          <cell r="F6316">
            <v>25001.15</v>
          </cell>
        </row>
        <row r="6317">
          <cell r="B6317">
            <v>45804</v>
          </cell>
          <cell r="C6317">
            <v>24956.65</v>
          </cell>
          <cell r="D6317">
            <v>25062.9</v>
          </cell>
          <cell r="E6317">
            <v>24704.1</v>
          </cell>
          <cell r="F6317">
            <v>24826.2</v>
          </cell>
        </row>
        <row r="6318">
          <cell r="B6318">
            <v>45805</v>
          </cell>
          <cell r="C6318">
            <v>24832.5</v>
          </cell>
          <cell r="D6318">
            <v>24864.25</v>
          </cell>
          <cell r="E6318">
            <v>24737.05</v>
          </cell>
          <cell r="F6318">
            <v>24752.45</v>
          </cell>
        </row>
        <row r="6319">
          <cell r="B6319">
            <v>45806</v>
          </cell>
          <cell r="C6319">
            <v>24825.1</v>
          </cell>
          <cell r="D6319">
            <v>24892.6</v>
          </cell>
          <cell r="E6319">
            <v>24677.3</v>
          </cell>
          <cell r="F6319">
            <v>24833.599999999999</v>
          </cell>
        </row>
        <row r="6320">
          <cell r="B6320">
            <v>45807</v>
          </cell>
          <cell r="C6320">
            <v>24812.6</v>
          </cell>
          <cell r="D6320">
            <v>24863.95</v>
          </cell>
          <cell r="E6320">
            <v>24717.4</v>
          </cell>
          <cell r="F6320">
            <v>24750.7</v>
          </cell>
        </row>
        <row r="6321">
          <cell r="B6321">
            <v>45810</v>
          </cell>
          <cell r="C6321">
            <v>24669.7</v>
          </cell>
          <cell r="D6321">
            <v>24754.400000000001</v>
          </cell>
          <cell r="E6321">
            <v>24526.15</v>
          </cell>
          <cell r="F6321">
            <v>24716.6</v>
          </cell>
        </row>
        <row r="6322">
          <cell r="B6322">
            <v>45811</v>
          </cell>
          <cell r="C6322">
            <v>24786.3</v>
          </cell>
          <cell r="D6322">
            <v>24845.1</v>
          </cell>
          <cell r="E6322">
            <v>24502.15</v>
          </cell>
          <cell r="F6322">
            <v>24542.5</v>
          </cell>
        </row>
        <row r="6323">
          <cell r="B6323">
            <v>45812</v>
          </cell>
          <cell r="C6323">
            <v>24560.45</v>
          </cell>
          <cell r="D6323">
            <v>24644.25</v>
          </cell>
          <cell r="E6323">
            <v>24530.45</v>
          </cell>
          <cell r="F6323">
            <v>24620.2</v>
          </cell>
        </row>
        <row r="6324">
          <cell r="B6324">
            <v>45813</v>
          </cell>
          <cell r="C6324">
            <v>24691.200000000001</v>
          </cell>
          <cell r="D6324">
            <v>24899.85</v>
          </cell>
          <cell r="E6324">
            <v>24613.1</v>
          </cell>
          <cell r="F6324">
            <v>24750.9</v>
          </cell>
        </row>
        <row r="6325">
          <cell r="B6325">
            <v>45814</v>
          </cell>
          <cell r="C6325">
            <v>24748.7</v>
          </cell>
          <cell r="D6325">
            <v>25029.5</v>
          </cell>
          <cell r="E6325">
            <v>24671.45</v>
          </cell>
          <cell r="F6325">
            <v>25003.05</v>
          </cell>
        </row>
        <row r="6326">
          <cell r="B6326">
            <v>45817</v>
          </cell>
          <cell r="C6326">
            <v>25160.1</v>
          </cell>
          <cell r="D6326">
            <v>25160.1</v>
          </cell>
          <cell r="E6326">
            <v>25077.15</v>
          </cell>
          <cell r="F6326">
            <v>25103.200000000001</v>
          </cell>
        </row>
        <row r="6327">
          <cell r="B6327">
            <v>45818</v>
          </cell>
          <cell r="C6327">
            <v>25196.05</v>
          </cell>
          <cell r="D6327">
            <v>25199.3</v>
          </cell>
          <cell r="E6327">
            <v>25055.45</v>
          </cell>
          <cell r="F6327">
            <v>25104.25</v>
          </cell>
        </row>
        <row r="6328">
          <cell r="B6328">
            <v>45819</v>
          </cell>
          <cell r="C6328">
            <v>25134.15</v>
          </cell>
          <cell r="D6328">
            <v>25222.400000000001</v>
          </cell>
          <cell r="E6328">
            <v>25081.3</v>
          </cell>
          <cell r="F6328">
            <v>25141.4</v>
          </cell>
        </row>
        <row r="6329">
          <cell r="B6329">
            <v>45820</v>
          </cell>
          <cell r="C6329">
            <v>25164.45</v>
          </cell>
          <cell r="D6329">
            <v>25196.2</v>
          </cell>
          <cell r="E6329">
            <v>24825.9</v>
          </cell>
          <cell r="F6329">
            <v>24888.2</v>
          </cell>
        </row>
        <row r="6330">
          <cell r="B6330">
            <v>45821</v>
          </cell>
          <cell r="C6330">
            <v>24473</v>
          </cell>
          <cell r="D6330">
            <v>24754.35</v>
          </cell>
          <cell r="E6330">
            <v>24473</v>
          </cell>
          <cell r="F6330">
            <v>24718.6</v>
          </cell>
        </row>
        <row r="6331">
          <cell r="B6331">
            <v>45824</v>
          </cell>
          <cell r="C6331">
            <v>24732.35</v>
          </cell>
          <cell r="D6331">
            <v>24967.1</v>
          </cell>
          <cell r="E6331">
            <v>24703.599999999999</v>
          </cell>
          <cell r="F6331">
            <v>24946.5</v>
          </cell>
        </row>
        <row r="6332">
          <cell r="B6332">
            <v>45825</v>
          </cell>
          <cell r="C6332">
            <v>24977.85</v>
          </cell>
          <cell r="D6332">
            <v>24982.05</v>
          </cell>
          <cell r="E6332">
            <v>24813.7</v>
          </cell>
          <cell r="F6332">
            <v>24853.4</v>
          </cell>
        </row>
        <row r="6333">
          <cell r="B6333">
            <v>45826</v>
          </cell>
          <cell r="C6333">
            <v>24788.35</v>
          </cell>
          <cell r="D6333">
            <v>24947.55</v>
          </cell>
          <cell r="E6333">
            <v>24750.45</v>
          </cell>
          <cell r="F6333">
            <v>24812.05</v>
          </cell>
        </row>
        <row r="6334">
          <cell r="B6334">
            <v>45827</v>
          </cell>
          <cell r="C6334">
            <v>24803.25</v>
          </cell>
          <cell r="D6334">
            <v>24863.1</v>
          </cell>
          <cell r="E6334">
            <v>24733.4</v>
          </cell>
          <cell r="F6334">
            <v>24793.25</v>
          </cell>
        </row>
        <row r="6335">
          <cell r="B6335">
            <v>45828</v>
          </cell>
          <cell r="C6335">
            <v>24787.65</v>
          </cell>
          <cell r="D6335">
            <v>25136.2</v>
          </cell>
          <cell r="E6335">
            <v>24783.65</v>
          </cell>
          <cell r="F6335">
            <v>25112.400000000001</v>
          </cell>
        </row>
        <row r="6336">
          <cell r="B6336">
            <v>45831</v>
          </cell>
          <cell r="C6336">
            <v>24939.75</v>
          </cell>
          <cell r="D6336">
            <v>25057</v>
          </cell>
          <cell r="E6336">
            <v>24824.85</v>
          </cell>
          <cell r="F6336">
            <v>24971.9</v>
          </cell>
        </row>
        <row r="6337">
          <cell r="B6337">
            <v>45832</v>
          </cell>
          <cell r="C6337">
            <v>25179.9</v>
          </cell>
          <cell r="D6337">
            <v>25317.7</v>
          </cell>
          <cell r="E6337">
            <v>24999.7</v>
          </cell>
          <cell r="F6337">
            <v>25044.35</v>
          </cell>
        </row>
        <row r="6338">
          <cell r="B6338">
            <v>45833</v>
          </cell>
          <cell r="C6338">
            <v>25150.35</v>
          </cell>
          <cell r="D6338">
            <v>25266.799999999999</v>
          </cell>
          <cell r="E6338">
            <v>25125.05</v>
          </cell>
          <cell r="F6338">
            <v>25244.75</v>
          </cell>
        </row>
        <row r="6339">
          <cell r="B6339">
            <v>45834</v>
          </cell>
          <cell r="C6339">
            <v>25268.95</v>
          </cell>
          <cell r="D6339">
            <v>25565.3</v>
          </cell>
          <cell r="E6339">
            <v>25259.9</v>
          </cell>
          <cell r="F6339">
            <v>25549</v>
          </cell>
        </row>
        <row r="6340">
          <cell r="B6340">
            <v>45835</v>
          </cell>
          <cell r="C6340">
            <v>25576.65</v>
          </cell>
          <cell r="D6340">
            <v>25654.2</v>
          </cell>
          <cell r="E6340">
            <v>25523.55</v>
          </cell>
          <cell r="F6340">
            <v>25637.8</v>
          </cell>
        </row>
        <row r="6341">
          <cell r="B6341">
            <v>45838</v>
          </cell>
          <cell r="C6341">
            <v>25661.65</v>
          </cell>
          <cell r="D6341">
            <v>25669.35</v>
          </cell>
          <cell r="E6341">
            <v>25473.3</v>
          </cell>
          <cell r="F6341">
            <v>25517.05</v>
          </cell>
        </row>
        <row r="6342">
          <cell r="B6342">
            <v>45839</v>
          </cell>
          <cell r="C6342">
            <v>25551.35</v>
          </cell>
          <cell r="D6342">
            <v>25593.4</v>
          </cell>
          <cell r="E6342">
            <v>25501.8</v>
          </cell>
          <cell r="F6342">
            <v>25541.8</v>
          </cell>
        </row>
        <row r="6343">
          <cell r="B6343">
            <v>45840</v>
          </cell>
          <cell r="C6343">
            <v>25588.3</v>
          </cell>
          <cell r="D6343">
            <v>25608.1</v>
          </cell>
          <cell r="E6343">
            <v>25378.75</v>
          </cell>
          <cell r="F6343">
            <v>25453.4</v>
          </cell>
        </row>
        <row r="6344">
          <cell r="B6344">
            <v>45841</v>
          </cell>
          <cell r="C6344">
            <v>25505.1</v>
          </cell>
          <cell r="D6344">
            <v>25587.5</v>
          </cell>
          <cell r="E6344">
            <v>25384.35</v>
          </cell>
          <cell r="F6344">
            <v>25405.3</v>
          </cell>
        </row>
        <row r="6345">
          <cell r="B6345">
            <v>45842</v>
          </cell>
          <cell r="C6345">
            <v>25428.85</v>
          </cell>
          <cell r="D6345">
            <v>25470.25</v>
          </cell>
          <cell r="E6345">
            <v>25331.65</v>
          </cell>
          <cell r="F6345">
            <v>25461</v>
          </cell>
        </row>
        <row r="6346">
          <cell r="B6346">
            <v>45845</v>
          </cell>
          <cell r="C6346">
            <v>25450.45</v>
          </cell>
          <cell r="D6346">
            <v>25489.8</v>
          </cell>
          <cell r="E6346">
            <v>25407.25</v>
          </cell>
          <cell r="F6346">
            <v>25461.3</v>
          </cell>
        </row>
        <row r="6347">
          <cell r="B6347">
            <v>45846</v>
          </cell>
          <cell r="C6347">
            <v>25427.85</v>
          </cell>
          <cell r="D6347">
            <v>25548.05</v>
          </cell>
          <cell r="E6347">
            <v>25424.15</v>
          </cell>
          <cell r="F6347">
            <v>25522.5</v>
          </cell>
        </row>
        <row r="6348">
          <cell r="B6348">
            <v>45847</v>
          </cell>
          <cell r="C6348">
            <v>25514.6</v>
          </cell>
          <cell r="D6348">
            <v>25548.7</v>
          </cell>
          <cell r="E6348">
            <v>25424.35</v>
          </cell>
          <cell r="F6348">
            <v>25476.1</v>
          </cell>
        </row>
        <row r="6349">
          <cell r="B6349">
            <v>45848</v>
          </cell>
          <cell r="C6349">
            <v>25511.65</v>
          </cell>
          <cell r="D6349">
            <v>25524.05</v>
          </cell>
          <cell r="E6349">
            <v>25340.45</v>
          </cell>
          <cell r="F6349">
            <v>25355.25</v>
          </cell>
        </row>
        <row r="6350">
          <cell r="B6350">
            <v>45849</v>
          </cell>
          <cell r="C6350">
            <v>25255.5</v>
          </cell>
          <cell r="D6350">
            <v>25322.45</v>
          </cell>
          <cell r="E6350">
            <v>25129</v>
          </cell>
          <cell r="F6350">
            <v>25149.85</v>
          </cell>
        </row>
        <row r="6351">
          <cell r="B6351">
            <v>45852</v>
          </cell>
          <cell r="C6351">
            <v>25149.5</v>
          </cell>
          <cell r="D6351">
            <v>25151.1</v>
          </cell>
          <cell r="E6351">
            <v>25001.95</v>
          </cell>
          <cell r="F6351">
            <v>25082.3</v>
          </cell>
        </row>
        <row r="6352">
          <cell r="B6352">
            <v>45853</v>
          </cell>
          <cell r="C6352">
            <v>25089.5</v>
          </cell>
          <cell r="D6352">
            <v>25245.200000000001</v>
          </cell>
          <cell r="E6352">
            <v>25088.45</v>
          </cell>
          <cell r="F6352">
            <v>25195.8</v>
          </cell>
        </row>
        <row r="6353">
          <cell r="B6353">
            <v>45854</v>
          </cell>
          <cell r="C6353">
            <v>25196.6</v>
          </cell>
          <cell r="D6353">
            <v>25255.3</v>
          </cell>
          <cell r="E6353">
            <v>25121.05</v>
          </cell>
          <cell r="F6353">
            <v>25212.05</v>
          </cell>
        </row>
        <row r="6354">
          <cell r="B6354">
            <v>45855</v>
          </cell>
          <cell r="C6354">
            <v>25230.75</v>
          </cell>
          <cell r="D6354">
            <v>25238.35</v>
          </cell>
          <cell r="E6354">
            <v>25101</v>
          </cell>
          <cell r="F6354">
            <v>25111.45</v>
          </cell>
        </row>
        <row r="6355">
          <cell r="B6355">
            <v>45856</v>
          </cell>
          <cell r="C6355">
            <v>25108.55</v>
          </cell>
          <cell r="D6355">
            <v>25144.6</v>
          </cell>
          <cell r="E6355">
            <v>24918.65</v>
          </cell>
          <cell r="F6355">
            <v>24968.400000000001</v>
          </cell>
        </row>
        <row r="6356">
          <cell r="B6356">
            <v>45859</v>
          </cell>
          <cell r="C6356">
            <v>24999</v>
          </cell>
          <cell r="D6356">
            <v>25111.4</v>
          </cell>
          <cell r="E6356">
            <v>24882.3</v>
          </cell>
          <cell r="F6356">
            <v>25090.7</v>
          </cell>
        </row>
        <row r="6357">
          <cell r="B6357">
            <v>45860</v>
          </cell>
          <cell r="C6357">
            <v>25166.65</v>
          </cell>
          <cell r="D6357">
            <v>25182</v>
          </cell>
          <cell r="E6357">
            <v>25035.55</v>
          </cell>
          <cell r="F6357">
            <v>25060.9</v>
          </cell>
        </row>
        <row r="6358">
          <cell r="B6358">
            <v>45861</v>
          </cell>
          <cell r="C6358">
            <v>25139.35</v>
          </cell>
          <cell r="D6358">
            <v>25233.5</v>
          </cell>
          <cell r="E6358">
            <v>25085.5</v>
          </cell>
          <cell r="F6358">
            <v>25219.9</v>
          </cell>
        </row>
        <row r="6359">
          <cell r="B6359">
            <v>45862</v>
          </cell>
          <cell r="C6359">
            <v>25243.3</v>
          </cell>
          <cell r="D6359">
            <v>25246.25</v>
          </cell>
          <cell r="E6359">
            <v>25018.7</v>
          </cell>
          <cell r="F6359">
            <v>25062.1</v>
          </cell>
        </row>
        <row r="6360">
          <cell r="B6360">
            <v>45863</v>
          </cell>
          <cell r="C6360">
            <v>25010.35</v>
          </cell>
          <cell r="D6360">
            <v>25010.35</v>
          </cell>
          <cell r="E6360">
            <v>24806.35</v>
          </cell>
          <cell r="F6360">
            <v>24837</v>
          </cell>
        </row>
        <row r="6361">
          <cell r="B6361">
            <v>45866</v>
          </cell>
          <cell r="C6361">
            <v>24782.45</v>
          </cell>
          <cell r="D6361">
            <v>24889.200000000001</v>
          </cell>
          <cell r="E6361">
            <v>24646.6</v>
          </cell>
          <cell r="F6361">
            <v>24680.9</v>
          </cell>
        </row>
        <row r="6362">
          <cell r="B6362">
            <v>45867</v>
          </cell>
          <cell r="C6362">
            <v>24609.65</v>
          </cell>
          <cell r="D6362">
            <v>24847.15</v>
          </cell>
          <cell r="E6362">
            <v>24598.6</v>
          </cell>
          <cell r="F6362">
            <v>24821.1</v>
          </cell>
        </row>
        <row r="6363">
          <cell r="B6363">
            <v>45868</v>
          </cell>
          <cell r="C6363">
            <v>24890.400000000001</v>
          </cell>
          <cell r="D6363">
            <v>24902.3</v>
          </cell>
          <cell r="E6363">
            <v>24771.95</v>
          </cell>
          <cell r="F6363">
            <v>24855.05</v>
          </cell>
        </row>
        <row r="6364">
          <cell r="B6364">
            <v>45869</v>
          </cell>
          <cell r="C6364">
            <v>24642.25</v>
          </cell>
          <cell r="D6364">
            <v>24956.5</v>
          </cell>
          <cell r="E6364">
            <v>24635</v>
          </cell>
          <cell r="F6364">
            <v>24768.35</v>
          </cell>
        </row>
        <row r="6365">
          <cell r="B6365">
            <v>45870</v>
          </cell>
          <cell r="C6365">
            <v>24734.9</v>
          </cell>
          <cell r="D6365">
            <v>24784.15</v>
          </cell>
          <cell r="E6365">
            <v>24535.05</v>
          </cell>
          <cell r="F6365">
            <v>24565.35</v>
          </cell>
        </row>
        <row r="6366">
          <cell r="B6366">
            <v>45873</v>
          </cell>
          <cell r="C6366">
            <v>24596.05</v>
          </cell>
          <cell r="D6366">
            <v>24736.25</v>
          </cell>
          <cell r="E6366">
            <v>24554</v>
          </cell>
          <cell r="F6366">
            <v>24722.75</v>
          </cell>
        </row>
        <row r="6367">
          <cell r="B6367">
            <v>45874</v>
          </cell>
          <cell r="C6367">
            <v>24720.25</v>
          </cell>
          <cell r="D6367">
            <v>24733.1</v>
          </cell>
          <cell r="E6367">
            <v>24590.3</v>
          </cell>
          <cell r="F6367">
            <v>24649.55</v>
          </cell>
        </row>
        <row r="6368">
          <cell r="B6368">
            <v>45875</v>
          </cell>
          <cell r="C6368">
            <v>24641.35</v>
          </cell>
          <cell r="D6368">
            <v>24671.4</v>
          </cell>
          <cell r="E6368">
            <v>24539.200000000001</v>
          </cell>
          <cell r="F6368">
            <v>24574.2</v>
          </cell>
        </row>
        <row r="6369">
          <cell r="B6369">
            <v>45876</v>
          </cell>
          <cell r="C6369">
            <v>24464.2</v>
          </cell>
          <cell r="D6369">
            <v>24634.2</v>
          </cell>
          <cell r="E6369">
            <v>24344.15</v>
          </cell>
          <cell r="F6369">
            <v>24596.15</v>
          </cell>
        </row>
        <row r="6370">
          <cell r="B6370">
            <v>45877</v>
          </cell>
          <cell r="C6370">
            <v>24544.25</v>
          </cell>
          <cell r="D6370">
            <v>24585.5</v>
          </cell>
          <cell r="E6370">
            <v>24337.5</v>
          </cell>
          <cell r="F6370">
            <v>24363.3</v>
          </cell>
        </row>
        <row r="6371">
          <cell r="B6371">
            <v>45880</v>
          </cell>
          <cell r="C6371">
            <v>24371.5</v>
          </cell>
          <cell r="D6371">
            <v>24600.85</v>
          </cell>
          <cell r="E6371">
            <v>24347.45</v>
          </cell>
          <cell r="F6371">
            <v>24585.05</v>
          </cell>
        </row>
        <row r="6372">
          <cell r="B6372">
            <v>45881</v>
          </cell>
          <cell r="C6372">
            <v>24563.35</v>
          </cell>
          <cell r="D6372">
            <v>24702.6</v>
          </cell>
          <cell r="E6372">
            <v>24465.65</v>
          </cell>
          <cell r="F6372">
            <v>24487.4</v>
          </cell>
        </row>
        <row r="6373">
          <cell r="B6373">
            <v>45882</v>
          </cell>
          <cell r="C6373">
            <v>24586.2</v>
          </cell>
          <cell r="D6373">
            <v>24664.55</v>
          </cell>
          <cell r="E6373">
            <v>24535.25</v>
          </cell>
          <cell r="F6373">
            <v>24619.35</v>
          </cell>
        </row>
        <row r="6374">
          <cell r="B6374">
            <v>45883</v>
          </cell>
          <cell r="C6374">
            <v>24607.25</v>
          </cell>
          <cell r="D6374">
            <v>24673.65</v>
          </cell>
          <cell r="E6374">
            <v>24596.9</v>
          </cell>
          <cell r="F6374">
            <v>24631.3</v>
          </cell>
        </row>
        <row r="6375">
          <cell r="B6375">
            <v>45887</v>
          </cell>
          <cell r="C6375">
            <v>24938.2</v>
          </cell>
          <cell r="D6375">
            <v>25022</v>
          </cell>
          <cell r="E6375">
            <v>24852.85</v>
          </cell>
          <cell r="F6375">
            <v>24876.95</v>
          </cell>
        </row>
        <row r="6376">
          <cell r="B6376">
            <v>45888</v>
          </cell>
          <cell r="C6376">
            <v>24891.35</v>
          </cell>
          <cell r="D6376">
            <v>25012.65</v>
          </cell>
          <cell r="E6376">
            <v>24873.95</v>
          </cell>
          <cell r="F6376">
            <v>24980.65</v>
          </cell>
        </row>
        <row r="6377">
          <cell r="B6377">
            <v>45889</v>
          </cell>
          <cell r="C6377">
            <v>24965.8</v>
          </cell>
          <cell r="D6377">
            <v>25088.7</v>
          </cell>
          <cell r="E6377">
            <v>24929.7</v>
          </cell>
          <cell r="F6377">
            <v>25050.55</v>
          </cell>
        </row>
        <row r="6378">
          <cell r="B6378">
            <v>45890</v>
          </cell>
          <cell r="C6378">
            <v>25142</v>
          </cell>
          <cell r="D6378">
            <v>25153.65</v>
          </cell>
          <cell r="E6378">
            <v>25054.9</v>
          </cell>
          <cell r="F6378">
            <v>25083.75</v>
          </cell>
        </row>
        <row r="6379">
          <cell r="B6379">
            <v>45891</v>
          </cell>
          <cell r="C6379">
            <v>25064.15</v>
          </cell>
          <cell r="D6379">
            <v>25084.85</v>
          </cell>
          <cell r="E6379">
            <v>24859.15</v>
          </cell>
          <cell r="F6379">
            <v>24870.1</v>
          </cell>
        </row>
        <row r="6380">
          <cell r="B6380">
            <v>45894</v>
          </cell>
          <cell r="C6380">
            <v>24949.15</v>
          </cell>
          <cell r="D6380">
            <v>25021.55</v>
          </cell>
          <cell r="E6380">
            <v>24894.35</v>
          </cell>
          <cell r="F6380">
            <v>24967.75</v>
          </cell>
        </row>
        <row r="6381">
          <cell r="B6381">
            <v>45895</v>
          </cell>
          <cell r="C6381">
            <v>24899.5</v>
          </cell>
          <cell r="D6381">
            <v>24919.65</v>
          </cell>
          <cell r="E6381">
            <v>24689.599999999999</v>
          </cell>
          <cell r="F6381">
            <v>24712.05</v>
          </cell>
        </row>
        <row r="6382">
          <cell r="B6382">
            <v>45897</v>
          </cell>
          <cell r="C6382">
            <v>24695.8</v>
          </cell>
          <cell r="D6382">
            <v>24702.65</v>
          </cell>
          <cell r="E6382">
            <v>24481.599999999999</v>
          </cell>
          <cell r="F6382">
            <v>24500.9</v>
          </cell>
        </row>
        <row r="6383">
          <cell r="B6383">
            <v>45898</v>
          </cell>
          <cell r="C6383">
            <v>24466.7</v>
          </cell>
          <cell r="D6383">
            <v>24572.45</v>
          </cell>
          <cell r="E6383">
            <v>24404.7</v>
          </cell>
          <cell r="F6383">
            <v>24426.85</v>
          </cell>
        </row>
        <row r="6384">
          <cell r="B6384">
            <v>45901</v>
          </cell>
          <cell r="C6384">
            <v>24432.7</v>
          </cell>
          <cell r="D6384">
            <v>24635.599999999999</v>
          </cell>
          <cell r="E6384">
            <v>24432.7</v>
          </cell>
          <cell r="F6384">
            <v>24625.05</v>
          </cell>
        </row>
        <row r="6385">
          <cell r="B6385">
            <v>45902</v>
          </cell>
          <cell r="C6385">
            <v>24653</v>
          </cell>
          <cell r="D6385">
            <v>24756.1</v>
          </cell>
          <cell r="E6385">
            <v>24522.35</v>
          </cell>
          <cell r="F6385">
            <v>24579.599999999999</v>
          </cell>
        </row>
        <row r="6386">
          <cell r="B6386">
            <v>45903</v>
          </cell>
          <cell r="C6386">
            <v>24616.5</v>
          </cell>
          <cell r="D6386">
            <v>24737.05</v>
          </cell>
          <cell r="E6386">
            <v>24533.200000000001</v>
          </cell>
          <cell r="F6386">
            <v>24715.05</v>
          </cell>
        </row>
        <row r="6387">
          <cell r="B6387">
            <v>45904</v>
          </cell>
          <cell r="C6387">
            <v>24980.75</v>
          </cell>
          <cell r="D6387">
            <v>24980.75</v>
          </cell>
          <cell r="E6387">
            <v>24708.2</v>
          </cell>
          <cell r="F6387">
            <v>24734.3</v>
          </cell>
        </row>
        <row r="6388">
          <cell r="B6388">
            <v>45905</v>
          </cell>
          <cell r="C6388">
            <v>24818.85</v>
          </cell>
          <cell r="D6388">
            <v>24832.35</v>
          </cell>
          <cell r="E6388">
            <v>24621.599999999999</v>
          </cell>
          <cell r="F6388">
            <v>24741</v>
          </cell>
        </row>
        <row r="6389">
          <cell r="B6389">
            <v>45908</v>
          </cell>
          <cell r="C6389">
            <v>24802.6</v>
          </cell>
          <cell r="D6389">
            <v>24885.5</v>
          </cell>
          <cell r="E6389">
            <v>24751.55</v>
          </cell>
          <cell r="F6389">
            <v>24773.15</v>
          </cell>
        </row>
        <row r="6390">
          <cell r="B6390">
            <v>45909</v>
          </cell>
          <cell r="C6390">
            <v>24864.1</v>
          </cell>
          <cell r="D6390">
            <v>24891.8</v>
          </cell>
          <cell r="E6390">
            <v>24814</v>
          </cell>
          <cell r="F6390">
            <v>24868.6</v>
          </cell>
        </row>
        <row r="6391">
          <cell r="B6391">
            <v>45910</v>
          </cell>
          <cell r="C6391">
            <v>24991</v>
          </cell>
          <cell r="D6391">
            <v>25035.7</v>
          </cell>
          <cell r="E6391">
            <v>24915.05</v>
          </cell>
          <cell r="F6391">
            <v>24973.1</v>
          </cell>
        </row>
        <row r="6392">
          <cell r="B6392">
            <v>45911</v>
          </cell>
          <cell r="C6392">
            <v>24945.5</v>
          </cell>
          <cell r="D6392">
            <v>25037.3</v>
          </cell>
          <cell r="E6392">
            <v>24940.15</v>
          </cell>
          <cell r="F6392">
            <v>25005.5</v>
          </cell>
        </row>
        <row r="6393">
          <cell r="B6393">
            <v>45912</v>
          </cell>
          <cell r="C6393">
            <v>25074.45</v>
          </cell>
          <cell r="D6393">
            <v>25139.45</v>
          </cell>
          <cell r="E6393">
            <v>25038.05</v>
          </cell>
          <cell r="F6393">
            <v>25114</v>
          </cell>
        </row>
        <row r="6394">
          <cell r="B6394">
            <v>45915</v>
          </cell>
          <cell r="C6394">
            <v>25118.9</v>
          </cell>
          <cell r="D6394">
            <v>25138.45</v>
          </cell>
          <cell r="E6394">
            <v>25048.75</v>
          </cell>
          <cell r="F6394">
            <v>25069.200000000001</v>
          </cell>
        </row>
        <row r="6395">
          <cell r="B6395">
            <v>45916</v>
          </cell>
          <cell r="C6395">
            <v>25073.599999999999</v>
          </cell>
          <cell r="D6395">
            <v>25261.4</v>
          </cell>
          <cell r="E6395">
            <v>25070.45</v>
          </cell>
          <cell r="F6395">
            <v>25239.1</v>
          </cell>
        </row>
        <row r="6396">
          <cell r="B6396">
            <v>45917</v>
          </cell>
          <cell r="C6396">
            <v>25276.6</v>
          </cell>
          <cell r="D6396">
            <v>25346.5</v>
          </cell>
          <cell r="E6396">
            <v>25275.35</v>
          </cell>
          <cell r="F6396">
            <v>25330.25</v>
          </cell>
        </row>
        <row r="6397">
          <cell r="B6397">
            <v>45918</v>
          </cell>
          <cell r="C6397">
            <v>25441.05</v>
          </cell>
          <cell r="D6397">
            <v>25448.95</v>
          </cell>
          <cell r="E6397">
            <v>25329.75</v>
          </cell>
          <cell r="F6397">
            <v>25423.599999999999</v>
          </cell>
        </row>
        <row r="6398">
          <cell r="B6398">
            <v>45919</v>
          </cell>
          <cell r="C6398">
            <v>25410.2</v>
          </cell>
          <cell r="D6398">
            <v>25431.4</v>
          </cell>
          <cell r="E6398">
            <v>25286.3</v>
          </cell>
          <cell r="F6398">
            <v>25327.05</v>
          </cell>
        </row>
        <row r="6399">
          <cell r="B6399">
            <v>45922</v>
          </cell>
          <cell r="C6399">
            <v>25238.1</v>
          </cell>
          <cell r="D6399">
            <v>25331.7</v>
          </cell>
          <cell r="E6399">
            <v>25151.05</v>
          </cell>
          <cell r="F6399">
            <v>25202.35</v>
          </cell>
        </row>
        <row r="6400">
          <cell r="B6400">
            <v>45923</v>
          </cell>
          <cell r="C6400">
            <v>25209</v>
          </cell>
          <cell r="D6400">
            <v>25261.9</v>
          </cell>
          <cell r="E6400">
            <v>25084.65</v>
          </cell>
          <cell r="F6400">
            <v>25169.5</v>
          </cell>
        </row>
        <row r="6401">
          <cell r="B6401">
            <v>45924</v>
          </cell>
          <cell r="C6401">
            <v>25108.75</v>
          </cell>
          <cell r="D6401">
            <v>25149.85</v>
          </cell>
          <cell r="E6401">
            <v>25027.45</v>
          </cell>
          <cell r="F6401">
            <v>25056.9</v>
          </cell>
        </row>
        <row r="6402">
          <cell r="B6402">
            <v>45925</v>
          </cell>
          <cell r="C6402">
            <v>25034.5</v>
          </cell>
          <cell r="D6402">
            <v>25092.7</v>
          </cell>
          <cell r="E6402">
            <v>24878.3</v>
          </cell>
          <cell r="F6402">
            <v>24890.85</v>
          </cell>
        </row>
        <row r="6403">
          <cell r="B6403">
            <v>45926</v>
          </cell>
          <cell r="C6403">
            <v>24818.55</v>
          </cell>
          <cell r="D6403">
            <v>24868.6</v>
          </cell>
          <cell r="E6403">
            <v>24629.45</v>
          </cell>
          <cell r="F6403">
            <v>24654.7</v>
          </cell>
        </row>
        <row r="6404">
          <cell r="B6404">
            <v>45929</v>
          </cell>
          <cell r="C6404">
            <v>24728.55</v>
          </cell>
          <cell r="D6404">
            <v>24791.3</v>
          </cell>
          <cell r="E6404">
            <v>24606.2</v>
          </cell>
          <cell r="F6404">
            <v>24634.9</v>
          </cell>
        </row>
        <row r="6405">
          <cell r="B6405">
            <v>45930</v>
          </cell>
          <cell r="C6405">
            <v>24691.95</v>
          </cell>
          <cell r="D6405">
            <v>24731.8</v>
          </cell>
          <cell r="E6405">
            <v>24587.7</v>
          </cell>
          <cell r="F6405">
            <v>24611.1</v>
          </cell>
        </row>
        <row r="6406">
          <cell r="B6406">
            <v>45931</v>
          </cell>
          <cell r="C6406">
            <v>24620.55</v>
          </cell>
          <cell r="D6406">
            <v>24867.95</v>
          </cell>
          <cell r="E6406">
            <v>24605.95</v>
          </cell>
          <cell r="F6406">
            <v>24836.3</v>
          </cell>
        </row>
        <row r="6407">
          <cell r="B6407">
            <v>45933</v>
          </cell>
          <cell r="C6407">
            <v>24759.55</v>
          </cell>
          <cell r="D6407">
            <v>24904.799999999999</v>
          </cell>
          <cell r="E6407">
            <v>24747.55</v>
          </cell>
          <cell r="F6407">
            <v>24894.25</v>
          </cell>
        </row>
        <row r="6408">
          <cell r="B6408">
            <v>45936</v>
          </cell>
          <cell r="C6408">
            <v>24916.55</v>
          </cell>
          <cell r="D6408">
            <v>25095.95</v>
          </cell>
          <cell r="E6408">
            <v>24881.65</v>
          </cell>
          <cell r="F6408">
            <v>25077.65</v>
          </cell>
        </row>
        <row r="6409">
          <cell r="B6409">
            <v>45937</v>
          </cell>
          <cell r="C6409">
            <v>25085.3</v>
          </cell>
          <cell r="D6409">
            <v>25220.9</v>
          </cell>
          <cell r="E6409">
            <v>25076.3</v>
          </cell>
          <cell r="F6409">
            <v>25108.3</v>
          </cell>
        </row>
        <row r="6410">
          <cell r="B6410">
            <v>45938</v>
          </cell>
          <cell r="C6410">
            <v>25079.75</v>
          </cell>
          <cell r="D6410">
            <v>25192.5</v>
          </cell>
          <cell r="E6410">
            <v>25008.5</v>
          </cell>
          <cell r="F6410">
            <v>25046.15</v>
          </cell>
        </row>
        <row r="6411">
          <cell r="B6411">
            <v>45939</v>
          </cell>
          <cell r="C6411">
            <v>25074.3</v>
          </cell>
          <cell r="D6411">
            <v>25199.25</v>
          </cell>
          <cell r="E6411">
            <v>25024.3</v>
          </cell>
          <cell r="F6411">
            <v>25181.8</v>
          </cell>
        </row>
        <row r="6412">
          <cell r="B6412">
            <v>45940</v>
          </cell>
          <cell r="C6412">
            <v>25167.65</v>
          </cell>
          <cell r="D6412">
            <v>25330.75</v>
          </cell>
          <cell r="E6412">
            <v>25156.85</v>
          </cell>
          <cell r="F6412">
            <v>25285.35</v>
          </cell>
        </row>
        <row r="6413">
          <cell r="B6413">
            <v>45943</v>
          </cell>
          <cell r="C6413">
            <v>25177.3</v>
          </cell>
          <cell r="D6413">
            <v>25267.3</v>
          </cell>
          <cell r="E6413">
            <v>25152.3</v>
          </cell>
          <cell r="F6413">
            <v>25227.35</v>
          </cell>
        </row>
        <row r="6414">
          <cell r="B6414">
            <v>45944</v>
          </cell>
          <cell r="C6414">
            <v>25277.55</v>
          </cell>
          <cell r="D6414">
            <v>25310.35</v>
          </cell>
          <cell r="E6414">
            <v>25060.55</v>
          </cell>
          <cell r="F6414">
            <v>25145.5</v>
          </cell>
        </row>
        <row r="6415">
          <cell r="B6415">
            <v>45945</v>
          </cell>
          <cell r="C6415">
            <v>25181.95</v>
          </cell>
          <cell r="D6415">
            <v>25365.15</v>
          </cell>
          <cell r="E6415">
            <v>25159.35</v>
          </cell>
          <cell r="F6415">
            <v>25323.55</v>
          </cell>
        </row>
        <row r="6416">
          <cell r="B6416">
            <v>45946</v>
          </cell>
          <cell r="C6416">
            <v>25394.9</v>
          </cell>
          <cell r="D6416">
            <v>25625.4</v>
          </cell>
          <cell r="E6416">
            <v>25376.85</v>
          </cell>
          <cell r="F6416">
            <v>25585.3</v>
          </cell>
        </row>
        <row r="6417">
          <cell r="B6417">
            <v>45947</v>
          </cell>
          <cell r="C6417">
            <v>25546.85</v>
          </cell>
          <cell r="D6417">
            <v>25781.5</v>
          </cell>
          <cell r="E6417">
            <v>25508.6</v>
          </cell>
          <cell r="F6417">
            <v>25709.85</v>
          </cell>
        </row>
        <row r="6418">
          <cell r="B6418">
            <v>45950</v>
          </cell>
          <cell r="C6418">
            <v>25824.6</v>
          </cell>
          <cell r="D6418">
            <v>25926.2</v>
          </cell>
          <cell r="E6418">
            <v>25788.5</v>
          </cell>
          <cell r="F6418">
            <v>25843.15</v>
          </cell>
        </row>
        <row r="6419">
          <cell r="B6419">
            <v>45951</v>
          </cell>
          <cell r="C6419">
            <v>25901.200000000001</v>
          </cell>
          <cell r="D6419">
            <v>25934.35</v>
          </cell>
          <cell r="E6419">
            <v>25825.8</v>
          </cell>
          <cell r="F6419">
            <v>25868.6</v>
          </cell>
        </row>
        <row r="6420">
          <cell r="B6420">
            <v>45953</v>
          </cell>
          <cell r="C6420">
            <v>26057.200000000001</v>
          </cell>
          <cell r="D6420">
            <v>26104.2</v>
          </cell>
          <cell r="E6420">
            <v>25862.45</v>
          </cell>
          <cell r="F6420">
            <v>25891.4</v>
          </cell>
        </row>
        <row r="6421">
          <cell r="B6421">
            <v>45954</v>
          </cell>
          <cell r="C6421">
            <v>25935.1</v>
          </cell>
          <cell r="D6421">
            <v>25944.15</v>
          </cell>
          <cell r="E6421">
            <v>25718.2</v>
          </cell>
          <cell r="F6421">
            <v>25795.15</v>
          </cell>
        </row>
        <row r="6422">
          <cell r="B6422">
            <v>45957</v>
          </cell>
          <cell r="C6422">
            <v>25843.200000000001</v>
          </cell>
          <cell r="D6422">
            <v>26005.95</v>
          </cell>
          <cell r="E6422">
            <v>25827</v>
          </cell>
          <cell r="F6422">
            <v>25966.05</v>
          </cell>
        </row>
        <row r="6423">
          <cell r="B6423">
            <v>45958</v>
          </cell>
          <cell r="C6423">
            <v>25939.95</v>
          </cell>
          <cell r="D6423">
            <v>26041.7</v>
          </cell>
          <cell r="E6423">
            <v>25810.05</v>
          </cell>
          <cell r="F6423">
            <v>25936.2</v>
          </cell>
        </row>
        <row r="6424">
          <cell r="B6424">
            <v>45959</v>
          </cell>
          <cell r="C6424">
            <v>25982</v>
          </cell>
          <cell r="D6424">
            <v>26097.85</v>
          </cell>
          <cell r="E6424">
            <v>25960.3</v>
          </cell>
          <cell r="F6424">
            <v>26053.9</v>
          </cell>
        </row>
        <row r="6425">
          <cell r="B6425">
            <v>45960</v>
          </cell>
          <cell r="C6425">
            <v>25984.400000000001</v>
          </cell>
          <cell r="D6425">
            <v>26032.05</v>
          </cell>
          <cell r="E6425">
            <v>25845.25</v>
          </cell>
          <cell r="F6425">
            <v>25877.85</v>
          </cell>
        </row>
        <row r="6426">
          <cell r="B6426">
            <v>45961</v>
          </cell>
          <cell r="C6426">
            <v>25863.8</v>
          </cell>
          <cell r="D6426">
            <v>25953.75</v>
          </cell>
          <cell r="E6426">
            <v>25711.200000000001</v>
          </cell>
          <cell r="F6426">
            <v>25722.1</v>
          </cell>
        </row>
        <row r="6427">
          <cell r="B6427">
            <v>45964</v>
          </cell>
          <cell r="C6427">
            <v>25696.85</v>
          </cell>
          <cell r="D6427">
            <v>25803.1</v>
          </cell>
          <cell r="E6427">
            <v>25645.5</v>
          </cell>
          <cell r="F6427">
            <v>25763.35</v>
          </cell>
        </row>
        <row r="6428">
          <cell r="B6428">
            <v>45965</v>
          </cell>
          <cell r="C6428">
            <v>25744.75</v>
          </cell>
          <cell r="D6428">
            <v>25787.4</v>
          </cell>
          <cell r="E6428">
            <v>25578.400000000001</v>
          </cell>
          <cell r="F6428">
            <v>25597.65</v>
          </cell>
        </row>
        <row r="6429">
          <cell r="B6429">
            <v>45967</v>
          </cell>
          <cell r="C6429">
            <v>25593.35</v>
          </cell>
          <cell r="D6429">
            <v>25679.15</v>
          </cell>
          <cell r="E6429">
            <v>25491.55</v>
          </cell>
          <cell r="F6429">
            <v>25509.7</v>
          </cell>
        </row>
        <row r="6430">
          <cell r="B6430">
            <v>45968</v>
          </cell>
          <cell r="C6430">
            <v>25433.8</v>
          </cell>
          <cell r="D6430">
            <v>25551.25</v>
          </cell>
          <cell r="E6430">
            <v>25318.45</v>
          </cell>
          <cell r="F6430">
            <v>25492.3</v>
          </cell>
        </row>
        <row r="6431">
          <cell r="B6431">
            <v>45971</v>
          </cell>
          <cell r="C6431">
            <v>25503.5</v>
          </cell>
          <cell r="D6431">
            <v>25653.45</v>
          </cell>
          <cell r="E6431">
            <v>25503.5</v>
          </cell>
          <cell r="F6431">
            <v>25574.35</v>
          </cell>
        </row>
        <row r="6432">
          <cell r="B6432">
            <v>45972</v>
          </cell>
          <cell r="C6432">
            <v>25617</v>
          </cell>
          <cell r="D6432">
            <v>25715.8</v>
          </cell>
          <cell r="E6432">
            <v>25449.25</v>
          </cell>
          <cell r="F6432">
            <v>25694.95</v>
          </cell>
        </row>
        <row r="6433">
          <cell r="B6433">
            <v>45973</v>
          </cell>
          <cell r="C6433">
            <v>25834.3</v>
          </cell>
          <cell r="D6433">
            <v>25934.55</v>
          </cell>
          <cell r="E6433">
            <v>25781.15</v>
          </cell>
          <cell r="F6433">
            <v>25875.8</v>
          </cell>
        </row>
        <row r="6434">
          <cell r="B6434">
            <v>45974</v>
          </cell>
          <cell r="C6434">
            <v>25906.1</v>
          </cell>
          <cell r="D6434">
            <v>26010.7</v>
          </cell>
          <cell r="E6434">
            <v>25808.400000000001</v>
          </cell>
          <cell r="F6434">
            <v>25879.15</v>
          </cell>
        </row>
        <row r="6435">
          <cell r="B6435">
            <v>45975</v>
          </cell>
          <cell r="C6435">
            <v>25767.9</v>
          </cell>
          <cell r="D6435">
            <v>25940.2</v>
          </cell>
          <cell r="E6435">
            <v>25740.799999999999</v>
          </cell>
          <cell r="F6435">
            <v>25910.05</v>
          </cell>
        </row>
        <row r="6436">
          <cell r="B6436">
            <v>45978</v>
          </cell>
          <cell r="C6436">
            <v>25948.2</v>
          </cell>
          <cell r="D6436">
            <v>26024.2</v>
          </cell>
          <cell r="E6436">
            <v>25906.35</v>
          </cell>
          <cell r="F6436">
            <v>26013.45</v>
          </cell>
        </row>
        <row r="6437">
          <cell r="B6437">
            <v>45979</v>
          </cell>
          <cell r="C6437">
            <v>26021.8</v>
          </cell>
          <cell r="D6437">
            <v>26029.85</v>
          </cell>
          <cell r="E6437">
            <v>25876.5</v>
          </cell>
          <cell r="F6437">
            <v>25910.05</v>
          </cell>
        </row>
        <row r="6438">
          <cell r="B6438">
            <v>45980</v>
          </cell>
          <cell r="C6438">
            <v>25918.1</v>
          </cell>
          <cell r="D6438">
            <v>26074.65</v>
          </cell>
          <cell r="E6438">
            <v>25856.2</v>
          </cell>
          <cell r="F6438">
            <v>26052.65</v>
          </cell>
        </row>
        <row r="6439">
          <cell r="B6439">
            <v>45981</v>
          </cell>
          <cell r="C6439">
            <v>26132.1</v>
          </cell>
          <cell r="D6439">
            <v>26246.65</v>
          </cell>
          <cell r="E6439">
            <v>26063.200000000001</v>
          </cell>
          <cell r="F6439">
            <v>26192.15</v>
          </cell>
        </row>
        <row r="6440">
          <cell r="B6440">
            <v>45982</v>
          </cell>
          <cell r="C6440">
            <v>26109.55</v>
          </cell>
          <cell r="D6440">
            <v>26179.200000000001</v>
          </cell>
          <cell r="E6440">
            <v>26052.2</v>
          </cell>
          <cell r="F6440">
            <v>26068.15</v>
          </cell>
        </row>
        <row r="6441">
          <cell r="B6441">
            <v>45985</v>
          </cell>
          <cell r="C6441">
            <v>26122.799999999999</v>
          </cell>
          <cell r="D6441">
            <v>26142.799999999999</v>
          </cell>
          <cell r="E6441">
            <v>25912.15</v>
          </cell>
          <cell r="F6441">
            <v>25959.5</v>
          </cell>
        </row>
        <row r="6442">
          <cell r="B6442">
            <v>45986</v>
          </cell>
          <cell r="C6442">
            <v>25998.5</v>
          </cell>
          <cell r="D6442">
            <v>26032.6</v>
          </cell>
          <cell r="E6442">
            <v>25857.5</v>
          </cell>
          <cell r="F6442">
            <v>25884.799999999999</v>
          </cell>
        </row>
        <row r="6443">
          <cell r="B6443">
            <v>45987</v>
          </cell>
          <cell r="C6443">
            <v>25842.95</v>
          </cell>
          <cell r="D6443">
            <v>26215.15</v>
          </cell>
          <cell r="E6443">
            <v>25842.95</v>
          </cell>
          <cell r="F6443">
            <v>26205.3</v>
          </cell>
        </row>
        <row r="6444">
          <cell r="B6444">
            <v>45988</v>
          </cell>
          <cell r="C6444">
            <v>26261.25</v>
          </cell>
          <cell r="D6444">
            <v>26310.45</v>
          </cell>
          <cell r="E6444">
            <v>26141.9</v>
          </cell>
          <cell r="F6444">
            <v>26215.55</v>
          </cell>
        </row>
        <row r="6445">
          <cell r="B6445">
            <v>45989</v>
          </cell>
          <cell r="C6445">
            <v>26237.45</v>
          </cell>
          <cell r="D6445">
            <v>26280.75</v>
          </cell>
          <cell r="E6445">
            <v>26172.400000000001</v>
          </cell>
          <cell r="F6445">
            <v>26202.95</v>
          </cell>
        </row>
        <row r="6446">
          <cell r="B6446">
            <v>45992</v>
          </cell>
          <cell r="C6446">
            <v>26325.8</v>
          </cell>
          <cell r="D6446">
            <v>26325.8</v>
          </cell>
          <cell r="E6446">
            <v>26124.2</v>
          </cell>
          <cell r="F6446">
            <v>26175.75</v>
          </cell>
        </row>
        <row r="6447">
          <cell r="B6447">
            <v>45993</v>
          </cell>
          <cell r="C6447">
            <v>26087.95</v>
          </cell>
          <cell r="D6447">
            <v>26154.6</v>
          </cell>
          <cell r="E6447">
            <v>25997.85</v>
          </cell>
          <cell r="F6447">
            <v>26032.2</v>
          </cell>
        </row>
        <row r="6448">
          <cell r="B6448">
            <v>45994</v>
          </cell>
          <cell r="C6448">
            <v>26004.9</v>
          </cell>
          <cell r="D6448">
            <v>26066.45</v>
          </cell>
          <cell r="E6448">
            <v>25891</v>
          </cell>
          <cell r="F6448">
            <v>25986</v>
          </cell>
        </row>
        <row r="6449">
          <cell r="B6449">
            <v>45995</v>
          </cell>
          <cell r="C6449">
            <v>25981.85</v>
          </cell>
          <cell r="D6449">
            <v>26098.25</v>
          </cell>
          <cell r="E6449">
            <v>25938.95</v>
          </cell>
          <cell r="F6449">
            <v>26033.75</v>
          </cell>
        </row>
        <row r="6450">
          <cell r="B6450">
            <v>45996</v>
          </cell>
          <cell r="C6450">
            <v>25999.8</v>
          </cell>
          <cell r="D6450">
            <v>26202.6</v>
          </cell>
          <cell r="E6450">
            <v>25985.35</v>
          </cell>
          <cell r="F6450">
            <v>26186.45</v>
          </cell>
        </row>
        <row r="6451">
          <cell r="B6451">
            <v>45999</v>
          </cell>
          <cell r="C6451">
            <v>26159.8</v>
          </cell>
          <cell r="D6451">
            <v>26178.7</v>
          </cell>
          <cell r="E6451">
            <v>25892.25</v>
          </cell>
          <cell r="F6451">
            <v>25960.55</v>
          </cell>
        </row>
        <row r="6452">
          <cell r="B6452">
            <v>46000</v>
          </cell>
          <cell r="C6452">
            <v>25867.1</v>
          </cell>
          <cell r="D6452">
            <v>25923.65</v>
          </cell>
          <cell r="E6452">
            <v>25728</v>
          </cell>
          <cell r="F6452">
            <v>25839.65</v>
          </cell>
        </row>
        <row r="6453">
          <cell r="B6453">
            <v>46001</v>
          </cell>
          <cell r="C6453">
            <v>25864.05</v>
          </cell>
          <cell r="D6453">
            <v>25947.65</v>
          </cell>
          <cell r="E6453">
            <v>25734.55</v>
          </cell>
          <cell r="F6453">
            <v>25758</v>
          </cell>
        </row>
        <row r="6454">
          <cell r="B6454">
            <v>46002</v>
          </cell>
          <cell r="C6454">
            <v>25771.4</v>
          </cell>
          <cell r="D6454">
            <v>25922.799999999999</v>
          </cell>
          <cell r="E6454">
            <v>25693.25</v>
          </cell>
          <cell r="F6454">
            <v>25898.55</v>
          </cell>
        </row>
        <row r="6455">
          <cell r="B6455">
            <v>46003</v>
          </cell>
          <cell r="C6455">
            <v>25971.200000000001</v>
          </cell>
          <cell r="D6455">
            <v>26057.599999999999</v>
          </cell>
          <cell r="E6455">
            <v>25938.45</v>
          </cell>
          <cell r="F6455">
            <v>26046.95</v>
          </cell>
        </row>
        <row r="6456">
          <cell r="B6456">
            <v>46006</v>
          </cell>
          <cell r="C6456">
            <v>25930.05</v>
          </cell>
          <cell r="D6456">
            <v>26047.15</v>
          </cell>
          <cell r="E6456">
            <v>25904.75</v>
          </cell>
          <cell r="F6456">
            <v>26027.3</v>
          </cell>
        </row>
        <row r="6457">
          <cell r="B6457">
            <v>46007</v>
          </cell>
          <cell r="C6457">
            <v>25951.5</v>
          </cell>
          <cell r="D6457">
            <v>25980.75</v>
          </cell>
          <cell r="E6457">
            <v>25834.35</v>
          </cell>
          <cell r="F6457">
            <v>25860.1</v>
          </cell>
        </row>
        <row r="6458">
          <cell r="B6458">
            <v>46008</v>
          </cell>
          <cell r="C6458">
            <v>25902.400000000001</v>
          </cell>
          <cell r="D6458">
            <v>25929.15</v>
          </cell>
          <cell r="E6458">
            <v>25770.35</v>
          </cell>
          <cell r="F6458">
            <v>25818.55</v>
          </cell>
        </row>
        <row r="6459">
          <cell r="B6459">
            <v>46009</v>
          </cell>
          <cell r="C6459">
            <v>25764.7</v>
          </cell>
          <cell r="D6459">
            <v>25902.35</v>
          </cell>
          <cell r="E6459">
            <v>25726.3</v>
          </cell>
          <cell r="F6459">
            <v>25815.55</v>
          </cell>
        </row>
        <row r="6460">
          <cell r="B6460">
            <v>46010</v>
          </cell>
          <cell r="C6460">
            <v>25911.5</v>
          </cell>
          <cell r="D6460">
            <v>25993.35</v>
          </cell>
          <cell r="E6460">
            <v>25880.45</v>
          </cell>
          <cell r="F6460">
            <v>25966.400000000001</v>
          </cell>
        </row>
        <row r="6461">
          <cell r="B6461">
            <v>46013</v>
          </cell>
          <cell r="C6461">
            <v>26055.85</v>
          </cell>
          <cell r="D6461">
            <v>26180.7</v>
          </cell>
          <cell r="E6461">
            <v>26047.8</v>
          </cell>
          <cell r="F6461">
            <v>26172.400000000001</v>
          </cell>
        </row>
        <row r="6462">
          <cell r="B6462">
            <v>46014</v>
          </cell>
          <cell r="C6462">
            <v>26205.200000000001</v>
          </cell>
          <cell r="D6462">
            <v>26233.55</v>
          </cell>
          <cell r="E6462">
            <v>26119.05</v>
          </cell>
          <cell r="F6462">
            <v>26177.15</v>
          </cell>
        </row>
        <row r="6463">
          <cell r="B6463">
            <v>46015</v>
          </cell>
          <cell r="C6463">
            <v>26170.65</v>
          </cell>
          <cell r="D6463">
            <v>26236.400000000001</v>
          </cell>
          <cell r="E6463">
            <v>26123</v>
          </cell>
          <cell r="F6463">
            <v>26142.1</v>
          </cell>
        </row>
        <row r="6464">
          <cell r="B6464">
            <v>46017</v>
          </cell>
          <cell r="C6464">
            <v>26121.25</v>
          </cell>
          <cell r="D6464">
            <v>26144.2</v>
          </cell>
          <cell r="E6464">
            <v>26008.6</v>
          </cell>
          <cell r="F6464">
            <v>26042.3</v>
          </cell>
        </row>
        <row r="6465">
          <cell r="B6465">
            <v>46020</v>
          </cell>
          <cell r="C6465">
            <v>26063.35</v>
          </cell>
          <cell r="D6465">
            <v>26106.799999999999</v>
          </cell>
          <cell r="E6465">
            <v>25920.3</v>
          </cell>
          <cell r="F6465">
            <v>25942.1</v>
          </cell>
        </row>
        <row r="6466">
          <cell r="B6466">
            <v>46021</v>
          </cell>
          <cell r="C6466">
            <v>25940.9</v>
          </cell>
          <cell r="D6466">
            <v>25976.75</v>
          </cell>
          <cell r="E6466">
            <v>25878</v>
          </cell>
          <cell r="F6466">
            <v>25938.85</v>
          </cell>
        </row>
        <row r="6467">
          <cell r="B6467">
            <v>46022</v>
          </cell>
          <cell r="C6467">
            <v>25971.05</v>
          </cell>
          <cell r="D6467">
            <v>26187.95</v>
          </cell>
          <cell r="E6467">
            <v>25969</v>
          </cell>
          <cell r="F6467">
            <v>26129.599999999999</v>
          </cell>
        </row>
        <row r="6468">
          <cell r="B6468">
            <v>46023</v>
          </cell>
          <cell r="C6468">
            <v>26173.3</v>
          </cell>
          <cell r="D6468">
            <v>26197.55</v>
          </cell>
          <cell r="E6468">
            <v>26113.4</v>
          </cell>
          <cell r="F6468">
            <v>26146.55</v>
          </cell>
        </row>
        <row r="6469">
          <cell r="B6469">
            <v>46024</v>
          </cell>
          <cell r="C6469">
            <v>26155.1</v>
          </cell>
          <cell r="D6469">
            <v>26340</v>
          </cell>
          <cell r="E6469">
            <v>26118.400000000001</v>
          </cell>
          <cell r="F6469">
            <v>26328.55</v>
          </cell>
        </row>
        <row r="6470">
          <cell r="B6470">
            <v>46027</v>
          </cell>
          <cell r="C6470">
            <v>26333.7</v>
          </cell>
          <cell r="D6470">
            <v>26373.200000000001</v>
          </cell>
          <cell r="E6470">
            <v>26210.05</v>
          </cell>
          <cell r="F6470">
            <v>26250.3</v>
          </cell>
        </row>
        <row r="6471">
          <cell r="B6471">
            <v>46028</v>
          </cell>
          <cell r="C6471">
            <v>26189.7</v>
          </cell>
          <cell r="D6471">
            <v>26273.95</v>
          </cell>
          <cell r="E6471">
            <v>26124.75</v>
          </cell>
          <cell r="F6471">
            <v>26178.7</v>
          </cell>
        </row>
        <row r="6472">
          <cell r="B6472">
            <v>46029</v>
          </cell>
          <cell r="C6472">
            <v>26143.1</v>
          </cell>
          <cell r="D6472">
            <v>26187.15</v>
          </cell>
          <cell r="E6472">
            <v>26067.9</v>
          </cell>
          <cell r="F6472">
            <v>26140.75</v>
          </cell>
        </row>
        <row r="6473">
          <cell r="B6473">
            <v>46030</v>
          </cell>
          <cell r="C6473">
            <v>26106.5</v>
          </cell>
          <cell r="D6473">
            <v>26133.200000000001</v>
          </cell>
          <cell r="E6473">
            <v>25858.45</v>
          </cell>
          <cell r="F6473">
            <v>25876.85</v>
          </cell>
        </row>
        <row r="6474">
          <cell r="B6474">
            <v>46031</v>
          </cell>
          <cell r="C6474">
            <v>25840.400000000001</v>
          </cell>
          <cell r="D6474">
            <v>25940.6</v>
          </cell>
          <cell r="E6474">
            <v>25623</v>
          </cell>
          <cell r="F6474">
            <v>25683.3</v>
          </cell>
        </row>
        <row r="6475">
          <cell r="B6475">
            <v>46034</v>
          </cell>
          <cell r="C6475">
            <v>25669.05</v>
          </cell>
          <cell r="D6475">
            <v>25813.15</v>
          </cell>
          <cell r="E6475">
            <v>25473.4</v>
          </cell>
          <cell r="F6475">
            <v>25790.25</v>
          </cell>
        </row>
        <row r="6476">
          <cell r="B6476">
            <v>46035</v>
          </cell>
          <cell r="C6476">
            <v>25897.35</v>
          </cell>
          <cell r="D6476">
            <v>25899.8</v>
          </cell>
          <cell r="E6476">
            <v>25603.3</v>
          </cell>
          <cell r="F6476">
            <v>25732.3</v>
          </cell>
        </row>
        <row r="6477">
          <cell r="B6477">
            <v>46036</v>
          </cell>
          <cell r="C6477">
            <v>25648.55</v>
          </cell>
          <cell r="D6477">
            <v>25791.75</v>
          </cell>
          <cell r="E6477">
            <v>25603.95</v>
          </cell>
          <cell r="F6477">
            <v>25665.599999999999</v>
          </cell>
        </row>
        <row r="6478">
          <cell r="B6478">
            <v>46038</v>
          </cell>
          <cell r="C6478">
            <v>25696.05</v>
          </cell>
          <cell r="D6478">
            <v>25873.5</v>
          </cell>
          <cell r="E6478">
            <v>25662.400000000001</v>
          </cell>
          <cell r="F6478">
            <v>25694.35</v>
          </cell>
        </row>
        <row r="6479">
          <cell r="B6479">
            <v>46041</v>
          </cell>
          <cell r="C6479">
            <v>25653.1</v>
          </cell>
          <cell r="D6479">
            <v>25653.3</v>
          </cell>
          <cell r="E6479">
            <v>25494.35</v>
          </cell>
          <cell r="F6479">
            <v>25585.5</v>
          </cell>
        </row>
        <row r="6480">
          <cell r="B6480">
            <v>46042</v>
          </cell>
          <cell r="C6480">
            <v>25580.3</v>
          </cell>
          <cell r="D6480">
            <v>25585</v>
          </cell>
          <cell r="E6480">
            <v>25171.35</v>
          </cell>
          <cell r="F6480">
            <v>25232.5</v>
          </cell>
        </row>
        <row r="6481">
          <cell r="B6481">
            <v>46043</v>
          </cell>
          <cell r="C6481">
            <v>25141</v>
          </cell>
          <cell r="D6481">
            <v>25300.95</v>
          </cell>
          <cell r="E6481">
            <v>24919.8</v>
          </cell>
          <cell r="F6481">
            <v>25157.5</v>
          </cell>
        </row>
        <row r="6482">
          <cell r="B6482">
            <v>46044</v>
          </cell>
          <cell r="C6482">
            <v>25344.15</v>
          </cell>
          <cell r="D6482">
            <v>25435.75</v>
          </cell>
          <cell r="E6482">
            <v>25168.5</v>
          </cell>
          <cell r="F6482">
            <v>25289.9</v>
          </cell>
        </row>
        <row r="6483">
          <cell r="B6483">
            <v>46045</v>
          </cell>
          <cell r="C6483">
            <v>25344.6</v>
          </cell>
          <cell r="D6483">
            <v>25347.95</v>
          </cell>
          <cell r="E6483">
            <v>25025.3</v>
          </cell>
          <cell r="F6483">
            <v>25048.65</v>
          </cell>
        </row>
        <row r="6484">
          <cell r="B6484">
            <v>46049</v>
          </cell>
          <cell r="C6484">
            <v>25063.35</v>
          </cell>
          <cell r="D6484">
            <v>25246.65</v>
          </cell>
          <cell r="E6484">
            <v>24932.55</v>
          </cell>
          <cell r="F6484">
            <v>25175.4</v>
          </cell>
        </row>
        <row r="6485">
          <cell r="B6485">
            <v>46050</v>
          </cell>
          <cell r="C6485">
            <v>25258.85</v>
          </cell>
          <cell r="D6485">
            <v>25372.1</v>
          </cell>
          <cell r="E6485">
            <v>25187.65</v>
          </cell>
          <cell r="F6485">
            <v>25342.75</v>
          </cell>
        </row>
        <row r="6486">
          <cell r="B6486">
            <v>46051</v>
          </cell>
          <cell r="C6486">
            <v>25345</v>
          </cell>
          <cell r="D6486">
            <v>25458.15</v>
          </cell>
          <cell r="E6486">
            <v>25159.8</v>
          </cell>
          <cell r="F6486">
            <v>25418.9</v>
          </cell>
        </row>
        <row r="6487">
          <cell r="B6487">
            <v>46052</v>
          </cell>
          <cell r="C6487">
            <v>25247.55</v>
          </cell>
          <cell r="D6487">
            <v>25370.7</v>
          </cell>
          <cell r="E6487">
            <v>25213.65</v>
          </cell>
          <cell r="F6487">
            <v>25320.65</v>
          </cell>
        </row>
        <row r="6488">
          <cell r="B6488">
            <v>46054</v>
          </cell>
          <cell r="C6488">
            <v>25333.75</v>
          </cell>
          <cell r="D6488">
            <v>25440.9</v>
          </cell>
          <cell r="E6488">
            <v>24571.75</v>
          </cell>
          <cell r="F6488">
            <v>24825.45</v>
          </cell>
        </row>
        <row r="6489">
          <cell r="B6489">
            <v>46055</v>
          </cell>
          <cell r="C6489">
            <v>24796.5</v>
          </cell>
          <cell r="D6489">
            <v>25108.1</v>
          </cell>
          <cell r="E6489">
            <v>24679.4</v>
          </cell>
          <cell r="F6489">
            <v>25088.400000000001</v>
          </cell>
        </row>
        <row r="6490">
          <cell r="B6490">
            <v>46056</v>
          </cell>
          <cell r="C6490">
            <v>26308.05</v>
          </cell>
          <cell r="D6490">
            <v>26341.200000000001</v>
          </cell>
          <cell r="E6490">
            <v>25641.3</v>
          </cell>
          <cell r="F6490">
            <v>25727.55</v>
          </cell>
        </row>
        <row r="6491">
          <cell r="B6491">
            <v>46057</v>
          </cell>
          <cell r="C6491">
            <v>25675.05</v>
          </cell>
          <cell r="D6491">
            <v>25818.55</v>
          </cell>
          <cell r="E6491">
            <v>25563.95</v>
          </cell>
          <cell r="F6491">
            <v>25776</v>
          </cell>
        </row>
        <row r="6492">
          <cell r="B6492">
            <v>46058</v>
          </cell>
          <cell r="C6492">
            <v>25755.9</v>
          </cell>
          <cell r="D6492">
            <v>25757.65</v>
          </cell>
          <cell r="E6492">
            <v>25579.5</v>
          </cell>
          <cell r="F6492">
            <v>25642.799999999999</v>
          </cell>
        </row>
        <row r="6493">
          <cell r="B6493">
            <v>46059</v>
          </cell>
          <cell r="C6493">
            <v>25605.8</v>
          </cell>
          <cell r="D6493">
            <v>25703.95</v>
          </cell>
          <cell r="E6493">
            <v>25491.9</v>
          </cell>
          <cell r="F6493">
            <v>25693.7</v>
          </cell>
        </row>
        <row r="6494">
          <cell r="B6494">
            <v>46062</v>
          </cell>
          <cell r="C6494">
            <v>25888.7</v>
          </cell>
          <cell r="D6494">
            <v>25922.25</v>
          </cell>
          <cell r="E6494">
            <v>25780.9</v>
          </cell>
          <cell r="F6494">
            <v>25867.3</v>
          </cell>
        </row>
        <row r="6495">
          <cell r="B6495">
            <v>46063</v>
          </cell>
          <cell r="C6495">
            <v>25922.65</v>
          </cell>
          <cell r="D6495">
            <v>25989.45</v>
          </cell>
          <cell r="E6495">
            <v>25870.45</v>
          </cell>
          <cell r="F6495">
            <v>25935.15</v>
          </cell>
        </row>
        <row r="6496">
          <cell r="B6496">
            <v>46064</v>
          </cell>
          <cell r="C6496">
            <v>25997.45</v>
          </cell>
          <cell r="D6496">
            <v>26009.4</v>
          </cell>
          <cell r="E6496">
            <v>25899.8</v>
          </cell>
          <cell r="F6496">
            <v>25953.85</v>
          </cell>
        </row>
        <row r="6497">
          <cell r="B6497">
            <v>46065</v>
          </cell>
          <cell r="C6497">
            <v>25906.7</v>
          </cell>
          <cell r="D6497">
            <v>25906.7</v>
          </cell>
          <cell r="E6497">
            <v>25752.400000000001</v>
          </cell>
          <cell r="F6497">
            <v>25807.200000000001</v>
          </cell>
        </row>
        <row r="6498">
          <cell r="B6498">
            <v>46066</v>
          </cell>
          <cell r="C6498">
            <v>25571.15</v>
          </cell>
          <cell r="D6498">
            <v>25630.35</v>
          </cell>
          <cell r="E6498">
            <v>25444.3</v>
          </cell>
          <cell r="F6498">
            <v>25471.1</v>
          </cell>
        </row>
        <row r="6499">
          <cell r="B6499">
            <v>46069</v>
          </cell>
          <cell r="C6499">
            <v>25423.599999999999</v>
          </cell>
          <cell r="D6499">
            <v>25697</v>
          </cell>
          <cell r="E6499">
            <v>25372.7</v>
          </cell>
          <cell r="F6499">
            <v>25682.75</v>
          </cell>
        </row>
        <row r="6500">
          <cell r="B6500">
            <v>46070</v>
          </cell>
          <cell r="C6500">
            <v>25637.95</v>
          </cell>
          <cell r="D6500">
            <v>25764.400000000001</v>
          </cell>
          <cell r="E6500">
            <v>25570.3</v>
          </cell>
          <cell r="F6500">
            <v>25725.4</v>
          </cell>
        </row>
        <row r="6501">
          <cell r="B6501">
            <v>46071</v>
          </cell>
          <cell r="C6501">
            <v>25752.65</v>
          </cell>
          <cell r="D6501">
            <v>25828.05</v>
          </cell>
          <cell r="E6501">
            <v>25645.15</v>
          </cell>
          <cell r="F6501">
            <v>25819.35</v>
          </cell>
        </row>
        <row r="6502">
          <cell r="B6502">
            <v>46072</v>
          </cell>
          <cell r="C6502">
            <v>25873.35</v>
          </cell>
          <cell r="D6502">
            <v>25885.3</v>
          </cell>
          <cell r="E6502">
            <v>25388.75</v>
          </cell>
          <cell r="F6502">
            <v>25454.35</v>
          </cell>
        </row>
        <row r="6503">
          <cell r="B6503">
            <v>46073</v>
          </cell>
          <cell r="C6503">
            <v>25406.55</v>
          </cell>
          <cell r="D6503">
            <v>25663.55</v>
          </cell>
          <cell r="E6503">
            <v>25379.75</v>
          </cell>
          <cell r="F6503">
            <v>25571.25</v>
          </cell>
        </row>
        <row r="6504">
          <cell r="B6504">
            <v>46076</v>
          </cell>
          <cell r="C6504">
            <v>25678.400000000001</v>
          </cell>
          <cell r="D6504">
            <v>25771.45</v>
          </cell>
          <cell r="E6504">
            <v>25609.35</v>
          </cell>
          <cell r="F6504">
            <v>25713</v>
          </cell>
        </row>
        <row r="6505">
          <cell r="B6505">
            <v>46077</v>
          </cell>
          <cell r="C6505">
            <v>25641.8</v>
          </cell>
          <cell r="D6505">
            <v>25641.8</v>
          </cell>
          <cell r="E6505">
            <v>25327.599999999999</v>
          </cell>
          <cell r="F6505">
            <v>25424.65</v>
          </cell>
        </row>
        <row r="6506">
          <cell r="B6506">
            <v>46078</v>
          </cell>
          <cell r="C6506">
            <v>25512.6</v>
          </cell>
          <cell r="D6506">
            <v>25652.6</v>
          </cell>
          <cell r="E6506">
            <v>25428.2</v>
          </cell>
          <cell r="F6506">
            <v>25482.5</v>
          </cell>
        </row>
        <row r="6507">
          <cell r="B6507">
            <v>46079</v>
          </cell>
          <cell r="C6507">
            <v>25556.3</v>
          </cell>
          <cell r="D6507">
            <v>25572.95</v>
          </cell>
          <cell r="E6507">
            <v>25400.95</v>
          </cell>
          <cell r="F6507">
            <v>25496.55</v>
          </cell>
        </row>
        <row r="6508">
          <cell r="B6508">
            <v>46080</v>
          </cell>
          <cell r="C6508">
            <v>25459.85</v>
          </cell>
          <cell r="D6508">
            <v>25476.400000000001</v>
          </cell>
          <cell r="E6508">
            <v>25141.3</v>
          </cell>
          <cell r="F6508">
            <v>25178.65</v>
          </cell>
        </row>
        <row r="6509">
          <cell r="B6509">
            <v>46083</v>
          </cell>
          <cell r="C6509">
            <v>24659.25</v>
          </cell>
          <cell r="D6509">
            <v>24989.35</v>
          </cell>
          <cell r="E6509">
            <v>24603.5</v>
          </cell>
          <cell r="F6509">
            <v>24865.7</v>
          </cell>
        </row>
        <row r="6510">
          <cell r="B6510">
            <v>46085</v>
          </cell>
          <cell r="C6510">
            <v>24388.799999999999</v>
          </cell>
          <cell r="D6510">
            <v>24602.45</v>
          </cell>
          <cell r="E6510">
            <v>24305.4</v>
          </cell>
          <cell r="F6510">
            <v>24480.5</v>
          </cell>
        </row>
        <row r="6511">
          <cell r="B6511">
            <v>46086</v>
          </cell>
          <cell r="C6511">
            <v>24615.95</v>
          </cell>
          <cell r="D6511">
            <v>24854.2</v>
          </cell>
          <cell r="E6511">
            <v>24529.4</v>
          </cell>
          <cell r="F6511">
            <v>24765.9</v>
          </cell>
        </row>
        <row r="6512">
          <cell r="B6512">
            <v>46087</v>
          </cell>
          <cell r="C6512">
            <v>24656.400000000001</v>
          </cell>
          <cell r="D6512">
            <v>24700.799999999999</v>
          </cell>
          <cell r="E6512">
            <v>24415.75</v>
          </cell>
          <cell r="F6512">
            <v>24450.45</v>
          </cell>
        </row>
        <row r="6513">
          <cell r="B6513">
            <v>46090</v>
          </cell>
          <cell r="C6513">
            <v>23868.05</v>
          </cell>
          <cell r="D6513">
            <v>24078.15</v>
          </cell>
          <cell r="E6513">
            <v>23697.8</v>
          </cell>
          <cell r="F6513">
            <v>24028.05</v>
          </cell>
        </row>
        <row r="6514">
          <cell r="B6514">
            <v>46091</v>
          </cell>
          <cell r="C6514">
            <v>24280.799999999999</v>
          </cell>
          <cell r="D6514">
            <v>24303.8</v>
          </cell>
          <cell r="E6514">
            <v>24079.95</v>
          </cell>
          <cell r="F6514">
            <v>24261.599999999999</v>
          </cell>
        </row>
        <row r="6515">
          <cell r="B6515">
            <v>46092</v>
          </cell>
          <cell r="C6515">
            <v>24231.85</v>
          </cell>
          <cell r="D6515">
            <v>24299</v>
          </cell>
          <cell r="E6515">
            <v>23834.3</v>
          </cell>
          <cell r="F6515">
            <v>23866.85</v>
          </cell>
        </row>
        <row r="6516">
          <cell r="B6516">
            <v>46093</v>
          </cell>
          <cell r="C6516">
            <v>23674.85</v>
          </cell>
          <cell r="D6516">
            <v>23833.15</v>
          </cell>
          <cell r="E6516">
            <v>23556.3</v>
          </cell>
          <cell r="F6516">
            <v>23639.15</v>
          </cell>
        </row>
        <row r="6517">
          <cell r="B6517">
            <v>46094</v>
          </cell>
          <cell r="C6517">
            <v>23462.5</v>
          </cell>
          <cell r="D6517">
            <v>23492.400000000001</v>
          </cell>
          <cell r="E6517">
            <v>23112</v>
          </cell>
          <cell r="F6517">
            <v>23151.1</v>
          </cell>
        </row>
        <row r="6518">
          <cell r="B6518">
            <v>46097</v>
          </cell>
          <cell r="C6518">
            <v>23116.1</v>
          </cell>
          <cell r="D6518">
            <v>23502</v>
          </cell>
          <cell r="E6518">
            <v>22955.25</v>
          </cell>
          <cell r="F6518">
            <v>23408.799999999999</v>
          </cell>
        </row>
        <row r="6519">
          <cell r="B6519">
            <v>46098</v>
          </cell>
          <cell r="C6519">
            <v>23493.200000000001</v>
          </cell>
          <cell r="D6519">
            <v>23656.799999999999</v>
          </cell>
          <cell r="E6519">
            <v>23346.6</v>
          </cell>
          <cell r="F6519">
            <v>23581.15</v>
          </cell>
        </row>
        <row r="6520">
          <cell r="B6520">
            <v>46099</v>
          </cell>
          <cell r="C6520">
            <v>23632.9</v>
          </cell>
          <cell r="D6520">
            <v>23862.25</v>
          </cell>
          <cell r="E6520">
            <v>23618.45</v>
          </cell>
          <cell r="F6520">
            <v>23777.8</v>
          </cell>
        </row>
        <row r="6521">
          <cell r="B6521">
            <v>46100</v>
          </cell>
          <cell r="C6521">
            <v>23197.75</v>
          </cell>
          <cell r="D6521">
            <v>23378.7</v>
          </cell>
          <cell r="E6521">
            <v>22930.35</v>
          </cell>
          <cell r="F6521">
            <v>23002.15</v>
          </cell>
        </row>
        <row r="6522">
          <cell r="B6522">
            <v>46101</v>
          </cell>
          <cell r="C6522">
            <v>23110.15</v>
          </cell>
          <cell r="D6522">
            <v>23345.15</v>
          </cell>
          <cell r="E6522">
            <v>23067.599999999999</v>
          </cell>
          <cell r="F6522">
            <v>23114.5</v>
          </cell>
        </row>
        <row r="6523">
          <cell r="B6523">
            <v>46104</v>
          </cell>
          <cell r="C6523">
            <v>22824.35</v>
          </cell>
          <cell r="D6523">
            <v>22851.7</v>
          </cell>
          <cell r="E6523">
            <v>22471.25</v>
          </cell>
          <cell r="F6523">
            <v>22512.65</v>
          </cell>
        </row>
        <row r="6524">
          <cell r="B6524">
            <v>46105</v>
          </cell>
          <cell r="C6524">
            <v>22878.45</v>
          </cell>
          <cell r="D6524">
            <v>23057.3</v>
          </cell>
          <cell r="E6524">
            <v>22624.2</v>
          </cell>
          <cell r="F6524">
            <v>22912.400000000001</v>
          </cell>
        </row>
        <row r="6525">
          <cell r="B6525">
            <v>46106</v>
          </cell>
          <cell r="C6525">
            <v>23064.400000000001</v>
          </cell>
          <cell r="D6525">
            <v>23465.35</v>
          </cell>
          <cell r="E6525">
            <v>23063.200000000001</v>
          </cell>
          <cell r="F6525">
            <v>23306.45</v>
          </cell>
        </row>
        <row r="6526">
          <cell r="B6526">
            <v>46108</v>
          </cell>
          <cell r="C6526">
            <v>23173.55</v>
          </cell>
          <cell r="D6526">
            <v>23186.1</v>
          </cell>
          <cell r="E6526">
            <v>22804.55</v>
          </cell>
          <cell r="F6526">
            <v>22819.599999999999</v>
          </cell>
        </row>
        <row r="6527">
          <cell r="B6527">
            <v>46111</v>
          </cell>
          <cell r="C6527">
            <v>22549.65</v>
          </cell>
          <cell r="D6527">
            <v>22714.1</v>
          </cell>
          <cell r="E6527">
            <v>22283.85</v>
          </cell>
          <cell r="F6527">
            <v>22331.4</v>
          </cell>
        </row>
        <row r="6528">
          <cell r="B6528">
            <v>46113</v>
          </cell>
          <cell r="C6528">
            <v>22899</v>
          </cell>
          <cell r="D6528">
            <v>22941.3</v>
          </cell>
          <cell r="E6528">
            <v>22618.6</v>
          </cell>
          <cell r="F6528">
            <v>22679.4</v>
          </cell>
        </row>
        <row r="6529">
          <cell r="B6529">
            <v>46114</v>
          </cell>
          <cell r="C6529">
            <v>22383.4</v>
          </cell>
          <cell r="D6529">
            <v>22782.3</v>
          </cell>
          <cell r="E6529">
            <v>22182.55</v>
          </cell>
          <cell r="F6529">
            <v>22713.1</v>
          </cell>
        </row>
        <row r="6530">
          <cell r="B6530">
            <v>46118</v>
          </cell>
          <cell r="C6530">
            <v>22780.3</v>
          </cell>
          <cell r="D6530">
            <v>22998.35</v>
          </cell>
          <cell r="E6530">
            <v>22542.95</v>
          </cell>
          <cell r="F6530">
            <v>22968.25</v>
          </cell>
        </row>
        <row r="6531">
          <cell r="B6531">
            <v>46119</v>
          </cell>
          <cell r="C6531">
            <v>22838.7</v>
          </cell>
          <cell r="D6531">
            <v>23153.85</v>
          </cell>
          <cell r="E6531">
            <v>22719.3</v>
          </cell>
          <cell r="F6531">
            <v>23123.65</v>
          </cell>
        </row>
        <row r="6532">
          <cell r="B6532">
            <v>46120</v>
          </cell>
          <cell r="C6532">
            <v>23855.15</v>
          </cell>
          <cell r="D6532">
            <v>24025.15</v>
          </cell>
          <cell r="E6532">
            <v>23828.5</v>
          </cell>
          <cell r="F6532">
            <v>23997.35</v>
          </cell>
        </row>
        <row r="6533">
          <cell r="B6533">
            <v>46121</v>
          </cell>
          <cell r="C6533">
            <v>23909.05</v>
          </cell>
          <cell r="D6533">
            <v>23990.75</v>
          </cell>
          <cell r="E6533">
            <v>23682.799999999999</v>
          </cell>
          <cell r="F6533">
            <v>23775.1</v>
          </cell>
        </row>
        <row r="6534">
          <cell r="B6534">
            <v>46122</v>
          </cell>
          <cell r="C6534">
            <v>23880.55</v>
          </cell>
          <cell r="D6534">
            <v>24074.05</v>
          </cell>
          <cell r="E6534">
            <v>23856.35</v>
          </cell>
          <cell r="F6534">
            <v>24050.6</v>
          </cell>
        </row>
        <row r="6535">
          <cell r="B6535">
            <v>46125</v>
          </cell>
          <cell r="C6535">
            <v>23589.599999999999</v>
          </cell>
          <cell r="D6535">
            <v>23907.4</v>
          </cell>
          <cell r="E6535">
            <v>23555.599999999999</v>
          </cell>
          <cell r="F6535">
            <v>23842.65</v>
          </cell>
        </row>
        <row r="6536">
          <cell r="B6536">
            <v>46127</v>
          </cell>
          <cell r="C6536">
            <v>24163.8</v>
          </cell>
          <cell r="D6536">
            <v>24280.9</v>
          </cell>
          <cell r="E6536">
            <v>24145.8</v>
          </cell>
          <cell r="F6536">
            <v>24231.3</v>
          </cell>
        </row>
        <row r="6537">
          <cell r="B6537">
            <v>46128</v>
          </cell>
          <cell r="C6537">
            <v>24385.200000000001</v>
          </cell>
          <cell r="D6537">
            <v>24400.95</v>
          </cell>
          <cell r="E6537">
            <v>24102.799999999999</v>
          </cell>
          <cell r="F6537">
            <v>24196.75</v>
          </cell>
        </row>
        <row r="6538">
          <cell r="B6538">
            <v>46129</v>
          </cell>
          <cell r="C6538">
            <v>24165.9</v>
          </cell>
          <cell r="D6538">
            <v>24371.9</v>
          </cell>
          <cell r="E6538">
            <v>24096.05</v>
          </cell>
          <cell r="F6538">
            <v>24353.55</v>
          </cell>
        </row>
        <row r="6539">
          <cell r="B6539">
            <v>46132</v>
          </cell>
          <cell r="C6539">
            <v>24391.5</v>
          </cell>
          <cell r="D6539">
            <v>24480.65</v>
          </cell>
          <cell r="E6539">
            <v>24241.25</v>
          </cell>
          <cell r="F6539">
            <v>24364.85</v>
          </cell>
        </row>
        <row r="6540">
          <cell r="B6540">
            <v>46133</v>
          </cell>
          <cell r="C6540">
            <v>24374.55</v>
          </cell>
          <cell r="D6540">
            <v>24601.7</v>
          </cell>
          <cell r="E6540">
            <v>24354.9</v>
          </cell>
          <cell r="F6540">
            <v>24576.6</v>
          </cell>
        </row>
        <row r="6541">
          <cell r="B6541">
            <v>46134</v>
          </cell>
          <cell r="C6541">
            <v>24470.85</v>
          </cell>
          <cell r="D6541">
            <v>24515.95</v>
          </cell>
          <cell r="E6541">
            <v>24352.9</v>
          </cell>
          <cell r="F6541">
            <v>24378.1</v>
          </cell>
        </row>
        <row r="6542">
          <cell r="B6542">
            <v>46135</v>
          </cell>
          <cell r="C6542">
            <v>24202.35</v>
          </cell>
          <cell r="D6542">
            <v>24310.2</v>
          </cell>
          <cell r="E6542">
            <v>24134.799999999999</v>
          </cell>
          <cell r="F6542">
            <v>24173.05</v>
          </cell>
        </row>
        <row r="6543">
          <cell r="B6543">
            <v>46136</v>
          </cell>
          <cell r="C6543">
            <v>24100.55</v>
          </cell>
          <cell r="D6543">
            <v>24206</v>
          </cell>
          <cell r="E6543">
            <v>23813.65</v>
          </cell>
          <cell r="F6543">
            <v>23897.95</v>
          </cell>
        </row>
        <row r="6544">
          <cell r="B6544">
            <v>46139</v>
          </cell>
          <cell r="C6544">
            <v>23945.45</v>
          </cell>
          <cell r="D6544">
            <v>24130.7</v>
          </cell>
          <cell r="E6544">
            <v>23936.2</v>
          </cell>
          <cell r="F6544">
            <v>24092.7</v>
          </cell>
        </row>
        <row r="6545">
          <cell r="B6545">
            <v>46140</v>
          </cell>
          <cell r="C6545">
            <v>24049.9</v>
          </cell>
          <cell r="D6545">
            <v>24181.8</v>
          </cell>
          <cell r="E6545">
            <v>23957.05</v>
          </cell>
          <cell r="F6545">
            <v>23995.7</v>
          </cell>
        </row>
        <row r="6546">
          <cell r="B6546">
            <v>46141</v>
          </cell>
          <cell r="C6546">
            <v>24096.9</v>
          </cell>
          <cell r="D6546">
            <v>24334.7</v>
          </cell>
          <cell r="E6546">
            <v>24059.95</v>
          </cell>
          <cell r="F6546">
            <v>24177.65</v>
          </cell>
        </row>
        <row r="6547">
          <cell r="B6547">
            <v>46142</v>
          </cell>
          <cell r="C6547">
            <v>23996.95</v>
          </cell>
          <cell r="D6547">
            <v>24087.45</v>
          </cell>
          <cell r="E6547">
            <v>23796.85</v>
          </cell>
          <cell r="F6547">
            <v>23997.55</v>
          </cell>
        </row>
        <row r="6548">
          <cell r="B6548">
            <v>46146</v>
          </cell>
          <cell r="C6548">
            <v>24063.55</v>
          </cell>
          <cell r="D6548">
            <v>24290.2</v>
          </cell>
          <cell r="E6548">
            <v>24004.75</v>
          </cell>
          <cell r="F6548">
            <v>24119.3</v>
          </cell>
        </row>
        <row r="6549">
          <cell r="B6549">
            <v>46147</v>
          </cell>
          <cell r="C6549">
            <v>24052.6</v>
          </cell>
          <cell r="D6549">
            <v>24081.7</v>
          </cell>
          <cell r="E6549">
            <v>23882.05</v>
          </cell>
          <cell r="F6549">
            <v>24032.799999999999</v>
          </cell>
        </row>
        <row r="6550">
          <cell r="B6550">
            <v>46148</v>
          </cell>
          <cell r="C6550">
            <v>24171</v>
          </cell>
          <cell r="D6550">
            <v>24356.5</v>
          </cell>
          <cell r="E6550">
            <v>23997.9</v>
          </cell>
          <cell r="F6550">
            <v>24330.95</v>
          </cell>
        </row>
        <row r="6551">
          <cell r="B6551">
            <v>46149</v>
          </cell>
          <cell r="C6551">
            <v>24398.5</v>
          </cell>
          <cell r="D6551">
            <v>24482.1</v>
          </cell>
          <cell r="E6551">
            <v>24284</v>
          </cell>
          <cell r="F6551">
            <v>24326.65</v>
          </cell>
        </row>
        <row r="6552">
          <cell r="B6552">
            <v>46150</v>
          </cell>
          <cell r="C6552">
            <v>24233.65</v>
          </cell>
          <cell r="D6552">
            <v>24253.8</v>
          </cell>
          <cell r="E6552">
            <v>24126.65</v>
          </cell>
          <cell r="F6552">
            <v>24176.15</v>
          </cell>
        </row>
        <row r="6553">
          <cell r="B6553">
            <v>46153</v>
          </cell>
          <cell r="C6553">
            <v>23970.1</v>
          </cell>
          <cell r="D6553">
            <v>23997.45</v>
          </cell>
          <cell r="E6553">
            <v>23799.1</v>
          </cell>
          <cell r="F6553">
            <v>23815.85</v>
          </cell>
        </row>
        <row r="6554">
          <cell r="B6554">
            <v>46154</v>
          </cell>
          <cell r="C6554">
            <v>23722.6</v>
          </cell>
          <cell r="D6554">
            <v>23757.55</v>
          </cell>
          <cell r="E6554">
            <v>23348.400000000001</v>
          </cell>
          <cell r="F6554">
            <v>23379.55</v>
          </cell>
        </row>
        <row r="6555">
          <cell r="B6555">
            <v>46155</v>
          </cell>
          <cell r="C6555">
            <v>23362.45</v>
          </cell>
          <cell r="D6555">
            <v>23582.95</v>
          </cell>
          <cell r="E6555">
            <v>23262.55</v>
          </cell>
          <cell r="F6555">
            <v>23412.6</v>
          </cell>
        </row>
        <row r="6556">
          <cell r="B6556">
            <v>46156</v>
          </cell>
          <cell r="C6556">
            <v>23530.25</v>
          </cell>
          <cell r="D6556">
            <v>23777.200000000001</v>
          </cell>
          <cell r="E6556">
            <v>23426.55</v>
          </cell>
          <cell r="F6556">
            <v>23689.599999999999</v>
          </cell>
        </row>
        <row r="6557">
          <cell r="B6557">
            <v>46157</v>
          </cell>
          <cell r="C6557">
            <v>23731.4</v>
          </cell>
          <cell r="D6557">
            <v>23839.3</v>
          </cell>
          <cell r="E6557">
            <v>23610.3</v>
          </cell>
          <cell r="F6557">
            <v>23643.5</v>
          </cell>
        </row>
        <row r="6558">
          <cell r="B6558">
            <v>46160</v>
          </cell>
          <cell r="C6558">
            <v>23482.2</v>
          </cell>
          <cell r="D6558">
            <v>23695.65</v>
          </cell>
          <cell r="E6558">
            <v>23317.1</v>
          </cell>
          <cell r="F6558">
            <v>23649.95</v>
          </cell>
        </row>
        <row r="6559">
          <cell r="B6559">
            <v>46161</v>
          </cell>
          <cell r="C6559">
            <v>23675.3</v>
          </cell>
          <cell r="D6559">
            <v>23782.3</v>
          </cell>
          <cell r="E6559">
            <v>23587.200000000001</v>
          </cell>
          <cell r="F6559">
            <v>23618</v>
          </cell>
        </row>
        <row r="6560">
          <cell r="B6560">
            <v>46162</v>
          </cell>
          <cell r="C6560">
            <v>23457.25</v>
          </cell>
          <cell r="D6560">
            <v>23690.9</v>
          </cell>
          <cell r="E6560">
            <v>23397.3</v>
          </cell>
          <cell r="F6560">
            <v>23659</v>
          </cell>
        </row>
        <row r="6561">
          <cell r="B6561">
            <v>46163</v>
          </cell>
          <cell r="C6561">
            <v>23830.05</v>
          </cell>
          <cell r="D6561">
            <v>23859.9</v>
          </cell>
          <cell r="E6561">
            <v>23596.6</v>
          </cell>
          <cell r="F6561">
            <v>23654.7</v>
          </cell>
        </row>
        <row r="6562">
          <cell r="B6562">
            <v>46164</v>
          </cell>
          <cell r="C6562">
            <v>23671.200000000001</v>
          </cell>
          <cell r="D6562">
            <v>23835.65</v>
          </cell>
          <cell r="E6562">
            <v>23671</v>
          </cell>
          <cell r="F6562">
            <v>23719.3</v>
          </cell>
        </row>
        <row r="6563">
          <cell r="B6563">
            <v>46167</v>
          </cell>
          <cell r="C6563">
            <v>23940.25</v>
          </cell>
          <cell r="D6563">
            <v>24054.45</v>
          </cell>
          <cell r="E6563">
            <v>23922.85</v>
          </cell>
          <cell r="F6563">
            <v>24031.7</v>
          </cell>
        </row>
        <row r="6564">
          <cell r="B6564">
            <v>46168</v>
          </cell>
          <cell r="C6564">
            <v>24004.1</v>
          </cell>
          <cell r="D6564">
            <v>24089.8</v>
          </cell>
          <cell r="E6564">
            <v>23885.45</v>
          </cell>
          <cell r="F6564">
            <v>23913.7</v>
          </cell>
        </row>
        <row r="6565">
          <cell r="B6565">
            <v>46169</v>
          </cell>
          <cell r="C6565">
            <v>23880.35</v>
          </cell>
          <cell r="D6565">
            <v>23983.200000000001</v>
          </cell>
          <cell r="E6565">
            <v>23858.25</v>
          </cell>
          <cell r="F6565">
            <v>23907.15</v>
          </cell>
        </row>
        <row r="6566">
          <cell r="B6566">
            <v>46171</v>
          </cell>
          <cell r="C6566">
            <v>23902.15</v>
          </cell>
          <cell r="D6566">
            <v>24002.799999999999</v>
          </cell>
          <cell r="E6566">
            <v>23484.75</v>
          </cell>
          <cell r="F6566">
            <v>23547.75</v>
          </cell>
        </row>
        <row r="6567">
          <cell r="B6567">
            <v>46174</v>
          </cell>
          <cell r="C6567">
            <v>23654.5</v>
          </cell>
          <cell r="D6567">
            <v>23733.7</v>
          </cell>
          <cell r="E6567">
            <v>23357.95</v>
          </cell>
          <cell r="F6567">
            <v>23382.6</v>
          </cell>
        </row>
        <row r="6568">
          <cell r="B6568">
            <v>46175</v>
          </cell>
          <cell r="C6568">
            <v>23229.15</v>
          </cell>
          <cell r="D6568">
            <v>23556.95</v>
          </cell>
          <cell r="E6568">
            <v>23229.15</v>
          </cell>
          <cell r="F6568">
            <v>23483.55</v>
          </cell>
        </row>
        <row r="6569">
          <cell r="B6569">
            <v>46176</v>
          </cell>
          <cell r="C6569">
            <v>23415.95</v>
          </cell>
          <cell r="D6569">
            <v>23459.65</v>
          </cell>
          <cell r="E6569">
            <v>23151.5</v>
          </cell>
          <cell r="F6569">
            <v>23405.599999999999</v>
          </cell>
        </row>
        <row r="6570">
          <cell r="B6570">
            <v>46177</v>
          </cell>
          <cell r="C6570">
            <v>23282.45</v>
          </cell>
          <cell r="D6570">
            <v>23465.3</v>
          </cell>
          <cell r="E6570">
            <v>23247.3</v>
          </cell>
          <cell r="F6570">
            <v>23416.55</v>
          </cell>
        </row>
        <row r="6571">
          <cell r="B6571">
            <v>46178</v>
          </cell>
          <cell r="C6571">
            <v>23478.95</v>
          </cell>
          <cell r="D6571">
            <v>23516.35</v>
          </cell>
          <cell r="E6571">
            <v>23282.65</v>
          </cell>
          <cell r="F6571">
            <v>23366.7</v>
          </cell>
        </row>
        <row r="6572">
          <cell r="B6572">
            <v>46181</v>
          </cell>
          <cell r="C6572">
            <v>23080.7</v>
          </cell>
          <cell r="D6572">
            <v>23267.3</v>
          </cell>
          <cell r="E6572">
            <v>23070.15</v>
          </cell>
          <cell r="F6572">
            <v>23123</v>
          </cell>
        </row>
        <row r="6573">
          <cell r="B6573">
            <v>46182</v>
          </cell>
          <cell r="C6573">
            <v>23259.05</v>
          </cell>
          <cell r="D6573">
            <v>23279.4</v>
          </cell>
          <cell r="E6573">
            <v>23104.45</v>
          </cell>
          <cell r="F6573">
            <v>23242.1</v>
          </cell>
        </row>
        <row r="6574">
          <cell r="B6574">
            <v>46183</v>
          </cell>
          <cell r="C6574">
            <v>23233.95</v>
          </cell>
          <cell r="D6574">
            <v>23425.35</v>
          </cell>
          <cell r="E6574">
            <v>23184.6</v>
          </cell>
          <cell r="F6574">
            <v>23214.95</v>
          </cell>
        </row>
        <row r="6575">
          <cell r="B6575">
            <v>46184</v>
          </cell>
          <cell r="C6575">
            <v>23104.400000000001</v>
          </cell>
          <cell r="D6575">
            <v>23327.45</v>
          </cell>
          <cell r="E6575">
            <v>23072.05</v>
          </cell>
          <cell r="F6575">
            <v>23161.599999999999</v>
          </cell>
        </row>
        <row r="6576">
          <cell r="B6576">
            <v>46185</v>
          </cell>
          <cell r="C6576">
            <v>23412.55</v>
          </cell>
          <cell r="D6576">
            <v>23645.35</v>
          </cell>
          <cell r="E6576">
            <v>23313.9</v>
          </cell>
          <cell r="F6576">
            <v>23622.9</v>
          </cell>
        </row>
        <row r="6577">
          <cell r="B6577">
            <v>46188</v>
          </cell>
          <cell r="C6577">
            <v>23984.85</v>
          </cell>
          <cell r="D6577">
            <v>24011.4</v>
          </cell>
          <cell r="E6577">
            <v>23817.8</v>
          </cell>
          <cell r="F6577">
            <v>23853.9</v>
          </cell>
        </row>
        <row r="6578">
          <cell r="B6578">
            <v>46189</v>
          </cell>
          <cell r="C6578">
            <v>23923.9</v>
          </cell>
          <cell r="D6578">
            <v>24002.6</v>
          </cell>
          <cell r="E6578">
            <v>23888.2</v>
          </cell>
          <cell r="F6578">
            <v>23989.15</v>
          </cell>
        </row>
        <row r="6579">
          <cell r="B6579">
            <v>46190</v>
          </cell>
          <cell r="C6579">
            <v>24044.5</v>
          </cell>
          <cell r="D6579">
            <v>24108.2</v>
          </cell>
          <cell r="E6579">
            <v>23969.7</v>
          </cell>
          <cell r="F6579">
            <v>24085.7</v>
          </cell>
        </row>
        <row r="6580">
          <cell r="B6580">
            <v>46191</v>
          </cell>
          <cell r="C6580">
            <v>24073.8</v>
          </cell>
          <cell r="D6580">
            <v>24189.25</v>
          </cell>
          <cell r="E6580">
            <v>24036.95</v>
          </cell>
          <cell r="F6580">
            <v>24168</v>
          </cell>
        </row>
        <row r="6581">
          <cell r="B6581">
            <v>46192</v>
          </cell>
          <cell r="C6581">
            <v>23991.200000000001</v>
          </cell>
          <cell r="D6581">
            <v>24047.200000000001</v>
          </cell>
          <cell r="E6581">
            <v>23901.9</v>
          </cell>
          <cell r="F6581">
            <v>24013.1</v>
          </cell>
        </row>
        <row r="6582">
          <cell r="B6582">
            <v>46195</v>
          </cell>
          <cell r="C6582">
            <v>24106.6</v>
          </cell>
          <cell r="D6582">
            <v>24168.05</v>
          </cell>
          <cell r="E6582">
            <v>24073.15</v>
          </cell>
          <cell r="F6582">
            <v>24102.9</v>
          </cell>
        </row>
        <row r="6583">
          <cell r="B6583">
            <v>46196</v>
          </cell>
          <cell r="C6583">
            <v>24071.3</v>
          </cell>
          <cell r="D6583">
            <v>24135.5</v>
          </cell>
          <cell r="E6583">
            <v>23784.95</v>
          </cell>
          <cell r="F6583">
            <v>23824.1</v>
          </cell>
        </row>
        <row r="6584">
          <cell r="B6584">
            <v>46197</v>
          </cell>
          <cell r="C6584">
            <v>23795.8</v>
          </cell>
          <cell r="D6584">
            <v>24090.05</v>
          </cell>
          <cell r="E6584">
            <v>23789.25</v>
          </cell>
          <cell r="F6584">
            <v>24021.65</v>
          </cell>
        </row>
        <row r="6585">
          <cell r="B6585">
            <v>46198</v>
          </cell>
          <cell r="C6585">
            <v>24125.85</v>
          </cell>
          <cell r="D6585">
            <v>24261.599999999999</v>
          </cell>
          <cell r="E6585">
            <v>24039</v>
          </cell>
          <cell r="F6585">
            <v>24056</v>
          </cell>
        </row>
        <row r="6586">
          <cell r="B6586">
            <v>46202</v>
          </cell>
          <cell r="C6586">
            <v>24061.75</v>
          </cell>
          <cell r="D6586">
            <v>24120</v>
          </cell>
          <cell r="E6586">
            <v>23924.55</v>
          </cell>
          <cell r="F6586">
            <v>23946.25</v>
          </cell>
        </row>
        <row r="6587">
          <cell r="B6587">
            <v>46203</v>
          </cell>
          <cell r="C6587">
            <v>24032.05</v>
          </cell>
          <cell r="D6587">
            <v>24035.55</v>
          </cell>
          <cell r="E6587">
            <v>23829.200000000001</v>
          </cell>
          <cell r="F6587">
            <v>23865.75</v>
          </cell>
        </row>
        <row r="6588">
          <cell r="B6588">
            <v>46204</v>
          </cell>
          <cell r="C6588">
            <v>23897.65</v>
          </cell>
          <cell r="D6588">
            <v>24049.9</v>
          </cell>
          <cell r="E6588">
            <v>23895.1</v>
          </cell>
          <cell r="F6588">
            <v>24005.85</v>
          </cell>
        </row>
        <row r="6589">
          <cell r="B6589">
            <v>46205</v>
          </cell>
          <cell r="C6589">
            <v>24062.2</v>
          </cell>
          <cell r="D6589">
            <v>24194.55</v>
          </cell>
          <cell r="E6589">
            <v>24058.799999999999</v>
          </cell>
          <cell r="F6589">
            <v>24175.7</v>
          </cell>
        </row>
        <row r="6590">
          <cell r="B6590">
            <v>46206</v>
          </cell>
          <cell r="C6590">
            <v>24375.65</v>
          </cell>
          <cell r="D6590">
            <v>24378.15</v>
          </cell>
          <cell r="E6590">
            <v>24252.35</v>
          </cell>
          <cell r="F6590">
            <v>24270.85</v>
          </cell>
        </row>
        <row r="6591">
          <cell r="B6591">
            <v>46209</v>
          </cell>
          <cell r="C6591">
            <v>24306.85</v>
          </cell>
          <cell r="D6591">
            <v>24458.65</v>
          </cell>
          <cell r="E6591">
            <v>24287.1</v>
          </cell>
          <cell r="F6591">
            <v>24430.35</v>
          </cell>
        </row>
        <row r="6592">
          <cell r="B6592">
            <v>46210</v>
          </cell>
          <cell r="C6592">
            <v>24464.45</v>
          </cell>
          <cell r="D6592">
            <v>24530.9</v>
          </cell>
          <cell r="E6592">
            <v>24348.95</v>
          </cell>
          <cell r="F6592">
            <v>24398.7</v>
          </cell>
        </row>
        <row r="6593">
          <cell r="B6593">
            <v>46211</v>
          </cell>
          <cell r="C6593">
            <v>24259.55</v>
          </cell>
          <cell r="D6593">
            <v>24300</v>
          </cell>
          <cell r="E6593">
            <v>23805.200000000001</v>
          </cell>
          <cell r="F6593">
            <v>23882.05</v>
          </cell>
        </row>
        <row r="6594">
          <cell r="B6594">
            <v>46212</v>
          </cell>
          <cell r="C6594">
            <v>23928.95</v>
          </cell>
          <cell r="D6594">
            <v>24134.7</v>
          </cell>
          <cell r="E6594">
            <v>23925.7</v>
          </cell>
          <cell r="F6594">
            <v>23962.799999999999</v>
          </cell>
        </row>
        <row r="6595">
          <cell r="B6595">
            <v>46213</v>
          </cell>
          <cell r="C6595">
            <v>24124.7</v>
          </cell>
          <cell r="D6595">
            <v>24228.45</v>
          </cell>
          <cell r="E6595">
            <v>24120.35</v>
          </cell>
          <cell r="F6595">
            <v>24206.9</v>
          </cell>
        </row>
        <row r="6596">
          <cell r="B6596">
            <v>46216</v>
          </cell>
          <cell r="C6596">
            <v>24039.4</v>
          </cell>
          <cell r="D6596">
            <v>24259.8</v>
          </cell>
          <cell r="E6596">
            <v>24000.2</v>
          </cell>
          <cell r="F6596">
            <v>24211</v>
          </cell>
        </row>
        <row r="6597">
          <cell r="B6597">
            <v>46217</v>
          </cell>
          <cell r="C6597">
            <v>24068</v>
          </cell>
          <cell r="D6597">
            <v>24157.1</v>
          </cell>
          <cell r="E6597">
            <v>24023.7</v>
          </cell>
          <cell r="F6597">
            <v>24052.05</v>
          </cell>
        </row>
        <row r="6598">
          <cell r="B6598">
            <v>46218</v>
          </cell>
          <cell r="C6598">
            <v>24085.85</v>
          </cell>
          <cell r="D6598">
            <v>24220.35</v>
          </cell>
          <cell r="E6598">
            <v>24010.55</v>
          </cell>
          <cell r="F6598">
            <v>24078.5</v>
          </cell>
        </row>
        <row r="6599">
          <cell r="B6599">
            <v>46219</v>
          </cell>
          <cell r="C6599">
            <v>24142.1</v>
          </cell>
          <cell r="D6599">
            <v>24186.5</v>
          </cell>
          <cell r="E6599">
            <v>24050</v>
          </cell>
          <cell r="F6599">
            <v>24072.75</v>
          </cell>
        </row>
        <row r="6600">
          <cell r="B6600">
            <v>46220</v>
          </cell>
          <cell r="C6600">
            <v>24127.599999999999</v>
          </cell>
          <cell r="D6600">
            <v>24367.3</v>
          </cell>
          <cell r="E6600">
            <v>24099.05</v>
          </cell>
          <cell r="F6600">
            <v>24334.3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 activeCell="A22" sqref="A22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69" t="s">
        <v>0</v>
      </c>
      <c r="B1" s="68"/>
    </row>
    <row r="2" spans="1:2" ht="20.100000000000001" customHeight="1" x14ac:dyDescent="0.25">
      <c r="A2" s="67" t="s">
        <v>1</v>
      </c>
      <c r="B2" s="68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6" customHeight="1" x14ac:dyDescent="0.25"/>
    <row r="14" spans="1:2" ht="20.100000000000001" customHeight="1" x14ac:dyDescent="0.25">
      <c r="A14" s="67" t="s">
        <v>22</v>
      </c>
      <c r="B14" s="68"/>
    </row>
    <row r="15" spans="1:2" ht="18" customHeight="1" x14ac:dyDescent="0.25">
      <c r="A15" s="1" t="s">
        <v>23</v>
      </c>
      <c r="B15" s="2" t="s">
        <v>24</v>
      </c>
    </row>
    <row r="16" spans="1:2" ht="18" customHeight="1" x14ac:dyDescent="0.25">
      <c r="A16" s="1" t="s">
        <v>25</v>
      </c>
      <c r="B16" s="2" t="s">
        <v>26</v>
      </c>
    </row>
    <row r="17" spans="1:2" ht="18" customHeight="1" x14ac:dyDescent="0.25">
      <c r="A17" s="1" t="s">
        <v>2</v>
      </c>
      <c r="B17" s="2" t="s">
        <v>3</v>
      </c>
    </row>
    <row r="18" spans="1:2" ht="18" customHeight="1" x14ac:dyDescent="0.25">
      <c r="A18" s="1" t="s">
        <v>6</v>
      </c>
      <c r="B18" s="2" t="s">
        <v>7</v>
      </c>
    </row>
    <row r="19" spans="1:2" ht="18" customHeight="1" x14ac:dyDescent="0.25">
      <c r="A19" s="1" t="s">
        <v>27</v>
      </c>
      <c r="B19" s="2" t="s">
        <v>28</v>
      </c>
    </row>
    <row r="20" spans="1:2" ht="18" customHeight="1" x14ac:dyDescent="0.25">
      <c r="A20" s="1" t="s">
        <v>29</v>
      </c>
      <c r="B20" s="2" t="s">
        <v>30</v>
      </c>
    </row>
    <row r="21" spans="1:2" ht="18" customHeight="1" x14ac:dyDescent="0.25">
      <c r="A21" s="1" t="s">
        <v>31</v>
      </c>
      <c r="B21" s="2" t="s">
        <v>32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14</v>
      </c>
      <c r="B23" s="2" t="s">
        <v>35</v>
      </c>
    </row>
    <row r="24" spans="1:2" ht="18" customHeight="1" x14ac:dyDescent="0.25">
      <c r="A24" s="1" t="s">
        <v>36</v>
      </c>
      <c r="B24" s="2" t="s">
        <v>15</v>
      </c>
    </row>
    <row r="25" spans="1:2" ht="20.100000000000001" customHeight="1" x14ac:dyDescent="0.25">
      <c r="A25" s="67" t="s">
        <v>37</v>
      </c>
      <c r="B25" s="68"/>
    </row>
    <row r="26" spans="1:2" ht="18" customHeight="1" x14ac:dyDescent="0.25">
      <c r="A26" s="1" t="s">
        <v>23</v>
      </c>
      <c r="B26" s="2" t="s">
        <v>38</v>
      </c>
    </row>
    <row r="27" spans="1:2" ht="18" customHeight="1" x14ac:dyDescent="0.25">
      <c r="A27" s="1" t="s">
        <v>25</v>
      </c>
      <c r="B27" s="2" t="s">
        <v>26</v>
      </c>
    </row>
    <row r="28" spans="1:2" ht="18" customHeight="1" x14ac:dyDescent="0.25">
      <c r="A28" s="1" t="s">
        <v>2</v>
      </c>
      <c r="B28" s="2" t="s">
        <v>3</v>
      </c>
    </row>
    <row r="29" spans="1:2" ht="18" customHeight="1" x14ac:dyDescent="0.25">
      <c r="A29" s="1" t="s">
        <v>6</v>
      </c>
      <c r="B29" s="2" t="s">
        <v>39</v>
      </c>
    </row>
    <row r="30" spans="1:2" ht="18" customHeight="1" x14ac:dyDescent="0.25">
      <c r="A30" s="1" t="s">
        <v>27</v>
      </c>
      <c r="B30" s="2" t="s">
        <v>40</v>
      </c>
    </row>
    <row r="31" spans="1:2" ht="18" customHeight="1" x14ac:dyDescent="0.25">
      <c r="A31" s="1" t="s">
        <v>29</v>
      </c>
      <c r="B31" s="2" t="s">
        <v>30</v>
      </c>
    </row>
    <row r="32" spans="1:2" ht="18" customHeight="1" x14ac:dyDescent="0.25">
      <c r="A32" s="1" t="s">
        <v>31</v>
      </c>
      <c r="B32" s="2" t="s">
        <v>41</v>
      </c>
    </row>
    <row r="33" spans="1:2" ht="18" customHeight="1" x14ac:dyDescent="0.25">
      <c r="A33" s="1" t="s">
        <v>33</v>
      </c>
      <c r="B33" s="2" t="s">
        <v>42</v>
      </c>
    </row>
    <row r="34" spans="1:2" ht="18" customHeight="1" x14ac:dyDescent="0.25">
      <c r="A34" s="1" t="s">
        <v>14</v>
      </c>
      <c r="B34" s="2" t="s">
        <v>35</v>
      </c>
    </row>
    <row r="35" spans="1:2" ht="18" customHeight="1" x14ac:dyDescent="0.25">
      <c r="A35" s="1" t="s">
        <v>36</v>
      </c>
      <c r="B35" s="2" t="s">
        <v>15</v>
      </c>
    </row>
    <row r="36" spans="1:2" ht="20.100000000000001" customHeight="1" x14ac:dyDescent="0.25">
      <c r="A36" s="67" t="s">
        <v>43</v>
      </c>
      <c r="B36" s="68"/>
    </row>
    <row r="37" spans="1:2" ht="18" customHeight="1" x14ac:dyDescent="0.25">
      <c r="A37" s="1" t="s">
        <v>23</v>
      </c>
      <c r="B37" s="2" t="s">
        <v>38</v>
      </c>
    </row>
    <row r="38" spans="1:2" ht="18" customHeight="1" x14ac:dyDescent="0.25">
      <c r="A38" s="1" t="s">
        <v>25</v>
      </c>
      <c r="B38" s="2" t="s">
        <v>26</v>
      </c>
    </row>
    <row r="39" spans="1:2" ht="18" customHeight="1" x14ac:dyDescent="0.25">
      <c r="A39" s="1" t="s">
        <v>44</v>
      </c>
      <c r="B39" s="2" t="s">
        <v>45</v>
      </c>
    </row>
    <row r="40" spans="1:2" ht="18" customHeight="1" x14ac:dyDescent="0.25">
      <c r="A40" s="1" t="s">
        <v>46</v>
      </c>
      <c r="B40" s="2" t="s">
        <v>47</v>
      </c>
    </row>
    <row r="41" spans="1:2" ht="18" customHeight="1" x14ac:dyDescent="0.25">
      <c r="A41" s="1" t="s">
        <v>36</v>
      </c>
      <c r="B41" s="2" t="s">
        <v>15</v>
      </c>
    </row>
  </sheetData>
  <mergeCells count="5">
    <mergeCell ref="A2:B2"/>
    <mergeCell ref="A25:B25"/>
    <mergeCell ref="A36:B36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Z563"/>
  <sheetViews>
    <sheetView tabSelected="1" workbookViewId="0">
      <pane ySplit="1" topLeftCell="A271" activePane="bottomLeft" state="frozen"/>
      <selection pane="bottomLeft" activeCell="A291" sqref="A291:XFD291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8" width="12" customWidth="1"/>
    <col min="9" max="10" width="10" hidden="1" customWidth="1"/>
    <col min="11" max="13" width="10" customWidth="1"/>
    <col min="14" max="16" width="10" hidden="1" customWidth="1"/>
    <col min="17" max="22" width="10" customWidth="1"/>
    <col min="23" max="24" width="12" customWidth="1"/>
    <col min="25" max="26" width="9" hidden="1" customWidth="1"/>
    <col min="27" max="28" width="10" hidden="1" customWidth="1"/>
    <col min="29" max="30" width="10" customWidth="1"/>
    <col min="31" max="32" width="15" customWidth="1"/>
    <col min="33" max="33" width="14" customWidth="1"/>
    <col min="34" max="35" width="15" customWidth="1"/>
    <col min="36" max="36" width="18" customWidth="1"/>
    <col min="37" max="37" width="15" customWidth="1"/>
    <col min="38" max="38" width="16" customWidth="1"/>
    <col min="39" max="40" width="12" customWidth="1"/>
    <col min="41" max="41" width="15" customWidth="1"/>
    <col min="42" max="42" width="16" customWidth="1"/>
    <col min="43" max="43" width="17" customWidth="1"/>
    <col min="44" max="44" width="13" customWidth="1"/>
    <col min="45" max="46" width="12" customWidth="1"/>
    <col min="47" max="48" width="16" customWidth="1"/>
    <col min="49" max="49" width="15" customWidth="1"/>
    <col min="50" max="50" width="16" customWidth="1"/>
    <col min="51" max="51" width="18" customWidth="1"/>
    <col min="52" max="52" width="14" customWidth="1"/>
  </cols>
  <sheetData>
    <row r="1" spans="1:52" ht="21.95" customHeight="1" x14ac:dyDescent="0.25">
      <c r="A1" s="3" t="s">
        <v>48</v>
      </c>
      <c r="B1" s="3" t="s">
        <v>49</v>
      </c>
      <c r="C1" s="3" t="s">
        <v>2</v>
      </c>
      <c r="D1" s="3" t="s">
        <v>50</v>
      </c>
      <c r="E1" s="3" t="s">
        <v>51</v>
      </c>
      <c r="F1" s="3" t="s">
        <v>6</v>
      </c>
      <c r="G1" s="3" t="s">
        <v>52</v>
      </c>
      <c r="H1" s="3" t="s">
        <v>53</v>
      </c>
      <c r="I1" s="3" t="s">
        <v>54</v>
      </c>
      <c r="J1" s="3" t="s">
        <v>55</v>
      </c>
      <c r="K1" s="88" t="s">
        <v>594</v>
      </c>
      <c r="L1" s="88" t="s">
        <v>595</v>
      </c>
      <c r="M1" s="88" t="s">
        <v>593</v>
      </c>
      <c r="N1" s="90" t="s">
        <v>596</v>
      </c>
      <c r="O1" s="88" t="s">
        <v>597</v>
      </c>
      <c r="P1" s="88" t="s">
        <v>598</v>
      </c>
      <c r="Q1" s="3" t="s">
        <v>56</v>
      </c>
      <c r="R1" s="3" t="s">
        <v>57</v>
      </c>
      <c r="S1" s="87"/>
      <c r="T1" s="87"/>
      <c r="U1" s="3" t="s">
        <v>58</v>
      </c>
      <c r="V1" s="3" t="s">
        <v>59</v>
      </c>
      <c r="W1" s="3" t="s">
        <v>60</v>
      </c>
      <c r="X1" s="3" t="s">
        <v>61</v>
      </c>
      <c r="Y1" s="3" t="s">
        <v>62</v>
      </c>
      <c r="Z1" s="3" t="s">
        <v>63</v>
      </c>
      <c r="AA1" s="3" t="s">
        <v>64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69</v>
      </c>
      <c r="AG1" s="3" t="s">
        <v>70</v>
      </c>
      <c r="AH1" s="3" t="s">
        <v>71</v>
      </c>
      <c r="AI1" s="3" t="s">
        <v>72</v>
      </c>
      <c r="AJ1" s="3" t="s">
        <v>73</v>
      </c>
      <c r="AK1" s="3" t="s">
        <v>74</v>
      </c>
      <c r="AL1" s="3" t="s">
        <v>75</v>
      </c>
      <c r="AM1" s="3" t="s">
        <v>76</v>
      </c>
      <c r="AN1" s="3" t="s">
        <v>77</v>
      </c>
      <c r="AO1" s="3" t="s">
        <v>78</v>
      </c>
      <c r="AP1" s="3" t="s">
        <v>79</v>
      </c>
      <c r="AQ1" s="3" t="s">
        <v>80</v>
      </c>
      <c r="AR1" s="3" t="s">
        <v>81</v>
      </c>
      <c r="AS1" s="3" t="s">
        <v>82</v>
      </c>
      <c r="AT1" s="3" t="s">
        <v>83</v>
      </c>
      <c r="AU1" s="3" t="s">
        <v>84</v>
      </c>
      <c r="AV1" s="3" t="s">
        <v>85</v>
      </c>
      <c r="AW1" s="3" t="s">
        <v>86</v>
      </c>
      <c r="AX1" s="3" t="s">
        <v>87</v>
      </c>
      <c r="AY1" s="3" t="s">
        <v>88</v>
      </c>
      <c r="AZ1" s="3" t="s">
        <v>89</v>
      </c>
    </row>
    <row r="2" spans="1:52" ht="18" hidden="1" customHeight="1" x14ac:dyDescent="0.25">
      <c r="A2" s="4">
        <v>1</v>
      </c>
      <c r="B2" s="4">
        <v>1</v>
      </c>
      <c r="C2" s="4">
        <v>1</v>
      </c>
      <c r="D2" s="85">
        <v>43553</v>
      </c>
      <c r="E2" s="85">
        <v>43558</v>
      </c>
      <c r="F2" s="85">
        <v>43559</v>
      </c>
      <c r="G2" s="5">
        <v>11623.9</v>
      </c>
      <c r="H2" s="5">
        <v>11643.95</v>
      </c>
      <c r="I2" s="5">
        <v>20.05</v>
      </c>
      <c r="J2" s="6">
        <v>1.7248943986097609E-3</v>
      </c>
      <c r="K2" s="91">
        <f t="array" ref="K2">MAX(IF((D2&lt;[1]Nifty_D!$B$2:$B$6600)*(E2&gt;=[1]Nifty_D!$B$2:$B$6600),[1]Nifty_D!$F$2:$F$6600,""))</f>
        <v>11713.2</v>
      </c>
      <c r="L2" s="92">
        <f>K2/$G$2-1</f>
        <v>7.6824473713643648E-3</v>
      </c>
      <c r="M2" s="91">
        <f t="shared" ref="M2:M7" si="0">K2-$G$2</f>
        <v>89.300000000001091</v>
      </c>
      <c r="N2" s="93">
        <f t="array" ref="N2">INDEX([1]Nifty_D!$B$2:$B$6600,MATCH(E2,[1]Nifty_D!$B$2:$B$6600,0)-1)</f>
        <v>43557</v>
      </c>
      <c r="O2" s="89">
        <f>VLOOKUP(N2,[1]Nifty_D!$B$2:$F$6600,5,0)</f>
        <v>11713.2</v>
      </c>
      <c r="P2" s="92">
        <f t="shared" ref="P2:P7" si="1">O2/G2-1</f>
        <v>7.6824473713643648E-3</v>
      </c>
      <c r="Q2" s="7" t="s">
        <v>28</v>
      </c>
      <c r="R2" s="4">
        <v>11600</v>
      </c>
      <c r="S2" s="102"/>
      <c r="T2" s="102"/>
      <c r="U2" s="7" t="s">
        <v>90</v>
      </c>
      <c r="V2" s="4">
        <v>65</v>
      </c>
      <c r="W2" s="5">
        <v>100.45</v>
      </c>
      <c r="X2" s="5">
        <v>78.099999999999994</v>
      </c>
      <c r="Y2" s="8">
        <v>-0.65859999999999996</v>
      </c>
      <c r="Z2" s="8">
        <v>0.2964</v>
      </c>
      <c r="AA2" s="5">
        <v>22.35</v>
      </c>
      <c r="AB2" s="6">
        <v>1.9227625839864421E-3</v>
      </c>
      <c r="AC2" s="4">
        <v>0</v>
      </c>
      <c r="AD2" s="6">
        <v>0</v>
      </c>
      <c r="AE2" s="5">
        <v>18258.5</v>
      </c>
      <c r="AF2" s="5">
        <v>18136.2</v>
      </c>
      <c r="AG2" s="5">
        <v>-122.3</v>
      </c>
      <c r="AH2" s="5">
        <v>-0.66979999999999995</v>
      </c>
      <c r="AI2" s="4">
        <v>5</v>
      </c>
      <c r="AJ2" s="5">
        <v>-8.3333000000000004E-2</v>
      </c>
      <c r="AK2" s="5">
        <v>-137.5154</v>
      </c>
      <c r="AL2" s="5">
        <v>-0.75319999999999998</v>
      </c>
      <c r="AM2" s="8">
        <v>-0.90410000000000001</v>
      </c>
      <c r="AN2" s="8">
        <v>1.0361</v>
      </c>
      <c r="AO2" s="9">
        <v>-152.71539999999999</v>
      </c>
      <c r="AP2" s="9">
        <v>-0.88400000000000001</v>
      </c>
      <c r="AQ2" s="5">
        <v>99.116</v>
      </c>
      <c r="AR2" s="4">
        <v>100</v>
      </c>
      <c r="AS2" s="5">
        <v>-0.88400000000000001</v>
      </c>
      <c r="AT2" s="5">
        <v>-0.88400000000000001</v>
      </c>
      <c r="AU2" s="8">
        <v>-0.12790000000000001</v>
      </c>
      <c r="AV2" s="8">
        <v>-0.72689999999999999</v>
      </c>
      <c r="AW2" s="8">
        <v>-0.88400000000000001</v>
      </c>
      <c r="AX2" s="5">
        <v>99.116</v>
      </c>
      <c r="AY2" s="5">
        <v>-0.88400000000000001</v>
      </c>
      <c r="AZ2" s="7" t="s">
        <v>91</v>
      </c>
    </row>
    <row r="3" spans="1:52" ht="18" customHeight="1" x14ac:dyDescent="0.25">
      <c r="A3" s="10">
        <v>1</v>
      </c>
      <c r="B3" s="10">
        <v>2</v>
      </c>
      <c r="C3" s="10">
        <v>1</v>
      </c>
      <c r="D3" s="86">
        <v>43553</v>
      </c>
      <c r="E3" s="86">
        <v>43558</v>
      </c>
      <c r="F3" s="86">
        <v>43580</v>
      </c>
      <c r="G3" s="11">
        <v>11623.9</v>
      </c>
      <c r="H3" s="11">
        <v>11643.95</v>
      </c>
      <c r="I3" s="12"/>
      <c r="J3" s="12"/>
      <c r="K3" s="91">
        <f t="array" ref="K3">MAX(IF((D3&lt;[1]Nifty_D!$B$2:$B$6600)*(E3&gt;=[1]Nifty_D!$B$2:$B$6600),[1]Nifty_D!$F$2:$F$6600,""))</f>
        <v>11713.2</v>
      </c>
      <c r="L3" s="92">
        <f t="shared" ref="L3:L7" si="2">K3/$G$2-1</f>
        <v>7.6824473713643648E-3</v>
      </c>
      <c r="M3" s="91">
        <f t="shared" si="0"/>
        <v>89.300000000001091</v>
      </c>
      <c r="N3" s="93">
        <f t="array" ref="N3">INDEX([1]Nifty_D!$B$2:$B$6600,MATCH(E3,[1]Nifty_D!$B$2:$B$6600,0)-1)</f>
        <v>43557</v>
      </c>
      <c r="O3" s="89">
        <f>VLOOKUP(N3,[1]Nifty_D!$B$2:$F$6600,5,0)</f>
        <v>11713.2</v>
      </c>
      <c r="P3" s="92">
        <f t="shared" si="1"/>
        <v>7.6824473713643648E-3</v>
      </c>
      <c r="Q3" s="12" t="s">
        <v>40</v>
      </c>
      <c r="R3" s="10">
        <v>11500</v>
      </c>
      <c r="S3" s="103">
        <f>MROUND(G3,500)</f>
        <v>11500</v>
      </c>
      <c r="T3" s="103">
        <f>S3-R3</f>
        <v>0</v>
      </c>
      <c r="U3" s="12" t="s">
        <v>92</v>
      </c>
      <c r="V3" s="10">
        <v>65</v>
      </c>
      <c r="W3" s="11">
        <v>123.85</v>
      </c>
      <c r="X3" s="11">
        <v>86.3</v>
      </c>
      <c r="Y3" s="13">
        <v>-0.50539999999999996</v>
      </c>
      <c r="Z3" s="13">
        <v>-0.1192</v>
      </c>
      <c r="AA3" s="10">
        <v>0</v>
      </c>
      <c r="AB3" s="14">
        <v>0</v>
      </c>
      <c r="AC3" s="11">
        <v>-37.549999999999997</v>
      </c>
      <c r="AD3" s="14">
        <v>-3.2304132003888541E-3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 t="s">
        <v>91</v>
      </c>
    </row>
    <row r="4" spans="1:52" ht="18" hidden="1" customHeight="1" x14ac:dyDescent="0.25">
      <c r="A4" s="4">
        <v>2</v>
      </c>
      <c r="B4" s="4">
        <v>1</v>
      </c>
      <c r="C4" s="4">
        <v>2</v>
      </c>
      <c r="D4" s="85">
        <v>43558</v>
      </c>
      <c r="E4" s="85">
        <v>43565</v>
      </c>
      <c r="F4" s="85">
        <v>43566</v>
      </c>
      <c r="G4" s="5">
        <v>11643.95</v>
      </c>
      <c r="H4" s="5">
        <v>11584.3</v>
      </c>
      <c r="I4" s="5">
        <v>-59.65</v>
      </c>
      <c r="J4" s="6">
        <v>-5.1228320286500709E-3</v>
      </c>
      <c r="K4" s="91">
        <f t="array" ref="K4">MAX(IF((D4&lt;[1]Nifty_D!$B$2:$B$6600)*(E4&gt;=[1]Nifty_D!$B$2:$B$6600),[1]Nifty_D!$F$2:$F$6600,""))</f>
        <v>11671.95</v>
      </c>
      <c r="L4" s="92">
        <f t="shared" si="2"/>
        <v>4.1337244814563245E-3</v>
      </c>
      <c r="M4" s="91">
        <f t="shared" si="0"/>
        <v>48.050000000001091</v>
      </c>
      <c r="N4" s="93">
        <f t="array" ref="N4">INDEX([1]Nifty_D!$B$2:$B$6600,MATCH(E4,[1]Nifty_D!$B$2:$B$6600,0)-1)</f>
        <v>43564</v>
      </c>
      <c r="O4" s="89">
        <f>VLOOKUP(N4,[1]Nifty_D!$B$2:$F$6600,5,0)</f>
        <v>11671.95</v>
      </c>
      <c r="P4" s="92">
        <f t="shared" si="1"/>
        <v>2.4046822598859929E-3</v>
      </c>
      <c r="Q4" s="7" t="s">
        <v>28</v>
      </c>
      <c r="R4" s="4">
        <v>11600</v>
      </c>
      <c r="S4" s="102"/>
      <c r="T4" s="102"/>
      <c r="U4" s="7" t="s">
        <v>90</v>
      </c>
      <c r="V4" s="4">
        <v>65</v>
      </c>
      <c r="W4" s="5">
        <v>146.25</v>
      </c>
      <c r="X4" s="5">
        <v>33.6</v>
      </c>
      <c r="Y4" s="8">
        <v>-0.1426</v>
      </c>
      <c r="Z4" s="8">
        <v>1.0173000000000001</v>
      </c>
      <c r="AA4" s="5">
        <v>112.65</v>
      </c>
      <c r="AB4" s="6">
        <v>9.6745520205772095E-3</v>
      </c>
      <c r="AC4" s="4">
        <v>0</v>
      </c>
      <c r="AD4" s="6">
        <v>0</v>
      </c>
      <c r="AE4" s="5">
        <v>18136.2</v>
      </c>
      <c r="AF4" s="5">
        <v>18075.650000000001</v>
      </c>
      <c r="AG4" s="5">
        <v>-60.55</v>
      </c>
      <c r="AH4" s="5">
        <v>-0.33389999999999997</v>
      </c>
      <c r="AI4" s="4">
        <v>7</v>
      </c>
      <c r="AJ4" s="5">
        <v>-0.11666700000000001</v>
      </c>
      <c r="AK4" s="5">
        <v>-81.7089</v>
      </c>
      <c r="AL4" s="5">
        <v>-0.45050000000000001</v>
      </c>
      <c r="AM4" s="8">
        <v>-1.1991000000000001</v>
      </c>
      <c r="AN4" s="8">
        <v>0.9093</v>
      </c>
      <c r="AO4" s="15">
        <v>13.741099999999999</v>
      </c>
      <c r="AP4" s="15">
        <v>0.36919999999999997</v>
      </c>
      <c r="AQ4" s="5">
        <v>99.481899999999996</v>
      </c>
      <c r="AR4" s="4">
        <v>100</v>
      </c>
      <c r="AS4" s="5">
        <v>-0.5181</v>
      </c>
      <c r="AT4" s="5">
        <v>-0.5181</v>
      </c>
      <c r="AU4" s="8">
        <v>0.4451</v>
      </c>
      <c r="AV4" s="8">
        <v>-6.7599999999999993E-2</v>
      </c>
      <c r="AW4" s="8">
        <v>-6.7599999999999993E-2</v>
      </c>
      <c r="AX4" s="5">
        <v>99.049000000000007</v>
      </c>
      <c r="AY4" s="5">
        <v>-0.95099999999999996</v>
      </c>
      <c r="AZ4" s="7" t="s">
        <v>91</v>
      </c>
    </row>
    <row r="5" spans="1:52" ht="18" customHeight="1" x14ac:dyDescent="0.25">
      <c r="A5" s="10">
        <v>2</v>
      </c>
      <c r="B5" s="10">
        <v>2</v>
      </c>
      <c r="C5" s="10">
        <v>2</v>
      </c>
      <c r="D5" s="86">
        <v>43558</v>
      </c>
      <c r="E5" s="86">
        <v>43565</v>
      </c>
      <c r="F5" s="86">
        <v>43580</v>
      </c>
      <c r="G5" s="11">
        <v>11643.95</v>
      </c>
      <c r="H5" s="11">
        <v>11584.3</v>
      </c>
      <c r="I5" s="12"/>
      <c r="J5" s="12"/>
      <c r="K5" s="91">
        <f t="array" ref="K5">MAX(IF((D5&lt;[1]Nifty_D!$B$2:$B$6600)*(E5&gt;=[1]Nifty_D!$B$2:$B$6600),[1]Nifty_D!$F$2:$F$6600,""))</f>
        <v>11671.95</v>
      </c>
      <c r="L5" s="92">
        <f t="shared" si="2"/>
        <v>4.1337244814563245E-3</v>
      </c>
      <c r="M5" s="91">
        <f t="shared" si="0"/>
        <v>48.050000000001091</v>
      </c>
      <c r="N5" s="93">
        <f t="array" ref="N5">INDEX([1]Nifty_D!$B$2:$B$6600,MATCH(E5,[1]Nifty_D!$B$2:$B$6600,0)-1)</f>
        <v>43564</v>
      </c>
      <c r="O5" s="89">
        <f>VLOOKUP(N5,[1]Nifty_D!$B$2:$F$6600,5,0)</f>
        <v>11671.95</v>
      </c>
      <c r="P5" s="92">
        <f t="shared" si="1"/>
        <v>2.4046822598859929E-3</v>
      </c>
      <c r="Q5" s="12" t="s">
        <v>40</v>
      </c>
      <c r="R5" s="10">
        <v>11500</v>
      </c>
      <c r="S5" s="103">
        <f>MROUND(G5,500)</f>
        <v>11500</v>
      </c>
      <c r="T5" s="103">
        <f>S5-R5</f>
        <v>0</v>
      </c>
      <c r="U5" s="12" t="s">
        <v>92</v>
      </c>
      <c r="V5" s="10">
        <v>65</v>
      </c>
      <c r="W5" s="11">
        <v>86.3</v>
      </c>
      <c r="X5" s="11">
        <v>69.099999999999994</v>
      </c>
      <c r="Y5" s="13">
        <v>-0.3216</v>
      </c>
      <c r="Z5" s="13">
        <v>0.1142</v>
      </c>
      <c r="AA5" s="10">
        <v>0</v>
      </c>
      <c r="AB5" s="14">
        <v>0</v>
      </c>
      <c r="AC5" s="11">
        <v>-17.2</v>
      </c>
      <c r="AD5" s="14">
        <v>-1.477161959644279E-3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 t="s">
        <v>91</v>
      </c>
    </row>
    <row r="6" spans="1:52" ht="18" hidden="1" customHeight="1" x14ac:dyDescent="0.25">
      <c r="A6" s="4">
        <v>3</v>
      </c>
      <c r="B6" s="4">
        <v>1</v>
      </c>
      <c r="C6" s="4">
        <v>3</v>
      </c>
      <c r="D6" s="85">
        <v>43565</v>
      </c>
      <c r="E6" s="85">
        <v>43571</v>
      </c>
      <c r="F6" s="85">
        <v>43573</v>
      </c>
      <c r="G6" s="5">
        <v>11584.3</v>
      </c>
      <c r="H6" s="5">
        <v>11787.15</v>
      </c>
      <c r="I6" s="5">
        <v>202.85</v>
      </c>
      <c r="J6" s="6">
        <v>1.7510768885474311E-2</v>
      </c>
      <c r="K6" s="91">
        <f t="array" ref="K6">MAX(IF((D6&lt;[1]Nifty_D!$B$2:$B$6600)*(E6&gt;=[1]Nifty_D!$B$2:$B$6600),[1]Nifty_D!$F$2:$F$6600,""))</f>
        <v>11787.15</v>
      </c>
      <c r="L6" s="92">
        <f t="shared" si="2"/>
        <v>1.4044339679453621E-2</v>
      </c>
      <c r="M6" s="91">
        <f t="shared" si="0"/>
        <v>163.25</v>
      </c>
      <c r="N6" s="93">
        <f>INDEX([1]Nifty_D!$B$2:$B$6600,MATCH(E6,[1]Nifty_D!$B$2:$B$6600,0)-1)</f>
        <v>43570</v>
      </c>
      <c r="O6" s="89">
        <f>VLOOKUP(N6,[1]Nifty_D!$B$2:$F$6600,5,0)</f>
        <v>11690.35</v>
      </c>
      <c r="P6" s="92">
        <f t="shared" si="1"/>
        <v>9.1546316998007971E-3</v>
      </c>
      <c r="Q6" s="7" t="s">
        <v>28</v>
      </c>
      <c r="R6" s="4">
        <v>11600</v>
      </c>
      <c r="S6" s="102"/>
      <c r="T6" s="102"/>
      <c r="U6" s="7" t="s">
        <v>90</v>
      </c>
      <c r="V6" s="4">
        <v>65</v>
      </c>
      <c r="W6" s="5">
        <v>100.4</v>
      </c>
      <c r="X6" s="5">
        <v>193.15</v>
      </c>
      <c r="Y6" s="8">
        <v>-0.99790000000000001</v>
      </c>
      <c r="Z6" s="8">
        <v>0.34010000000000001</v>
      </c>
      <c r="AA6" s="5">
        <v>-92.75</v>
      </c>
      <c r="AB6" s="6">
        <v>-8.0065260740830261E-3</v>
      </c>
      <c r="AC6" s="4">
        <v>0</v>
      </c>
      <c r="AD6" s="6">
        <v>0</v>
      </c>
      <c r="AE6" s="5">
        <v>18075.650000000001</v>
      </c>
      <c r="AF6" s="5">
        <v>18248.45</v>
      </c>
      <c r="AG6" s="5">
        <v>172.8</v>
      </c>
      <c r="AH6" s="5">
        <v>0.95599999999999996</v>
      </c>
      <c r="AI6" s="4">
        <v>6</v>
      </c>
      <c r="AJ6" s="5">
        <v>-0.1</v>
      </c>
      <c r="AK6" s="5">
        <v>154.7243</v>
      </c>
      <c r="AL6" s="5">
        <v>0.85599999999999998</v>
      </c>
      <c r="AM6" s="8">
        <v>-0.49790000000000001</v>
      </c>
      <c r="AN6" s="8">
        <v>1.2597</v>
      </c>
      <c r="AO6" s="15">
        <v>4.6242999999999999</v>
      </c>
      <c r="AP6" s="15">
        <v>-0.43969999999999998</v>
      </c>
      <c r="AQ6" s="5">
        <v>99.044499999999999</v>
      </c>
      <c r="AR6" s="4">
        <v>100</v>
      </c>
      <c r="AS6" s="5">
        <v>-0.95550000000000002</v>
      </c>
      <c r="AT6" s="5">
        <v>-0.95550000000000002</v>
      </c>
      <c r="AU6" s="8">
        <v>-0.24410000000000001</v>
      </c>
      <c r="AV6" s="8">
        <v>-8.1000000000000003E-2</v>
      </c>
      <c r="AW6" s="8">
        <v>-0.43969999999999998</v>
      </c>
      <c r="AX6" s="5">
        <v>99.044499999999999</v>
      </c>
      <c r="AY6" s="5">
        <v>-0.95550000000000002</v>
      </c>
      <c r="AZ6" s="7" t="s">
        <v>93</v>
      </c>
    </row>
    <row r="7" spans="1:52" ht="18" customHeight="1" x14ac:dyDescent="0.25">
      <c r="A7" s="10">
        <v>3</v>
      </c>
      <c r="B7" s="10">
        <v>2</v>
      </c>
      <c r="C7" s="10">
        <v>3</v>
      </c>
      <c r="D7" s="86">
        <v>43565</v>
      </c>
      <c r="E7" s="86">
        <v>43571</v>
      </c>
      <c r="F7" s="86">
        <v>43580</v>
      </c>
      <c r="G7" s="11">
        <v>11584.3</v>
      </c>
      <c r="H7" s="11">
        <v>11787.15</v>
      </c>
      <c r="I7" s="12"/>
      <c r="J7" s="12"/>
      <c r="K7" s="91">
        <f t="array" ref="K7">MAX(IF((D7&lt;[1]Nifty_D!$B$2:$B$6600)*(E7&gt;=[1]Nifty_D!$B$2:$B$6600),[1]Nifty_D!$F$2:$F$6600,""))</f>
        <v>11787.15</v>
      </c>
      <c r="L7" s="92">
        <f t="shared" si="2"/>
        <v>1.4044339679453621E-2</v>
      </c>
      <c r="M7" s="91">
        <f t="shared" si="0"/>
        <v>163.25</v>
      </c>
      <c r="N7" s="93">
        <f t="array" ref="N7">INDEX([1]Nifty_D!$B$2:$B$6600,MATCH(E7,[1]Nifty_D!$B$2:$B$6600,0)-1)</f>
        <v>43570</v>
      </c>
      <c r="O7" s="89">
        <f>VLOOKUP(N7,[1]Nifty_D!$B$2:$F$6600,5,0)</f>
        <v>11690.35</v>
      </c>
      <c r="P7" s="92">
        <f t="shared" si="1"/>
        <v>9.1546316998007971E-3</v>
      </c>
      <c r="Q7" s="12" t="s">
        <v>40</v>
      </c>
      <c r="R7" s="10">
        <v>11500</v>
      </c>
      <c r="S7" s="103">
        <f>MROUND(G7,500)</f>
        <v>11500</v>
      </c>
      <c r="T7" s="103">
        <f>S7-R7</f>
        <v>0</v>
      </c>
      <c r="U7" s="12" t="s">
        <v>92</v>
      </c>
      <c r="V7" s="10">
        <v>65</v>
      </c>
      <c r="W7" s="11">
        <v>69.099999999999994</v>
      </c>
      <c r="X7" s="11">
        <v>11.75</v>
      </c>
      <c r="Y7" s="13">
        <v>-0.50590000000000002</v>
      </c>
      <c r="Z7" s="13">
        <v>7.6799999999999993E-2</v>
      </c>
      <c r="AA7" s="10">
        <v>0</v>
      </c>
      <c r="AB7" s="14">
        <v>0</v>
      </c>
      <c r="AC7" s="11">
        <v>-57.35</v>
      </c>
      <c r="AD7" s="14">
        <v>-4.9506659875866478E-3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 t="s">
        <v>93</v>
      </c>
    </row>
    <row r="8" spans="1:52" ht="18" hidden="1" customHeight="1" x14ac:dyDescent="0.25">
      <c r="A8" s="4">
        <v>4</v>
      </c>
      <c r="B8" s="4">
        <v>1</v>
      </c>
      <c r="C8" s="4">
        <v>4</v>
      </c>
      <c r="D8" s="85">
        <v>43571</v>
      </c>
      <c r="E8" s="85">
        <v>43579</v>
      </c>
      <c r="F8" s="85">
        <v>43580</v>
      </c>
      <c r="G8" s="5">
        <v>11787.15</v>
      </c>
      <c r="H8" s="5">
        <v>11726.15</v>
      </c>
      <c r="I8" s="4">
        <v>-61</v>
      </c>
      <c r="J8" s="6">
        <v>-5.1751271511773413E-3</v>
      </c>
      <c r="K8" s="91">
        <f t="array" ref="K8">MAX(IF((D8&lt;[1]Nifty_D!$B$2:$B$6600)*(E8&gt;=[1]Nifty_D!$B$2:$B$6600),[1]Nifty_D!$F$2:$F$6600,""))</f>
        <v>11752.8</v>
      </c>
      <c r="L8" s="92">
        <f>K8/$G$8-1</f>
        <v>-2.9141904531629903E-3</v>
      </c>
      <c r="M8" s="91">
        <f t="shared" ref="M8:M71" si="3">K8-$G$2</f>
        <v>128.89999999999964</v>
      </c>
      <c r="N8" s="93">
        <f t="array" ref="N8">INDEX([1]Nifty_D!$B$2:$B$6600,MATCH(E8,[1]Nifty_D!$B$2:$B$6600,0)-1)</f>
        <v>43578</v>
      </c>
      <c r="O8" s="89">
        <f>VLOOKUP(N8,[1]Nifty_D!$B$2:$F$6600,5,0)</f>
        <v>11575.95</v>
      </c>
      <c r="P8" s="92">
        <f t="shared" ref="P8:P71" si="4">O8/G8-1</f>
        <v>-1.7917817284076265E-2</v>
      </c>
      <c r="Q8" s="7" t="s">
        <v>28</v>
      </c>
      <c r="R8" s="4">
        <v>11800</v>
      </c>
      <c r="S8" s="102"/>
      <c r="T8" s="102"/>
      <c r="U8" s="7" t="s">
        <v>90</v>
      </c>
      <c r="V8" s="4">
        <v>65</v>
      </c>
      <c r="W8" s="5">
        <v>85.45</v>
      </c>
      <c r="X8" s="5">
        <v>8.0500000000000007</v>
      </c>
      <c r="Y8" s="8">
        <v>-0.21759999999999999</v>
      </c>
      <c r="Z8" s="8">
        <v>0.71560000000000001</v>
      </c>
      <c r="AA8" s="5">
        <v>77.400000000000006</v>
      </c>
      <c r="AB8" s="6">
        <v>6.5664728114938732E-3</v>
      </c>
      <c r="AC8" s="4">
        <v>0</v>
      </c>
      <c r="AD8" s="6">
        <v>0</v>
      </c>
      <c r="AE8" s="5">
        <v>18248.45</v>
      </c>
      <c r="AF8" s="5">
        <v>17844.45</v>
      </c>
      <c r="AG8" s="4">
        <v>-404</v>
      </c>
      <c r="AH8" s="5">
        <v>-2.2139000000000002</v>
      </c>
      <c r="AI8" s="4">
        <v>8</v>
      </c>
      <c r="AJ8" s="5">
        <v>-0.13333300000000001</v>
      </c>
      <c r="AK8" s="5">
        <v>-428.3313</v>
      </c>
      <c r="AL8" s="5">
        <v>-2.3472</v>
      </c>
      <c r="AM8" s="8">
        <v>-3.1349</v>
      </c>
      <c r="AN8" s="8">
        <v>0.27429999999999999</v>
      </c>
      <c r="AO8" s="9">
        <v>-281.78129999999999</v>
      </c>
      <c r="AP8" s="9">
        <v>-1.1039000000000001</v>
      </c>
      <c r="AQ8" s="5">
        <v>97.9512</v>
      </c>
      <c r="AR8" s="4">
        <v>100</v>
      </c>
      <c r="AS8" s="5">
        <v>-2.0488</v>
      </c>
      <c r="AT8" s="5">
        <v>-2.0488</v>
      </c>
      <c r="AU8" s="8">
        <v>-0.16300000000000001</v>
      </c>
      <c r="AV8" s="8">
        <v>-0.47989999999999999</v>
      </c>
      <c r="AW8" s="8">
        <v>-1.1039000000000001</v>
      </c>
      <c r="AX8" s="5">
        <v>97.9512</v>
      </c>
      <c r="AY8" s="5">
        <v>-2.0488</v>
      </c>
      <c r="AZ8" s="7" t="s">
        <v>91</v>
      </c>
    </row>
    <row r="9" spans="1:52" ht="18" customHeight="1" x14ac:dyDescent="0.25">
      <c r="A9" s="10">
        <v>4</v>
      </c>
      <c r="B9" s="10">
        <v>2</v>
      </c>
      <c r="C9" s="10">
        <v>4</v>
      </c>
      <c r="D9" s="86">
        <v>43571</v>
      </c>
      <c r="E9" s="86">
        <v>43579</v>
      </c>
      <c r="F9" s="86">
        <v>43580</v>
      </c>
      <c r="G9" s="11">
        <v>11787.15</v>
      </c>
      <c r="H9" s="11">
        <v>11726.15</v>
      </c>
      <c r="I9" s="12"/>
      <c r="J9" s="12"/>
      <c r="K9" s="91">
        <f t="array" ref="K9">MAX(IF((D9&lt;[1]Nifty_D!$B$2:$B$6600)*(E9&gt;=[1]Nifty_D!$B$2:$B$6600),[1]Nifty_D!$F$2:$F$6600,""))</f>
        <v>11752.8</v>
      </c>
      <c r="L9" s="92">
        <f>K9/$G$8-1</f>
        <v>-2.9141904531629903E-3</v>
      </c>
      <c r="M9" s="91">
        <f t="shared" si="3"/>
        <v>128.89999999999964</v>
      </c>
      <c r="N9" s="93">
        <f t="array" ref="N9">INDEX([1]Nifty_D!$B$2:$B$6600,MATCH(E9,[1]Nifty_D!$B$2:$B$6600,0)-1)</f>
        <v>43578</v>
      </c>
      <c r="O9" s="89">
        <f>VLOOKUP(N9,[1]Nifty_D!$B$2:$F$6600,5,0)</f>
        <v>11575.95</v>
      </c>
      <c r="P9" s="92">
        <f t="shared" si="4"/>
        <v>-1.7917817284076265E-2</v>
      </c>
      <c r="Q9" s="12" t="s">
        <v>40</v>
      </c>
      <c r="R9" s="10">
        <v>12000</v>
      </c>
      <c r="S9" s="103">
        <f>MROUND(G9,500)</f>
        <v>12000</v>
      </c>
      <c r="T9" s="103">
        <f>S9-R9</f>
        <v>0</v>
      </c>
      <c r="U9" s="12" t="s">
        <v>92</v>
      </c>
      <c r="V9" s="10">
        <v>65</v>
      </c>
      <c r="W9" s="11">
        <v>189.6</v>
      </c>
      <c r="X9" s="11">
        <v>258.75</v>
      </c>
      <c r="Y9" s="13">
        <v>-0.21970000000000001</v>
      </c>
      <c r="Z9" s="13">
        <v>1.9394</v>
      </c>
      <c r="AA9" s="10">
        <v>0</v>
      </c>
      <c r="AB9" s="14">
        <v>0</v>
      </c>
      <c r="AC9" s="11">
        <v>69.150000000000006</v>
      </c>
      <c r="AD9" s="14">
        <v>5.8665580738346424E-3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 t="s">
        <v>91</v>
      </c>
    </row>
    <row r="10" spans="1:52" ht="18" hidden="1" customHeight="1" x14ac:dyDescent="0.25">
      <c r="A10" s="4">
        <v>5</v>
      </c>
      <c r="B10" s="4">
        <v>1</v>
      </c>
      <c r="C10" s="4">
        <v>5</v>
      </c>
      <c r="D10" s="85">
        <v>43579</v>
      </c>
      <c r="E10" s="85">
        <v>43585</v>
      </c>
      <c r="F10" s="85">
        <v>43587</v>
      </c>
      <c r="G10" s="5">
        <v>11726.15</v>
      </c>
      <c r="H10" s="5">
        <v>11748.15</v>
      </c>
      <c r="I10" s="4">
        <v>22</v>
      </c>
      <c r="J10" s="6">
        <v>1.876148608025652E-3</v>
      </c>
      <c r="K10" s="91">
        <f t="array" ref="K10">MAX(IF((D10&lt;[1]Nifty_D!$B$2:$B$6600)*(E10&gt;=[1]Nifty_D!$B$2:$B$6600),[1]Nifty_D!$F$2:$F$6600,""))</f>
        <v>11754.65</v>
      </c>
      <c r="L10" s="92">
        <f>K10/$G$10-1</f>
        <v>2.4304652422151296E-3</v>
      </c>
      <c r="M10" s="91">
        <f t="shared" si="3"/>
        <v>130.75</v>
      </c>
      <c r="N10" s="93">
        <f t="array" ref="N10">INDEX([1]Nifty_D!$B$2:$B$6600,MATCH(E10,[1]Nifty_D!$B$2:$B$6600,0)-1)</f>
        <v>43581</v>
      </c>
      <c r="O10" s="89">
        <f>VLOOKUP(N10,[1]Nifty_D!$B$2:$F$6600,5,0)</f>
        <v>11754.65</v>
      </c>
      <c r="P10" s="92">
        <f t="shared" si="4"/>
        <v>2.4304652422151296E-3</v>
      </c>
      <c r="Q10" s="7" t="s">
        <v>28</v>
      </c>
      <c r="R10" s="4">
        <v>11700</v>
      </c>
      <c r="S10" s="102"/>
      <c r="T10" s="102"/>
      <c r="U10" s="7" t="s">
        <v>90</v>
      </c>
      <c r="V10" s="4">
        <v>65</v>
      </c>
      <c r="W10" s="5">
        <v>88.25</v>
      </c>
      <c r="X10" s="4">
        <v>52</v>
      </c>
      <c r="Y10" s="8">
        <v>-0.28739999999999999</v>
      </c>
      <c r="Z10" s="8">
        <v>0.52110000000000001</v>
      </c>
      <c r="AA10" s="5">
        <v>36.25</v>
      </c>
      <c r="AB10" s="6">
        <v>3.0913812291331771E-3</v>
      </c>
      <c r="AC10" s="4">
        <v>0</v>
      </c>
      <c r="AD10" s="6">
        <v>0</v>
      </c>
      <c r="AE10" s="5">
        <v>17844.45</v>
      </c>
      <c r="AF10" s="5">
        <v>17566.400000000001</v>
      </c>
      <c r="AG10" s="5">
        <v>-278.05</v>
      </c>
      <c r="AH10" s="5">
        <v>-1.5582</v>
      </c>
      <c r="AI10" s="4">
        <v>6</v>
      </c>
      <c r="AJ10" s="5">
        <v>-0.1</v>
      </c>
      <c r="AK10" s="5">
        <v>-295.89440000000002</v>
      </c>
      <c r="AL10" s="5">
        <v>-1.6581999999999999</v>
      </c>
      <c r="AM10" s="8">
        <v>-2.4403000000000001</v>
      </c>
      <c r="AN10" s="8">
        <v>0.59299999999999997</v>
      </c>
      <c r="AO10" s="9">
        <v>-300.7944</v>
      </c>
      <c r="AP10" s="9">
        <v>-1.7</v>
      </c>
      <c r="AQ10" s="5">
        <v>96.286000000000001</v>
      </c>
      <c r="AR10" s="4">
        <v>100</v>
      </c>
      <c r="AS10" s="5">
        <v>-3.714</v>
      </c>
      <c r="AT10" s="5">
        <v>-3.714</v>
      </c>
      <c r="AU10" s="8">
        <v>-6.6199999999999995E-2</v>
      </c>
      <c r="AV10" s="8">
        <v>-1.7144999999999999</v>
      </c>
      <c r="AW10" s="8">
        <v>-1.7144999999999999</v>
      </c>
      <c r="AX10" s="5">
        <v>96.271799999999999</v>
      </c>
      <c r="AY10" s="5">
        <v>-3.7282000000000002</v>
      </c>
      <c r="AZ10" s="7" t="s">
        <v>91</v>
      </c>
    </row>
    <row r="11" spans="1:52" ht="18" customHeight="1" x14ac:dyDescent="0.25">
      <c r="A11" s="10">
        <v>5</v>
      </c>
      <c r="B11" s="10">
        <v>2</v>
      </c>
      <c r="C11" s="10">
        <v>5</v>
      </c>
      <c r="D11" s="86">
        <v>43579</v>
      </c>
      <c r="E11" s="86">
        <v>43585</v>
      </c>
      <c r="F11" s="86">
        <v>43615</v>
      </c>
      <c r="G11" s="11">
        <v>11726.15</v>
      </c>
      <c r="H11" s="11">
        <v>11748.15</v>
      </c>
      <c r="I11" s="12"/>
      <c r="J11" s="12"/>
      <c r="K11" s="91">
        <f t="array" ref="K11">MAX(IF((D11&lt;[1]Nifty_D!$B$2:$B$6600)*(E11&gt;=[1]Nifty_D!$B$2:$B$6600),[1]Nifty_D!$F$2:$F$6600,""))</f>
        <v>11754.65</v>
      </c>
      <c r="L11" s="92">
        <f>K11/$G$10-1</f>
        <v>2.4304652422151296E-3</v>
      </c>
      <c r="M11" s="91">
        <f t="shared" si="3"/>
        <v>130.75</v>
      </c>
      <c r="N11" s="93">
        <f t="array" ref="N11">INDEX([1]Nifty_D!$B$2:$B$6600,MATCH(E11,[1]Nifty_D!$B$2:$B$6600,0)-1)</f>
        <v>43581</v>
      </c>
      <c r="O11" s="89">
        <f>VLOOKUP(N11,[1]Nifty_D!$B$2:$F$6600,5,0)</f>
        <v>11754.65</v>
      </c>
      <c r="P11" s="92">
        <f t="shared" si="4"/>
        <v>2.4304652422151296E-3</v>
      </c>
      <c r="Q11" s="12" t="s">
        <v>40</v>
      </c>
      <c r="R11" s="10">
        <v>11500</v>
      </c>
      <c r="S11" s="103">
        <f>MROUND(G11,500)</f>
        <v>11500</v>
      </c>
      <c r="T11" s="103">
        <f>S11-R11</f>
        <v>0</v>
      </c>
      <c r="U11" s="12" t="s">
        <v>92</v>
      </c>
      <c r="V11" s="10">
        <v>65</v>
      </c>
      <c r="W11" s="11">
        <v>222.6</v>
      </c>
      <c r="X11" s="11">
        <v>181.45</v>
      </c>
      <c r="Y11" s="13">
        <v>-0.37180000000000002</v>
      </c>
      <c r="Z11" s="13">
        <v>0.20469999999999999</v>
      </c>
      <c r="AA11" s="10">
        <v>0</v>
      </c>
      <c r="AB11" s="14">
        <v>0</v>
      </c>
      <c r="AC11" s="11">
        <v>-41.15</v>
      </c>
      <c r="AD11" s="14">
        <v>-3.509250691829799E-3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 t="s">
        <v>91</v>
      </c>
    </row>
    <row r="12" spans="1:52" ht="18" hidden="1" customHeight="1" x14ac:dyDescent="0.25">
      <c r="A12" s="4">
        <v>6</v>
      </c>
      <c r="B12" s="4">
        <v>1</v>
      </c>
      <c r="C12" s="4">
        <v>6</v>
      </c>
      <c r="D12" s="85">
        <v>43585</v>
      </c>
      <c r="E12" s="85">
        <v>43593</v>
      </c>
      <c r="F12" s="85">
        <v>43594</v>
      </c>
      <c r="G12" s="5">
        <v>11748.15</v>
      </c>
      <c r="H12" s="5">
        <v>11359.45</v>
      </c>
      <c r="I12" s="5">
        <v>-388.7</v>
      </c>
      <c r="J12" s="6">
        <v>-3.3086060358439411E-2</v>
      </c>
      <c r="K12" s="91">
        <f t="array" ref="K12">MAX(IF((D12&lt;[1]Nifty_D!$B$2:$B$6600)*(E12&gt;=[1]Nifty_D!$B$2:$B$6600),[1]Nifty_D!$F$2:$F$6600,""))</f>
        <v>11724.75</v>
      </c>
      <c r="L12" s="92">
        <f>K12/$G$10-1</f>
        <v>-1.1939127505611324E-4</v>
      </c>
      <c r="M12" s="91">
        <f t="shared" si="3"/>
        <v>100.85000000000036</v>
      </c>
      <c r="N12" s="93">
        <f t="array" ref="N12">INDEX([1]Nifty_D!$B$2:$B$6600,MATCH(E12,[1]Nifty_D!$B$2:$B$6600,0)-1)</f>
        <v>43592</v>
      </c>
      <c r="O12" s="89">
        <f>VLOOKUP(N12,[1]Nifty_D!$B$2:$F$6600,5,0)</f>
        <v>11497.9</v>
      </c>
      <c r="P12" s="92">
        <f t="shared" si="4"/>
        <v>-2.1301226150500341E-2</v>
      </c>
      <c r="Q12" s="7" t="s">
        <v>28</v>
      </c>
      <c r="R12" s="4">
        <v>11700</v>
      </c>
      <c r="S12" s="102"/>
      <c r="T12" s="102"/>
      <c r="U12" s="7" t="s">
        <v>90</v>
      </c>
      <c r="V12" s="4">
        <v>65</v>
      </c>
      <c r="W12" s="4">
        <v>103</v>
      </c>
      <c r="X12" s="5">
        <v>1.35</v>
      </c>
      <c r="Y12" s="8">
        <v>-0.10979999999999999</v>
      </c>
      <c r="Z12" s="8">
        <v>0.86739999999999995</v>
      </c>
      <c r="AA12" s="5">
        <v>101.65</v>
      </c>
      <c r="AB12" s="6">
        <v>8.652426126666753E-3</v>
      </c>
      <c r="AC12" s="4">
        <v>0</v>
      </c>
      <c r="AD12" s="6">
        <v>0</v>
      </c>
      <c r="AE12" s="5">
        <v>17566.400000000001</v>
      </c>
      <c r="AF12" s="5">
        <v>16965.2</v>
      </c>
      <c r="AG12" s="5">
        <v>-601.20000000000005</v>
      </c>
      <c r="AH12" s="5">
        <v>-3.4224000000000001</v>
      </c>
      <c r="AI12" s="4">
        <v>8</v>
      </c>
      <c r="AJ12" s="5">
        <v>-0.13333300000000001</v>
      </c>
      <c r="AK12" s="5">
        <v>-624.62189999999998</v>
      </c>
      <c r="AL12" s="5">
        <v>-3.5558000000000001</v>
      </c>
      <c r="AM12" s="8">
        <v>-3.6911999999999998</v>
      </c>
      <c r="AN12" s="8">
        <v>0.1804</v>
      </c>
      <c r="AO12" s="9">
        <v>-343.02190000000002</v>
      </c>
      <c r="AP12" s="9">
        <v>-1.1588000000000001</v>
      </c>
      <c r="AQ12" s="5">
        <v>95.170199999999994</v>
      </c>
      <c r="AR12" s="4">
        <v>100</v>
      </c>
      <c r="AS12" s="5">
        <v>-4.8297999999999996</v>
      </c>
      <c r="AT12" s="5">
        <v>-4.8297999999999996</v>
      </c>
      <c r="AU12" s="8">
        <v>0.04</v>
      </c>
      <c r="AV12" s="8">
        <v>-1.2261</v>
      </c>
      <c r="AW12" s="8">
        <v>-1.2261</v>
      </c>
      <c r="AX12" s="5">
        <v>95.105400000000003</v>
      </c>
      <c r="AY12" s="5">
        <v>-4.8945999999999996</v>
      </c>
      <c r="AZ12" s="7" t="s">
        <v>91</v>
      </c>
    </row>
    <row r="13" spans="1:52" ht="18" customHeight="1" x14ac:dyDescent="0.25">
      <c r="A13" s="10">
        <v>6</v>
      </c>
      <c r="B13" s="10">
        <v>2</v>
      </c>
      <c r="C13" s="10">
        <v>6</v>
      </c>
      <c r="D13" s="86">
        <v>43585</v>
      </c>
      <c r="E13" s="86">
        <v>43593</v>
      </c>
      <c r="F13" s="86">
        <v>43615</v>
      </c>
      <c r="G13" s="11">
        <v>11748.15</v>
      </c>
      <c r="H13" s="11">
        <v>11359.45</v>
      </c>
      <c r="I13" s="12"/>
      <c r="J13" s="12"/>
      <c r="K13" s="91">
        <f t="array" ref="K13">MAX(IF((D13&lt;[1]Nifty_D!$B$2:$B$6600)*(E13&gt;=[1]Nifty_D!$B$2:$B$6600),[1]Nifty_D!$F$2:$F$6600,""))</f>
        <v>11724.75</v>
      </c>
      <c r="L13" s="92">
        <f>K13/$G$10-1</f>
        <v>-1.1939127505611324E-4</v>
      </c>
      <c r="M13" s="91">
        <f t="shared" si="3"/>
        <v>100.85000000000036</v>
      </c>
      <c r="N13" s="93">
        <f t="array" ref="N13">INDEX([1]Nifty_D!$B$2:$B$6600,MATCH(E13,[1]Nifty_D!$B$2:$B$6600,0)-1)</f>
        <v>43592</v>
      </c>
      <c r="O13" s="89">
        <f>VLOOKUP(N13,[1]Nifty_D!$B$2:$F$6600,5,0)</f>
        <v>11497.9</v>
      </c>
      <c r="P13" s="92">
        <f t="shared" si="4"/>
        <v>-2.1301226150500341E-2</v>
      </c>
      <c r="Q13" s="12" t="s">
        <v>40</v>
      </c>
      <c r="R13" s="10">
        <v>11500</v>
      </c>
      <c r="S13" s="103">
        <f>MROUND(G13,500)</f>
        <v>11500</v>
      </c>
      <c r="T13" s="103">
        <f>S13-R13</f>
        <v>0</v>
      </c>
      <c r="U13" s="12" t="s">
        <v>92</v>
      </c>
      <c r="V13" s="10">
        <v>65</v>
      </c>
      <c r="W13" s="11">
        <v>181.45</v>
      </c>
      <c r="X13" s="11">
        <v>361.4</v>
      </c>
      <c r="Y13" s="13">
        <v>-3.0599999999999999E-2</v>
      </c>
      <c r="Z13" s="13">
        <v>1.5976999999999999</v>
      </c>
      <c r="AA13" s="10">
        <v>0</v>
      </c>
      <c r="AB13" s="14">
        <v>0</v>
      </c>
      <c r="AC13" s="11">
        <v>179.95</v>
      </c>
      <c r="AD13" s="14">
        <v>1.531730527785226E-2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 t="s">
        <v>91</v>
      </c>
    </row>
    <row r="14" spans="1:52" ht="18" hidden="1" customHeight="1" x14ac:dyDescent="0.25">
      <c r="A14" s="4">
        <v>7</v>
      </c>
      <c r="B14" s="4">
        <v>1</v>
      </c>
      <c r="C14" s="4">
        <v>7</v>
      </c>
      <c r="D14" s="85">
        <v>43593</v>
      </c>
      <c r="E14" s="85">
        <v>43595</v>
      </c>
      <c r="F14" s="85">
        <v>43601</v>
      </c>
      <c r="G14" s="5">
        <v>11359.45</v>
      </c>
      <c r="H14" s="5">
        <v>11278.9</v>
      </c>
      <c r="I14" s="5">
        <v>-80.55</v>
      </c>
      <c r="J14" s="6">
        <v>-7.0910123289419811E-3</v>
      </c>
      <c r="K14" s="91">
        <f t="array" ref="K14">MAX(IF((D14&lt;[1]Nifty_D!$B$2:$B$6600)*(E14&gt;=[1]Nifty_D!$B$2:$B$6600),[1]Nifty_D!$F$2:$F$6600,""))</f>
        <v>11301.8</v>
      </c>
      <c r="L14" s="92">
        <f>K14/$G$10-1</f>
        <v>-3.6188348264349357E-2</v>
      </c>
      <c r="M14" s="91">
        <f t="shared" si="3"/>
        <v>-322.10000000000036</v>
      </c>
      <c r="N14" s="93">
        <f t="array" ref="N14">INDEX([1]Nifty_D!$B$2:$B$6600,MATCH(E14,[1]Nifty_D!$B$2:$B$6600,0)-1)</f>
        <v>43594</v>
      </c>
      <c r="O14" s="89">
        <f>VLOOKUP(N14,[1]Nifty_D!$B$2:$F$6600,5,0)</f>
        <v>11301.8</v>
      </c>
      <c r="P14" s="92">
        <f t="shared" si="4"/>
        <v>-5.0750696556612906E-3</v>
      </c>
      <c r="Q14" s="7" t="s">
        <v>28</v>
      </c>
      <c r="R14" s="4">
        <v>11400</v>
      </c>
      <c r="S14" s="102"/>
      <c r="T14" s="102"/>
      <c r="U14" s="7" t="s">
        <v>90</v>
      </c>
      <c r="V14" s="4">
        <v>65</v>
      </c>
      <c r="W14" s="5">
        <v>99.7</v>
      </c>
      <c r="X14" s="5">
        <v>53.1</v>
      </c>
      <c r="Y14" s="8">
        <v>8.8499999999999995E-2</v>
      </c>
      <c r="Z14" s="8">
        <v>0.49209999999999998</v>
      </c>
      <c r="AA14" s="5">
        <v>46.6</v>
      </c>
      <c r="AB14" s="6">
        <v>4.1023112914797813E-3</v>
      </c>
      <c r="AC14" s="4">
        <v>0</v>
      </c>
      <c r="AD14" s="6">
        <v>0</v>
      </c>
      <c r="AE14" s="5">
        <v>16965.2</v>
      </c>
      <c r="AF14" s="5">
        <v>17029.45</v>
      </c>
      <c r="AG14" s="5">
        <v>64.25</v>
      </c>
      <c r="AH14" s="5">
        <v>0.37869999999999998</v>
      </c>
      <c r="AI14" s="4">
        <v>2</v>
      </c>
      <c r="AJ14" s="5">
        <v>-3.3333000000000002E-2</v>
      </c>
      <c r="AK14" s="5">
        <v>58.594900000000003</v>
      </c>
      <c r="AL14" s="5">
        <v>0.34539999999999998</v>
      </c>
      <c r="AM14" s="8">
        <v>-0.77839999999999998</v>
      </c>
      <c r="AN14" s="8">
        <v>0.64700000000000002</v>
      </c>
      <c r="AO14" s="15">
        <v>146.3449</v>
      </c>
      <c r="AP14" s="15">
        <v>1.1178999999999999</v>
      </c>
      <c r="AQ14" s="5">
        <v>96.234099999999998</v>
      </c>
      <c r="AR14" s="4">
        <v>100</v>
      </c>
      <c r="AS14" s="5">
        <v>-3.7658999999999998</v>
      </c>
      <c r="AT14" s="5">
        <v>-3.7658999999999998</v>
      </c>
      <c r="AU14" s="8">
        <v>0.68710000000000004</v>
      </c>
      <c r="AV14" s="8">
        <v>0.2384</v>
      </c>
      <c r="AW14" s="8">
        <v>0.2384</v>
      </c>
      <c r="AX14" s="5">
        <v>95.397099999999995</v>
      </c>
      <c r="AY14" s="5">
        <v>-4.6029</v>
      </c>
      <c r="AZ14" s="7" t="s">
        <v>94</v>
      </c>
    </row>
    <row r="15" spans="1:52" ht="18" customHeight="1" x14ac:dyDescent="0.25">
      <c r="A15" s="10">
        <v>7</v>
      </c>
      <c r="B15" s="10">
        <v>2</v>
      </c>
      <c r="C15" s="10">
        <v>7</v>
      </c>
      <c r="D15" s="86">
        <v>43593</v>
      </c>
      <c r="E15" s="86">
        <v>43595</v>
      </c>
      <c r="F15" s="86">
        <v>43615</v>
      </c>
      <c r="G15" s="11">
        <v>11359.45</v>
      </c>
      <c r="H15" s="11">
        <v>11278.9</v>
      </c>
      <c r="I15" s="12"/>
      <c r="J15" s="12"/>
      <c r="K15" s="91">
        <f t="array" ref="K15">MAX(IF((D15&lt;[1]Nifty_D!$B$2:$B$6600)*(E15&gt;=[1]Nifty_D!$B$2:$B$6600),[1]Nifty_D!$F$2:$F$6600,""))</f>
        <v>11301.8</v>
      </c>
      <c r="L15" s="92">
        <f>K15/$G$10-1</f>
        <v>-3.6188348264349357E-2</v>
      </c>
      <c r="M15" s="91">
        <f t="shared" si="3"/>
        <v>-322.10000000000036</v>
      </c>
      <c r="N15" s="93">
        <f t="array" ref="N15">INDEX([1]Nifty_D!$B$2:$B$6600,MATCH(E15,[1]Nifty_D!$B$2:$B$6600,0)-1)</f>
        <v>43594</v>
      </c>
      <c r="O15" s="89">
        <f>VLOOKUP(N15,[1]Nifty_D!$B$2:$F$6600,5,0)</f>
        <v>11301.8</v>
      </c>
      <c r="P15" s="92">
        <f t="shared" si="4"/>
        <v>-5.0750696556612906E-3</v>
      </c>
      <c r="Q15" s="12" t="s">
        <v>40</v>
      </c>
      <c r="R15" s="10">
        <v>11500</v>
      </c>
      <c r="S15" s="103">
        <f>MROUND(G15,500)</f>
        <v>11500</v>
      </c>
      <c r="T15" s="103">
        <f>S15-R15</f>
        <v>0</v>
      </c>
      <c r="U15" s="12" t="s">
        <v>92</v>
      </c>
      <c r="V15" s="10">
        <v>65</v>
      </c>
      <c r="W15" s="11">
        <v>361.4</v>
      </c>
      <c r="X15" s="11">
        <v>402.55</v>
      </c>
      <c r="Y15" s="13">
        <v>-4.8399999999999999E-2</v>
      </c>
      <c r="Z15" s="13">
        <v>0.52470000000000006</v>
      </c>
      <c r="AA15" s="10">
        <v>0</v>
      </c>
      <c r="AB15" s="14">
        <v>0</v>
      </c>
      <c r="AC15" s="11">
        <v>41.15</v>
      </c>
      <c r="AD15" s="14">
        <v>3.622534541725171E-3</v>
      </c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 t="s">
        <v>94</v>
      </c>
    </row>
    <row r="16" spans="1:52" ht="18" hidden="1" customHeight="1" x14ac:dyDescent="0.25">
      <c r="A16" s="4">
        <v>8</v>
      </c>
      <c r="B16" s="4">
        <v>1</v>
      </c>
      <c r="C16" s="4">
        <v>8</v>
      </c>
      <c r="D16" s="85">
        <v>43738</v>
      </c>
      <c r="E16" s="85">
        <v>43739</v>
      </c>
      <c r="F16" s="85">
        <v>43741</v>
      </c>
      <c r="G16" s="5">
        <v>11474.45</v>
      </c>
      <c r="H16" s="5">
        <v>11359.9</v>
      </c>
      <c r="I16" s="5">
        <v>-114.55</v>
      </c>
      <c r="J16" s="6">
        <v>-9.9830492964804399E-3</v>
      </c>
      <c r="K16" s="91">
        <f t="array" ref="K16">MAX(IF((D16&lt;[1]Nifty_D!$B$2:$B$6600)*(E16&gt;=[1]Nifty_D!$B$2:$B$6600),[1]Nifty_D!$F$2:$F$6600,""))</f>
        <v>11359.9</v>
      </c>
      <c r="L16" s="92">
        <f>K16/$G$10-1</f>
        <v>-3.1233610349517993E-2</v>
      </c>
      <c r="M16" s="91">
        <f t="shared" si="3"/>
        <v>-264</v>
      </c>
      <c r="N16" s="93">
        <f t="array" ref="N16">INDEX([1]Nifty_D!$B$2:$B$6600,MATCH(E16,[1]Nifty_D!$B$2:$B$6600,0)-1)</f>
        <v>43738</v>
      </c>
      <c r="O16" s="89">
        <f>VLOOKUP(N16,[1]Nifty_D!$B$2:$F$6600,5,0)</f>
        <v>11474.45</v>
      </c>
      <c r="P16" s="92">
        <f t="shared" si="4"/>
        <v>0</v>
      </c>
      <c r="Q16" s="7" t="s">
        <v>28</v>
      </c>
      <c r="R16" s="4">
        <v>11500</v>
      </c>
      <c r="S16" s="102"/>
      <c r="T16" s="102"/>
      <c r="U16" s="7" t="s">
        <v>90</v>
      </c>
      <c r="V16" s="4">
        <v>65</v>
      </c>
      <c r="W16" s="5">
        <v>56.85</v>
      </c>
      <c r="X16" s="5">
        <v>15.3</v>
      </c>
      <c r="Y16" s="8">
        <v>-0.36470000000000002</v>
      </c>
      <c r="Z16" s="8">
        <v>0.42009999999999997</v>
      </c>
      <c r="AA16" s="5">
        <v>41.55</v>
      </c>
      <c r="AB16" s="6">
        <v>3.6210885924815562E-3</v>
      </c>
      <c r="AC16" s="4">
        <v>0</v>
      </c>
      <c r="AD16" s="6">
        <v>0</v>
      </c>
      <c r="AE16" s="4">
        <v>16026</v>
      </c>
      <c r="AF16" s="5">
        <v>15725.35</v>
      </c>
      <c r="AG16" s="5">
        <v>-300.64999999999998</v>
      </c>
      <c r="AH16" s="5">
        <v>-1.8759999999999999</v>
      </c>
      <c r="AI16" s="4">
        <v>1</v>
      </c>
      <c r="AJ16" s="5">
        <v>-1.6667000000000001E-2</v>
      </c>
      <c r="AK16" s="5">
        <v>-303.32100000000003</v>
      </c>
      <c r="AL16" s="5">
        <v>-1.8927</v>
      </c>
      <c r="AM16" s="8">
        <v>-3.2715000000000001</v>
      </c>
      <c r="AN16" s="8">
        <v>0.53239999999999998</v>
      </c>
      <c r="AO16" s="9">
        <v>-205.67099999999999</v>
      </c>
      <c r="AP16" s="9">
        <v>-1.0417000000000001</v>
      </c>
      <c r="AQ16" s="5">
        <v>98.958299999999994</v>
      </c>
      <c r="AR16" s="4">
        <v>100</v>
      </c>
      <c r="AS16" s="5">
        <v>-1.0417000000000001</v>
      </c>
      <c r="AT16" s="5">
        <v>-1.0417000000000001</v>
      </c>
      <c r="AU16" s="8">
        <v>-0.126</v>
      </c>
      <c r="AV16" s="8">
        <v>-1.6033999999999999</v>
      </c>
      <c r="AW16" s="8">
        <v>-1.6033999999999999</v>
      </c>
      <c r="AX16" s="5">
        <v>98.396600000000007</v>
      </c>
      <c r="AY16" s="5">
        <v>-1.6033999999999999</v>
      </c>
      <c r="AZ16" s="7" t="s">
        <v>91</v>
      </c>
    </row>
    <row r="17" spans="1:52" ht="18" customHeight="1" x14ac:dyDescent="0.25">
      <c r="A17" s="10">
        <v>8</v>
      </c>
      <c r="B17" s="10">
        <v>2</v>
      </c>
      <c r="C17" s="10">
        <v>8</v>
      </c>
      <c r="D17" s="86">
        <v>43738</v>
      </c>
      <c r="E17" s="86">
        <v>43739</v>
      </c>
      <c r="F17" s="86">
        <v>43769</v>
      </c>
      <c r="G17" s="11">
        <v>11474.45</v>
      </c>
      <c r="H17" s="11">
        <v>11359.9</v>
      </c>
      <c r="I17" s="12"/>
      <c r="J17" s="12"/>
      <c r="K17" s="91">
        <f t="array" ref="K17">MAX(IF((D17&lt;[1]Nifty_D!$B$2:$B$6600)*(E17&gt;=[1]Nifty_D!$B$2:$B$6600),[1]Nifty_D!$F$2:$F$6600,""))</f>
        <v>11359.9</v>
      </c>
      <c r="L17" s="92">
        <f>K17/$G$10-1</f>
        <v>-3.1233610349517993E-2</v>
      </c>
      <c r="M17" s="91">
        <f t="shared" si="3"/>
        <v>-264</v>
      </c>
      <c r="N17" s="93">
        <f t="array" ref="N17">INDEX([1]Nifty_D!$B$2:$B$6600,MATCH(E17,[1]Nifty_D!$B$2:$B$6600,0)-1)</f>
        <v>43738</v>
      </c>
      <c r="O17" s="89">
        <f>VLOOKUP(N17,[1]Nifty_D!$B$2:$F$6600,5,0)</f>
        <v>11474.45</v>
      </c>
      <c r="P17" s="92">
        <f t="shared" si="4"/>
        <v>0</v>
      </c>
      <c r="Q17" s="12" t="s">
        <v>40</v>
      </c>
      <c r="R17" s="10">
        <v>11500</v>
      </c>
      <c r="S17" s="103">
        <f>MROUND(G17,500)</f>
        <v>11500</v>
      </c>
      <c r="T17" s="103">
        <f>S17-R17</f>
        <v>0</v>
      </c>
      <c r="U17" s="12" t="s">
        <v>92</v>
      </c>
      <c r="V17" s="10">
        <v>65</v>
      </c>
      <c r="W17" s="11">
        <v>182.7</v>
      </c>
      <c r="X17" s="11">
        <v>238.8</v>
      </c>
      <c r="Y17" s="13">
        <v>-0.29370000000000002</v>
      </c>
      <c r="Z17" s="13">
        <v>1.248</v>
      </c>
      <c r="AA17" s="10">
        <v>0</v>
      </c>
      <c r="AB17" s="14">
        <v>0</v>
      </c>
      <c r="AC17" s="11">
        <v>56.1</v>
      </c>
      <c r="AD17" s="14">
        <v>4.8891232259498279E-3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 t="s">
        <v>91</v>
      </c>
    </row>
    <row r="18" spans="1:52" ht="18" hidden="1" customHeight="1" x14ac:dyDescent="0.25">
      <c r="A18" s="4">
        <v>9</v>
      </c>
      <c r="B18" s="4">
        <v>1</v>
      </c>
      <c r="C18" s="4">
        <v>9</v>
      </c>
      <c r="D18" s="85">
        <v>43739</v>
      </c>
      <c r="E18" s="85">
        <v>43747</v>
      </c>
      <c r="F18" s="85">
        <v>43748</v>
      </c>
      <c r="G18" s="5">
        <v>11359.9</v>
      </c>
      <c r="H18" s="5">
        <v>11313.3</v>
      </c>
      <c r="I18" s="5">
        <v>-46.6</v>
      </c>
      <c r="J18" s="6">
        <v>-4.102148786521008E-3</v>
      </c>
      <c r="K18" s="91">
        <f t="array" ref="K18">MAX(IF((D18&lt;[1]Nifty_D!$B$2:$B$6600)*(E18&gt;=[1]Nifty_D!$B$2:$B$6600),[1]Nifty_D!$F$2:$F$6600,""))</f>
        <v>11314</v>
      </c>
      <c r="L18" s="92">
        <f>K18/$G$10-1</f>
        <v>-3.5147938581716942E-2</v>
      </c>
      <c r="M18" s="91">
        <f t="shared" si="3"/>
        <v>-309.89999999999964</v>
      </c>
      <c r="N18" s="93">
        <f t="array" ref="N18">INDEX([1]Nifty_D!$B$2:$B$6600,MATCH(E18,[1]Nifty_D!$B$2:$B$6600,0)-1)</f>
        <v>43745</v>
      </c>
      <c r="O18" s="89">
        <f>VLOOKUP(N18,[1]Nifty_D!$B$2:$F$6600,5,0)</f>
        <v>11126.4</v>
      </c>
      <c r="P18" s="92">
        <f t="shared" si="4"/>
        <v>-2.0554758404563445E-2</v>
      </c>
      <c r="Q18" s="7" t="s">
        <v>28</v>
      </c>
      <c r="R18" s="4">
        <v>11400</v>
      </c>
      <c r="S18" s="102"/>
      <c r="T18" s="102"/>
      <c r="U18" s="7" t="s">
        <v>90</v>
      </c>
      <c r="V18" s="4">
        <v>65</v>
      </c>
      <c r="W18" s="5">
        <v>123.05</v>
      </c>
      <c r="X18" s="5">
        <v>12.65</v>
      </c>
      <c r="Y18" s="8">
        <v>6.9500000000000006E-2</v>
      </c>
      <c r="Z18" s="8">
        <v>1.0647</v>
      </c>
      <c r="AA18" s="5">
        <v>110.4</v>
      </c>
      <c r="AB18" s="6">
        <v>9.718395408410286E-3</v>
      </c>
      <c r="AC18" s="4">
        <v>0</v>
      </c>
      <c r="AD18" s="6">
        <v>0</v>
      </c>
      <c r="AE18" s="5">
        <v>15725.35</v>
      </c>
      <c r="AF18" s="5">
        <v>15722.55</v>
      </c>
      <c r="AG18" s="5">
        <v>-2.8</v>
      </c>
      <c r="AH18" s="5">
        <v>-1.78E-2</v>
      </c>
      <c r="AI18" s="4">
        <v>8</v>
      </c>
      <c r="AJ18" s="5">
        <v>-0.13333300000000001</v>
      </c>
      <c r="AK18" s="5">
        <v>-23.767099999999999</v>
      </c>
      <c r="AL18" s="5">
        <v>-0.15110000000000001</v>
      </c>
      <c r="AM18" s="8">
        <v>-2.1023000000000001</v>
      </c>
      <c r="AN18" s="8">
        <v>0.59519999999999995</v>
      </c>
      <c r="AO18" s="15">
        <v>109.4829</v>
      </c>
      <c r="AP18" s="15">
        <v>1.0219</v>
      </c>
      <c r="AQ18" s="5">
        <v>99.9696</v>
      </c>
      <c r="AR18" s="4">
        <v>100</v>
      </c>
      <c r="AS18" s="5">
        <v>-3.04E-2</v>
      </c>
      <c r="AT18" s="5">
        <v>-3.04E-2</v>
      </c>
      <c r="AU18" s="8">
        <v>0.65500000000000003</v>
      </c>
      <c r="AV18" s="8">
        <v>0.70979999999999999</v>
      </c>
      <c r="AW18" s="8">
        <v>0.65500000000000003</v>
      </c>
      <c r="AX18" s="5">
        <v>99.606499999999997</v>
      </c>
      <c r="AY18" s="5">
        <v>-0.39350000000000002</v>
      </c>
      <c r="AZ18" s="7" t="s">
        <v>91</v>
      </c>
    </row>
    <row r="19" spans="1:52" ht="18" customHeight="1" x14ac:dyDescent="0.25">
      <c r="A19" s="10">
        <v>9</v>
      </c>
      <c r="B19" s="10">
        <v>2</v>
      </c>
      <c r="C19" s="10">
        <v>9</v>
      </c>
      <c r="D19" s="86">
        <v>43739</v>
      </c>
      <c r="E19" s="86">
        <v>43747</v>
      </c>
      <c r="F19" s="86">
        <v>43769</v>
      </c>
      <c r="G19" s="11">
        <v>11359.9</v>
      </c>
      <c r="H19" s="11">
        <v>11313.3</v>
      </c>
      <c r="I19" s="12"/>
      <c r="J19" s="12"/>
      <c r="K19" s="91">
        <f t="array" ref="K19">MAX(IF((D19&lt;[1]Nifty_D!$B$2:$B$6600)*(E19&gt;=[1]Nifty_D!$B$2:$B$6600),[1]Nifty_D!$F$2:$F$6600,""))</f>
        <v>11314</v>
      </c>
      <c r="L19" s="92">
        <f t="shared" ref="L19:L26" si="5">K19/$G$10-1</f>
        <v>-3.5147938581716942E-2</v>
      </c>
      <c r="M19" s="91">
        <f t="shared" si="3"/>
        <v>-309.89999999999964</v>
      </c>
      <c r="N19" s="93">
        <f t="array" ref="N19">INDEX([1]Nifty_D!$B$2:$B$6600,MATCH(E19,[1]Nifty_D!$B$2:$B$6600,0)-1)</f>
        <v>43745</v>
      </c>
      <c r="O19" s="89">
        <f>VLOOKUP(N19,[1]Nifty_D!$B$2:$F$6600,5,0)</f>
        <v>11126.4</v>
      </c>
      <c r="P19" s="92">
        <f t="shared" si="4"/>
        <v>-2.0554758404563445E-2</v>
      </c>
      <c r="Q19" s="12" t="s">
        <v>40</v>
      </c>
      <c r="R19" s="10">
        <v>11500</v>
      </c>
      <c r="S19" s="103">
        <f>MROUND(G19,500)</f>
        <v>11500</v>
      </c>
      <c r="T19" s="103">
        <f>S19-R19</f>
        <v>0</v>
      </c>
      <c r="U19" s="12" t="s">
        <v>92</v>
      </c>
      <c r="V19" s="10">
        <v>65</v>
      </c>
      <c r="W19" s="11">
        <v>238.8</v>
      </c>
      <c r="X19" s="11">
        <v>261.64999999999998</v>
      </c>
      <c r="Y19" s="13">
        <v>-9.7000000000000003E-3</v>
      </c>
      <c r="Z19" s="13">
        <v>1.7474000000000001</v>
      </c>
      <c r="AA19" s="10">
        <v>0</v>
      </c>
      <c r="AB19" s="14">
        <v>0</v>
      </c>
      <c r="AC19" s="11">
        <v>22.85</v>
      </c>
      <c r="AD19" s="14">
        <v>2.0114613684979622E-3</v>
      </c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91</v>
      </c>
    </row>
    <row r="20" spans="1:52" ht="18" hidden="1" customHeight="1" x14ac:dyDescent="0.25">
      <c r="A20" s="4">
        <v>10</v>
      </c>
      <c r="B20" s="4">
        <v>1</v>
      </c>
      <c r="C20" s="4">
        <v>10</v>
      </c>
      <c r="D20" s="85">
        <v>43747</v>
      </c>
      <c r="E20" s="85">
        <v>43753</v>
      </c>
      <c r="F20" s="85">
        <v>43755</v>
      </c>
      <c r="G20" s="5">
        <v>11313.3</v>
      </c>
      <c r="H20" s="5">
        <v>11428.3</v>
      </c>
      <c r="I20" s="4">
        <v>115</v>
      </c>
      <c r="J20" s="6">
        <v>1.0165027003615211E-2</v>
      </c>
      <c r="K20" s="91">
        <f t="array" ref="K20">MAX(IF((D20&lt;[1]Nifty_D!$B$2:$B$6600)*(E20&gt;=[1]Nifty_D!$B$2:$B$6600),[1]Nifty_D!$F$2:$F$6600,""))</f>
        <v>11428.3</v>
      </c>
      <c r="L20" s="92">
        <f t="shared" si="5"/>
        <v>-2.5400493768201859E-2</v>
      </c>
      <c r="M20" s="91">
        <f t="shared" si="3"/>
        <v>-195.60000000000036</v>
      </c>
      <c r="N20" s="93">
        <f t="array" ref="N20">INDEX([1]Nifty_D!$B$2:$B$6600,MATCH(E20,[1]Nifty_D!$B$2:$B$6600,0)-1)</f>
        <v>43752</v>
      </c>
      <c r="O20" s="89">
        <f>VLOOKUP(N20,[1]Nifty_D!$B$2:$F$6600,5,0)</f>
        <v>11341.15</v>
      </c>
      <c r="P20" s="92">
        <f t="shared" si="4"/>
        <v>2.4617043656580684E-3</v>
      </c>
      <c r="Q20" s="7" t="s">
        <v>28</v>
      </c>
      <c r="R20" s="4">
        <v>11300</v>
      </c>
      <c r="S20" s="102"/>
      <c r="T20" s="102"/>
      <c r="U20" s="7" t="s">
        <v>90</v>
      </c>
      <c r="V20" s="4">
        <v>65</v>
      </c>
      <c r="W20" s="5">
        <v>125.05</v>
      </c>
      <c r="X20" s="5">
        <v>146.80000000000001</v>
      </c>
      <c r="Y20" s="8">
        <v>-0.46800000000000003</v>
      </c>
      <c r="Z20" s="8">
        <v>0.57850000000000001</v>
      </c>
      <c r="AA20" s="5">
        <v>-21.75</v>
      </c>
      <c r="AB20" s="6">
        <v>-1.9225159767707041E-3</v>
      </c>
      <c r="AC20" s="4">
        <v>0</v>
      </c>
      <c r="AD20" s="6">
        <v>0</v>
      </c>
      <c r="AE20" s="5">
        <v>15722.55</v>
      </c>
      <c r="AF20" s="5">
        <v>15629.15</v>
      </c>
      <c r="AG20" s="5">
        <v>-93.4</v>
      </c>
      <c r="AH20" s="5">
        <v>-0.59409999999999996</v>
      </c>
      <c r="AI20" s="4">
        <v>6</v>
      </c>
      <c r="AJ20" s="5">
        <v>-0.1</v>
      </c>
      <c r="AK20" s="5">
        <v>-109.1225</v>
      </c>
      <c r="AL20" s="5">
        <v>-0.69410000000000005</v>
      </c>
      <c r="AM20" s="8">
        <v>-1.7430000000000001</v>
      </c>
      <c r="AN20" s="8">
        <v>2.3099999999999999E-2</v>
      </c>
      <c r="AO20" s="9">
        <v>-212.9725</v>
      </c>
      <c r="AP20" s="9">
        <v>-1.6120000000000001</v>
      </c>
      <c r="AQ20" s="5">
        <v>98.358000000000004</v>
      </c>
      <c r="AR20" s="4">
        <v>100</v>
      </c>
      <c r="AS20" s="5">
        <v>-1.6419999999999999</v>
      </c>
      <c r="AT20" s="5">
        <v>-1.6419999999999999</v>
      </c>
      <c r="AU20" s="8">
        <v>-1.3150999999999999</v>
      </c>
      <c r="AV20" s="8">
        <v>-0.1736</v>
      </c>
      <c r="AW20" s="8">
        <v>-1.6120000000000001</v>
      </c>
      <c r="AX20" s="5">
        <v>98.358000000000004</v>
      </c>
      <c r="AY20" s="5">
        <v>-1.6419999999999999</v>
      </c>
      <c r="AZ20" s="7" t="s">
        <v>95</v>
      </c>
    </row>
    <row r="21" spans="1:52" ht="18" customHeight="1" x14ac:dyDescent="0.25">
      <c r="A21" s="10">
        <v>10</v>
      </c>
      <c r="B21" s="10">
        <v>2</v>
      </c>
      <c r="C21" s="10">
        <v>10</v>
      </c>
      <c r="D21" s="86">
        <v>43747</v>
      </c>
      <c r="E21" s="86">
        <v>43753</v>
      </c>
      <c r="F21" s="86">
        <v>43769</v>
      </c>
      <c r="G21" s="11">
        <v>11313.3</v>
      </c>
      <c r="H21" s="11">
        <v>11428.3</v>
      </c>
      <c r="I21" s="12"/>
      <c r="J21" s="12"/>
      <c r="K21" s="91">
        <f t="array" ref="K21">MAX(IF((D21&lt;[1]Nifty_D!$B$2:$B$6600)*(E21&gt;=[1]Nifty_D!$B$2:$B$6600),[1]Nifty_D!$F$2:$F$6600,""))</f>
        <v>11428.3</v>
      </c>
      <c r="L21" s="92">
        <f t="shared" si="5"/>
        <v>-2.5400493768201859E-2</v>
      </c>
      <c r="M21" s="91">
        <f t="shared" si="3"/>
        <v>-195.60000000000036</v>
      </c>
      <c r="N21" s="93">
        <f t="array" ref="N21">INDEX([1]Nifty_D!$B$2:$B$6600,MATCH(E21,[1]Nifty_D!$B$2:$B$6600,0)-1)</f>
        <v>43752</v>
      </c>
      <c r="O21" s="89">
        <f>VLOOKUP(N21,[1]Nifty_D!$B$2:$F$6600,5,0)</f>
        <v>11341.15</v>
      </c>
      <c r="P21" s="92">
        <f t="shared" si="4"/>
        <v>2.4617043656580684E-3</v>
      </c>
      <c r="Q21" s="12" t="s">
        <v>40</v>
      </c>
      <c r="R21" s="10">
        <v>11500</v>
      </c>
      <c r="S21" s="103">
        <f>MROUND(G21,500)</f>
        <v>11500</v>
      </c>
      <c r="T21" s="103">
        <f>S21-R21</f>
        <v>0</v>
      </c>
      <c r="U21" s="12" t="s">
        <v>92</v>
      </c>
      <c r="V21" s="10">
        <v>65</v>
      </c>
      <c r="W21" s="11">
        <v>261.64999999999998</v>
      </c>
      <c r="X21" s="11">
        <v>179.55</v>
      </c>
      <c r="Y21" s="13">
        <v>-0.87019999999999997</v>
      </c>
      <c r="Z21" s="13">
        <v>0.9909</v>
      </c>
      <c r="AA21" s="10">
        <v>0</v>
      </c>
      <c r="AB21" s="14">
        <v>0</v>
      </c>
      <c r="AC21" s="11">
        <v>-82.1</v>
      </c>
      <c r="AD21" s="14">
        <v>-7.256945365189644E-3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 t="s">
        <v>95</v>
      </c>
    </row>
    <row r="22" spans="1:52" ht="18" hidden="1" customHeight="1" x14ac:dyDescent="0.25">
      <c r="A22" s="4">
        <v>11</v>
      </c>
      <c r="B22" s="4">
        <v>1</v>
      </c>
      <c r="C22" s="4">
        <v>11</v>
      </c>
      <c r="D22" s="85">
        <v>43753</v>
      </c>
      <c r="E22" s="85">
        <v>43754</v>
      </c>
      <c r="F22" s="85">
        <v>43755</v>
      </c>
      <c r="G22" s="5">
        <v>11428.3</v>
      </c>
      <c r="H22" s="4">
        <v>11464</v>
      </c>
      <c r="I22" s="5">
        <v>35.700000000000003</v>
      </c>
      <c r="J22" s="6">
        <v>3.1238241908245331E-3</v>
      </c>
      <c r="K22" s="91">
        <f t="array" ref="K22">MAX(IF((D22&lt;[1]Nifty_D!$B$2:$B$6600)*(E22&gt;=[1]Nifty_D!$B$2:$B$6600),[1]Nifty_D!$F$2:$F$6600,""))</f>
        <v>11464</v>
      </c>
      <c r="L22" s="92">
        <f t="shared" si="5"/>
        <v>-2.2356016254269306E-2</v>
      </c>
      <c r="M22" s="91">
        <f t="shared" si="3"/>
        <v>-159.89999999999964</v>
      </c>
      <c r="N22" s="93">
        <f t="array" ref="N22">INDEX([1]Nifty_D!$B$2:$B$6600,MATCH(E22,[1]Nifty_D!$B$2:$B$6600,0)-1)</f>
        <v>43753</v>
      </c>
      <c r="O22" s="89">
        <f>VLOOKUP(N22,[1]Nifty_D!$B$2:$F$6600,5,0)</f>
        <v>11428.3</v>
      </c>
      <c r="P22" s="92">
        <f t="shared" si="4"/>
        <v>0</v>
      </c>
      <c r="Q22" s="7" t="s">
        <v>28</v>
      </c>
      <c r="R22" s="4">
        <v>11400</v>
      </c>
      <c r="S22" s="102"/>
      <c r="T22" s="102"/>
      <c r="U22" s="7" t="s">
        <v>90</v>
      </c>
      <c r="V22" s="4">
        <v>65</v>
      </c>
      <c r="W22" s="5">
        <v>75.400000000000006</v>
      </c>
      <c r="X22" s="5">
        <v>78.650000000000006</v>
      </c>
      <c r="Y22" s="8">
        <v>-0.21390000000000001</v>
      </c>
      <c r="Z22" s="8">
        <v>0.2223</v>
      </c>
      <c r="AA22" s="5">
        <v>-3.25</v>
      </c>
      <c r="AB22" s="6">
        <v>-2.843817540666591E-4</v>
      </c>
      <c r="AC22" s="4">
        <v>0</v>
      </c>
      <c r="AD22" s="6">
        <v>0</v>
      </c>
      <c r="AE22" s="5">
        <v>15629.15</v>
      </c>
      <c r="AF22" s="5">
        <v>15605.35</v>
      </c>
      <c r="AG22" s="5">
        <v>-23.8</v>
      </c>
      <c r="AH22" s="5">
        <v>-0.15229999999999999</v>
      </c>
      <c r="AI22" s="4">
        <v>1</v>
      </c>
      <c r="AJ22" s="5">
        <v>-1.6667000000000001E-2</v>
      </c>
      <c r="AK22" s="5">
        <v>-26.404900000000001</v>
      </c>
      <c r="AL22" s="5">
        <v>-0.16889999999999999</v>
      </c>
      <c r="AM22" s="8">
        <v>-0.46029999999999999</v>
      </c>
      <c r="AN22" s="8">
        <v>0.60799999999999998</v>
      </c>
      <c r="AO22" s="9">
        <v>-60.054900000000004</v>
      </c>
      <c r="AP22" s="9">
        <v>-0.46329999999999999</v>
      </c>
      <c r="AQ22" s="5">
        <v>97.9024</v>
      </c>
      <c r="AR22" s="4">
        <v>100</v>
      </c>
      <c r="AS22" s="5">
        <v>-2.0975999999999999</v>
      </c>
      <c r="AT22" s="5">
        <v>-2.0975999999999999</v>
      </c>
      <c r="AU22" s="8">
        <v>7.4300000000000005E-2</v>
      </c>
      <c r="AV22" s="8">
        <v>-0.1951</v>
      </c>
      <c r="AW22" s="8">
        <v>-0.46329999999999999</v>
      </c>
      <c r="AX22" s="5">
        <v>97.9024</v>
      </c>
      <c r="AY22" s="5">
        <v>-2.0975999999999999</v>
      </c>
      <c r="AZ22" s="7" t="s">
        <v>91</v>
      </c>
    </row>
    <row r="23" spans="1:52" ht="18" customHeight="1" x14ac:dyDescent="0.25">
      <c r="A23" s="10">
        <v>11</v>
      </c>
      <c r="B23" s="10">
        <v>2</v>
      </c>
      <c r="C23" s="10">
        <v>11</v>
      </c>
      <c r="D23" s="86">
        <v>43753</v>
      </c>
      <c r="E23" s="86">
        <v>43754</v>
      </c>
      <c r="F23" s="86">
        <v>43769</v>
      </c>
      <c r="G23" s="11">
        <v>11428.3</v>
      </c>
      <c r="H23" s="10">
        <v>11464</v>
      </c>
      <c r="I23" s="12"/>
      <c r="J23" s="12"/>
      <c r="K23" s="91">
        <f t="array" ref="K23">MAX(IF((D23&lt;[1]Nifty_D!$B$2:$B$6600)*(E23&gt;=[1]Nifty_D!$B$2:$B$6600),[1]Nifty_D!$F$2:$F$6600,""))</f>
        <v>11464</v>
      </c>
      <c r="L23" s="92">
        <f t="shared" si="5"/>
        <v>-2.2356016254269306E-2</v>
      </c>
      <c r="M23" s="91">
        <f t="shared" si="3"/>
        <v>-159.89999999999964</v>
      </c>
      <c r="N23" s="93">
        <f t="array" ref="N23">INDEX([1]Nifty_D!$B$2:$B$6600,MATCH(E23,[1]Nifty_D!$B$2:$B$6600,0)-1)</f>
        <v>43753</v>
      </c>
      <c r="O23" s="89">
        <f>VLOOKUP(N23,[1]Nifty_D!$B$2:$F$6600,5,0)</f>
        <v>11428.3</v>
      </c>
      <c r="P23" s="92">
        <f t="shared" si="4"/>
        <v>0</v>
      </c>
      <c r="Q23" s="12" t="s">
        <v>40</v>
      </c>
      <c r="R23" s="10">
        <v>11500</v>
      </c>
      <c r="S23" s="103">
        <f>MROUND(G23,500)</f>
        <v>11500</v>
      </c>
      <c r="T23" s="103">
        <f>S23-R23</f>
        <v>0</v>
      </c>
      <c r="U23" s="12" t="s">
        <v>92</v>
      </c>
      <c r="V23" s="10">
        <v>65</v>
      </c>
      <c r="W23" s="11">
        <v>179.55</v>
      </c>
      <c r="X23" s="11">
        <v>149.15</v>
      </c>
      <c r="Y23" s="13">
        <v>-0.31979999999999997</v>
      </c>
      <c r="Z23" s="13">
        <v>4.2900000000000001E-2</v>
      </c>
      <c r="AA23" s="10">
        <v>0</v>
      </c>
      <c r="AB23" s="14">
        <v>0</v>
      </c>
      <c r="AC23" s="11">
        <v>-30.4</v>
      </c>
      <c r="AD23" s="14">
        <v>-2.6600631765004421E-3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 t="s">
        <v>91</v>
      </c>
    </row>
    <row r="24" spans="1:52" ht="18" hidden="1" customHeight="1" x14ac:dyDescent="0.25">
      <c r="A24" s="4">
        <v>12</v>
      </c>
      <c r="B24" s="4">
        <v>1</v>
      </c>
      <c r="C24" s="4">
        <v>12</v>
      </c>
      <c r="D24" s="85">
        <v>43754</v>
      </c>
      <c r="E24" s="85">
        <v>43755</v>
      </c>
      <c r="F24" s="85">
        <v>43762</v>
      </c>
      <c r="G24" s="4">
        <v>11464</v>
      </c>
      <c r="H24" s="5">
        <v>11586.35</v>
      </c>
      <c r="I24" s="5">
        <v>122.35</v>
      </c>
      <c r="J24" s="6">
        <v>1.067254012561061E-2</v>
      </c>
      <c r="K24" s="91">
        <f t="array" ref="K24">MAX(IF((D24&lt;[1]Nifty_D!$B$2:$B$6600)*(E24&gt;=[1]Nifty_D!$B$2:$B$6600),[1]Nifty_D!$F$2:$F$6600,""))</f>
        <v>11586.35</v>
      </c>
      <c r="L24" s="92">
        <f t="shared" si="5"/>
        <v>-1.1922071609181129E-2</v>
      </c>
      <c r="M24" s="91">
        <f t="shared" si="3"/>
        <v>-37.549999999999272</v>
      </c>
      <c r="N24" s="93">
        <f t="array" ref="N24">INDEX([1]Nifty_D!$B$2:$B$6600,MATCH(E24,[1]Nifty_D!$B$2:$B$6600,0)-1)</f>
        <v>43754</v>
      </c>
      <c r="O24" s="89">
        <f>VLOOKUP(N24,[1]Nifty_D!$B$2:$F$6600,5,0)</f>
        <v>11464</v>
      </c>
      <c r="P24" s="92">
        <f t="shared" si="4"/>
        <v>0</v>
      </c>
      <c r="Q24" s="7" t="s">
        <v>28</v>
      </c>
      <c r="R24" s="4">
        <v>11500</v>
      </c>
      <c r="S24" s="102"/>
      <c r="T24" s="102"/>
      <c r="U24" s="7" t="s">
        <v>90</v>
      </c>
      <c r="V24" s="4">
        <v>65</v>
      </c>
      <c r="W24" s="5">
        <v>82.05</v>
      </c>
      <c r="X24" s="5">
        <v>135.35</v>
      </c>
      <c r="Y24" s="8">
        <v>-0.60970000000000002</v>
      </c>
      <c r="Z24" s="8">
        <v>0.12909999999999999</v>
      </c>
      <c r="AA24" s="5">
        <v>-53.3</v>
      </c>
      <c r="AB24" s="6">
        <v>-4.6493370551290991E-3</v>
      </c>
      <c r="AC24" s="4">
        <v>0</v>
      </c>
      <c r="AD24" s="6">
        <v>0</v>
      </c>
      <c r="AE24" s="5">
        <v>15605.35</v>
      </c>
      <c r="AF24" s="5">
        <v>15886.85</v>
      </c>
      <c r="AG24" s="5">
        <v>281.5</v>
      </c>
      <c r="AH24" s="5">
        <v>1.8039000000000001</v>
      </c>
      <c r="AI24" s="4">
        <v>1</v>
      </c>
      <c r="AJ24" s="5">
        <v>-1.6667000000000001E-2</v>
      </c>
      <c r="AK24" s="5">
        <v>278.89909999999998</v>
      </c>
      <c r="AL24" s="5">
        <v>1.7871999999999999</v>
      </c>
      <c r="AM24" s="8">
        <v>-0.1547</v>
      </c>
      <c r="AN24" s="8">
        <v>1.9192</v>
      </c>
      <c r="AO24" s="15">
        <v>163.44909999999999</v>
      </c>
      <c r="AP24" s="15">
        <v>0.78010000000000002</v>
      </c>
      <c r="AQ24" s="5">
        <v>98.6661</v>
      </c>
      <c r="AR24" s="4">
        <v>100</v>
      </c>
      <c r="AS24" s="5">
        <v>-1.3339000000000001</v>
      </c>
      <c r="AT24" s="5">
        <v>-1.3339000000000001</v>
      </c>
      <c r="AU24" s="8">
        <v>0.72030000000000005</v>
      </c>
      <c r="AV24" s="8">
        <v>4.9000000000000002E-2</v>
      </c>
      <c r="AW24" s="8">
        <v>4.9000000000000002E-2</v>
      </c>
      <c r="AX24" s="5">
        <v>97.950299999999999</v>
      </c>
      <c r="AY24" s="5">
        <v>-2.0497000000000001</v>
      </c>
      <c r="AZ24" s="7" t="s">
        <v>95</v>
      </c>
    </row>
    <row r="25" spans="1:52" ht="18" customHeight="1" x14ac:dyDescent="0.25">
      <c r="A25" s="10">
        <v>12</v>
      </c>
      <c r="B25" s="10">
        <v>2</v>
      </c>
      <c r="C25" s="10">
        <v>12</v>
      </c>
      <c r="D25" s="86">
        <v>43754</v>
      </c>
      <c r="E25" s="86">
        <v>43755</v>
      </c>
      <c r="F25" s="86">
        <v>43769</v>
      </c>
      <c r="G25" s="10">
        <v>11464</v>
      </c>
      <c r="H25" s="11">
        <v>11586.35</v>
      </c>
      <c r="I25" s="12"/>
      <c r="J25" s="12"/>
      <c r="K25" s="91">
        <f t="array" ref="K25">MAX(IF((D25&lt;[1]Nifty_D!$B$2:$B$6600)*(E25&gt;=[1]Nifty_D!$B$2:$B$6600),[1]Nifty_D!$F$2:$F$6600,""))</f>
        <v>11586.35</v>
      </c>
      <c r="L25" s="92">
        <f t="shared" si="5"/>
        <v>-1.1922071609181129E-2</v>
      </c>
      <c r="M25" s="91">
        <f t="shared" si="3"/>
        <v>-37.549999999999272</v>
      </c>
      <c r="N25" s="93">
        <f t="array" ref="N25">INDEX([1]Nifty_D!$B$2:$B$6600,MATCH(E25,[1]Nifty_D!$B$2:$B$6600,0)-1)</f>
        <v>43754</v>
      </c>
      <c r="O25" s="89">
        <f>VLOOKUP(N25,[1]Nifty_D!$B$2:$F$6600,5,0)</f>
        <v>11464</v>
      </c>
      <c r="P25" s="92">
        <f t="shared" si="4"/>
        <v>0</v>
      </c>
      <c r="Q25" s="12" t="s">
        <v>40</v>
      </c>
      <c r="R25" s="10">
        <v>11500</v>
      </c>
      <c r="S25" s="103">
        <f>MROUND(G25,500)</f>
        <v>11500</v>
      </c>
      <c r="T25" s="103">
        <f>S25-R25</f>
        <v>0</v>
      </c>
      <c r="U25" s="12" t="s">
        <v>92</v>
      </c>
      <c r="V25" s="10">
        <v>65</v>
      </c>
      <c r="W25" s="11">
        <v>149.15</v>
      </c>
      <c r="X25" s="10">
        <v>87</v>
      </c>
      <c r="Y25" s="13">
        <v>-0.58919999999999995</v>
      </c>
      <c r="Z25" s="13">
        <v>7.46E-2</v>
      </c>
      <c r="AA25" s="10">
        <v>0</v>
      </c>
      <c r="AB25" s="14">
        <v>0</v>
      </c>
      <c r="AC25" s="11">
        <v>-62.15</v>
      </c>
      <c r="AD25" s="14">
        <v>-5.4213189113747383E-3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 t="s">
        <v>95</v>
      </c>
    </row>
    <row r="26" spans="1:52" ht="18" hidden="1" customHeight="1" x14ac:dyDescent="0.25">
      <c r="A26" s="4">
        <v>13</v>
      </c>
      <c r="B26" s="4">
        <v>1</v>
      </c>
      <c r="C26" s="4">
        <v>13</v>
      </c>
      <c r="D26" s="85">
        <v>43755</v>
      </c>
      <c r="E26" s="85">
        <v>43756</v>
      </c>
      <c r="F26" s="85">
        <v>43762</v>
      </c>
      <c r="G26" s="5">
        <v>11586.35</v>
      </c>
      <c r="H26" s="5">
        <v>11661.85</v>
      </c>
      <c r="I26" s="5">
        <v>75.5</v>
      </c>
      <c r="J26" s="6">
        <v>6.5162885636977997E-3</v>
      </c>
      <c r="K26" s="91">
        <f t="array" ref="K26">MAX(IF((D26&lt;[1]Nifty_D!$B$2:$B$6600)*(E26&gt;=[1]Nifty_D!$B$2:$B$6600),[1]Nifty_D!$F$2:$F$6600,""))</f>
        <v>11661.85</v>
      </c>
      <c r="L26" s="92">
        <f t="shared" si="5"/>
        <v>-5.4834707043658337E-3</v>
      </c>
      <c r="M26" s="91">
        <f t="shared" si="3"/>
        <v>37.950000000000728</v>
      </c>
      <c r="N26" s="93">
        <f t="array" ref="N26">INDEX([1]Nifty_D!$B$2:$B$6600,MATCH(E26,[1]Nifty_D!$B$2:$B$6600,0)-1)</f>
        <v>43755</v>
      </c>
      <c r="O26" s="89">
        <f>VLOOKUP(N26,[1]Nifty_D!$B$2:$F$6600,5,0)</f>
        <v>11586.35</v>
      </c>
      <c r="P26" s="92">
        <f t="shared" si="4"/>
        <v>0</v>
      </c>
      <c r="Q26" s="7" t="s">
        <v>28</v>
      </c>
      <c r="R26" s="4">
        <v>11600</v>
      </c>
      <c r="S26" s="102"/>
      <c r="T26" s="102"/>
      <c r="U26" s="7" t="s">
        <v>90</v>
      </c>
      <c r="V26" s="4">
        <v>65</v>
      </c>
      <c r="W26" s="5">
        <v>79.150000000000006</v>
      </c>
      <c r="X26" s="5">
        <v>114.25</v>
      </c>
      <c r="Y26" s="8">
        <v>-0.48199999999999998</v>
      </c>
      <c r="Z26" s="8">
        <v>0.192</v>
      </c>
      <c r="AA26" s="5">
        <v>-35.1</v>
      </c>
      <c r="AB26" s="6">
        <v>-3.0294268686859968E-3</v>
      </c>
      <c r="AC26" s="4">
        <v>0</v>
      </c>
      <c r="AD26" s="6">
        <v>0</v>
      </c>
      <c r="AE26" s="5">
        <v>15886.85</v>
      </c>
      <c r="AF26" s="5">
        <v>16213.55</v>
      </c>
      <c r="AG26" s="5">
        <v>326.7</v>
      </c>
      <c r="AH26" s="5">
        <v>2.0564</v>
      </c>
      <c r="AI26" s="4">
        <v>1</v>
      </c>
      <c r="AJ26" s="5">
        <v>-1.6667000000000001E-2</v>
      </c>
      <c r="AK26" s="5">
        <v>324.05220000000003</v>
      </c>
      <c r="AL26" s="5">
        <v>2.0398000000000001</v>
      </c>
      <c r="AM26" s="8">
        <v>1.7299999999999999E-2</v>
      </c>
      <c r="AN26" s="8">
        <v>2.2012</v>
      </c>
      <c r="AO26" s="15">
        <v>265.30220000000003</v>
      </c>
      <c r="AP26" s="15">
        <v>1.5327</v>
      </c>
      <c r="AQ26" s="5">
        <v>100.17829999999999</v>
      </c>
      <c r="AR26" s="5">
        <v>100.17829999999999</v>
      </c>
      <c r="AS26" s="4">
        <v>0</v>
      </c>
      <c r="AT26" s="4">
        <v>0</v>
      </c>
      <c r="AU26" s="8">
        <v>1.4793000000000001</v>
      </c>
      <c r="AV26" s="8">
        <v>0.30420000000000003</v>
      </c>
      <c r="AW26" s="8">
        <v>0.30420000000000003</v>
      </c>
      <c r="AX26" s="5">
        <v>98.966200000000001</v>
      </c>
      <c r="AY26" s="5">
        <v>-1.0338000000000001</v>
      </c>
      <c r="AZ26" s="7" t="s">
        <v>96</v>
      </c>
    </row>
    <row r="27" spans="1:52" ht="18" customHeight="1" x14ac:dyDescent="0.25">
      <c r="A27" s="10">
        <v>13</v>
      </c>
      <c r="B27" s="10">
        <v>2</v>
      </c>
      <c r="C27" s="10">
        <v>13</v>
      </c>
      <c r="D27" s="86">
        <v>43755</v>
      </c>
      <c r="E27" s="86">
        <v>43756</v>
      </c>
      <c r="F27" s="86">
        <v>43769</v>
      </c>
      <c r="G27" s="11">
        <v>11586.35</v>
      </c>
      <c r="H27" s="11">
        <v>11661.85</v>
      </c>
      <c r="I27" s="12"/>
      <c r="J27" s="12"/>
      <c r="K27" s="91">
        <f t="array" ref="K27">MAX(IF((D27&lt;[1]Nifty_D!$B$2:$B$6600)*(E27&gt;=[1]Nifty_D!$B$2:$B$6600),[1]Nifty_D!$F$2:$F$6600,""))</f>
        <v>11661.85</v>
      </c>
      <c r="L27" s="92">
        <f t="shared" ref="L27:L71" si="6">K27/G27-1</f>
        <v>6.5162885636977919E-3</v>
      </c>
      <c r="M27" s="91">
        <f t="shared" si="3"/>
        <v>37.950000000000728</v>
      </c>
      <c r="N27" s="93">
        <f t="array" ref="N27">INDEX([1]Nifty_D!$B$2:$B$6600,MATCH(E27,[1]Nifty_D!$B$2:$B$6600,0)-1)</f>
        <v>43755</v>
      </c>
      <c r="O27" s="89">
        <f>VLOOKUP(N27,[1]Nifty_D!$B$2:$F$6600,5,0)</f>
        <v>11586.35</v>
      </c>
      <c r="P27" s="92">
        <f t="shared" si="4"/>
        <v>0</v>
      </c>
      <c r="Q27" s="12" t="s">
        <v>40</v>
      </c>
      <c r="R27" s="10">
        <v>11500</v>
      </c>
      <c r="S27" s="103">
        <f>MROUND(G27,500)</f>
        <v>11500</v>
      </c>
      <c r="T27" s="103">
        <f>S27-R27</f>
        <v>0</v>
      </c>
      <c r="U27" s="12" t="s">
        <v>92</v>
      </c>
      <c r="V27" s="10">
        <v>65</v>
      </c>
      <c r="W27" s="10">
        <v>87</v>
      </c>
      <c r="X27" s="11">
        <v>63.35</v>
      </c>
      <c r="Y27" s="13">
        <v>-0.2399</v>
      </c>
      <c r="Z27" s="13">
        <v>9.4899999999999998E-2</v>
      </c>
      <c r="AA27" s="10">
        <v>0</v>
      </c>
      <c r="AB27" s="14">
        <v>0</v>
      </c>
      <c r="AC27" s="11">
        <v>-23.65</v>
      </c>
      <c r="AD27" s="14">
        <v>-2.0411950269066609E-3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 t="s">
        <v>96</v>
      </c>
    </row>
    <row r="28" spans="1:52" ht="18" hidden="1" customHeight="1" x14ac:dyDescent="0.25">
      <c r="A28" s="4">
        <v>14</v>
      </c>
      <c r="B28" s="4">
        <v>1</v>
      </c>
      <c r="C28" s="4">
        <v>14</v>
      </c>
      <c r="D28" s="85">
        <v>43756</v>
      </c>
      <c r="E28" s="85">
        <v>43761</v>
      </c>
      <c r="F28" s="85">
        <v>43762</v>
      </c>
      <c r="G28" s="5">
        <v>11661.85</v>
      </c>
      <c r="H28" s="5">
        <v>11604.1</v>
      </c>
      <c r="I28" s="5">
        <v>-57.75</v>
      </c>
      <c r="J28" s="6">
        <v>-4.9520444869381782E-3</v>
      </c>
      <c r="K28" s="91">
        <f t="array" ref="K28">MAX(IF((D28&lt;[1]Nifty_D!$B$2:$B$6600)*(E28&gt;=[1]Nifty_D!$B$2:$B$6600),[1]Nifty_D!$F$2:$F$6600,""))</f>
        <v>11604.1</v>
      </c>
      <c r="L28" s="92">
        <f t="shared" si="6"/>
        <v>-4.9520444869382008E-3</v>
      </c>
      <c r="M28" s="91">
        <f t="shared" si="3"/>
        <v>-19.799999999999272</v>
      </c>
      <c r="N28" s="93">
        <f t="array" ref="N28">INDEX([1]Nifty_D!$B$2:$B$6600,MATCH(E28,[1]Nifty_D!$B$2:$B$6600,0)-1)</f>
        <v>43760</v>
      </c>
      <c r="O28" s="89">
        <f>VLOOKUP(N28,[1]Nifty_D!$B$2:$F$6600,5,0)</f>
        <v>11588.35</v>
      </c>
      <c r="P28" s="92">
        <f t="shared" si="4"/>
        <v>-6.302602074284902E-3</v>
      </c>
      <c r="Q28" s="7" t="s">
        <v>28</v>
      </c>
      <c r="R28" s="4">
        <v>11700</v>
      </c>
      <c r="S28" s="102"/>
      <c r="T28" s="102"/>
      <c r="U28" s="7" t="s">
        <v>90</v>
      </c>
      <c r="V28" s="4">
        <v>65</v>
      </c>
      <c r="W28" s="5">
        <v>62.35</v>
      </c>
      <c r="X28" s="5">
        <v>13.65</v>
      </c>
      <c r="Y28" s="8">
        <v>-9.3899999999999997E-2</v>
      </c>
      <c r="Z28" s="8">
        <v>0.45190000000000002</v>
      </c>
      <c r="AA28" s="5">
        <v>48.7</v>
      </c>
      <c r="AB28" s="6">
        <v>4.1760098097643169E-3</v>
      </c>
      <c r="AC28" s="4">
        <v>0</v>
      </c>
      <c r="AD28" s="6">
        <v>0</v>
      </c>
      <c r="AE28" s="5">
        <v>16213.55</v>
      </c>
      <c r="AF28" s="5">
        <v>16247.7</v>
      </c>
      <c r="AG28" s="5">
        <v>34.15</v>
      </c>
      <c r="AH28" s="5">
        <v>0.21060000000000001</v>
      </c>
      <c r="AI28" s="4">
        <v>5</v>
      </c>
      <c r="AJ28" s="5">
        <v>-8.3333000000000004E-2</v>
      </c>
      <c r="AK28" s="5">
        <v>20.6387</v>
      </c>
      <c r="AL28" s="5">
        <v>0.1273</v>
      </c>
      <c r="AM28" s="8">
        <v>-0.57320000000000004</v>
      </c>
      <c r="AN28" s="8">
        <v>0.76580000000000004</v>
      </c>
      <c r="AO28" s="15">
        <v>62.088700000000003</v>
      </c>
      <c r="AP28" s="15">
        <v>0.48270000000000002</v>
      </c>
      <c r="AQ28" s="5">
        <v>100.6619</v>
      </c>
      <c r="AR28" s="5">
        <v>100.6619</v>
      </c>
      <c r="AS28" s="4">
        <v>0</v>
      </c>
      <c r="AT28" s="4">
        <v>0</v>
      </c>
      <c r="AU28" s="8">
        <v>0.50509999999999999</v>
      </c>
      <c r="AV28" s="8">
        <v>5.5999999999999999E-3</v>
      </c>
      <c r="AW28" s="8">
        <v>5.5999999999999999E-3</v>
      </c>
      <c r="AX28" s="5">
        <v>100.184</v>
      </c>
      <c r="AY28" s="5">
        <v>5.5999999999999999E-3</v>
      </c>
      <c r="AZ28" s="7" t="s">
        <v>91</v>
      </c>
    </row>
    <row r="29" spans="1:52" ht="18" customHeight="1" x14ac:dyDescent="0.25">
      <c r="A29" s="10">
        <v>14</v>
      </c>
      <c r="B29" s="10">
        <v>2</v>
      </c>
      <c r="C29" s="10">
        <v>14</v>
      </c>
      <c r="D29" s="86">
        <v>43756</v>
      </c>
      <c r="E29" s="86">
        <v>43761</v>
      </c>
      <c r="F29" s="86">
        <v>43769</v>
      </c>
      <c r="G29" s="11">
        <v>11661.85</v>
      </c>
      <c r="H29" s="11">
        <v>11604.1</v>
      </c>
      <c r="I29" s="12"/>
      <c r="J29" s="12"/>
      <c r="K29" s="91">
        <f t="array" ref="K29">MAX(IF((D29&lt;[1]Nifty_D!$B$2:$B$6600)*(E29&gt;=[1]Nifty_D!$B$2:$B$6600),[1]Nifty_D!$F$2:$F$6600,""))</f>
        <v>11604.1</v>
      </c>
      <c r="L29" s="92">
        <f t="shared" si="6"/>
        <v>-4.9520444869382008E-3</v>
      </c>
      <c r="M29" s="91">
        <f t="shared" si="3"/>
        <v>-19.799999999999272</v>
      </c>
      <c r="N29" s="93">
        <f t="array" ref="N29">INDEX([1]Nifty_D!$B$2:$B$6600,MATCH(E29,[1]Nifty_D!$B$2:$B$6600,0)-1)</f>
        <v>43760</v>
      </c>
      <c r="O29" s="89">
        <f>VLOOKUP(N29,[1]Nifty_D!$B$2:$F$6600,5,0)</f>
        <v>11588.35</v>
      </c>
      <c r="P29" s="92">
        <f t="shared" si="4"/>
        <v>-6.302602074284902E-3</v>
      </c>
      <c r="Q29" s="12" t="s">
        <v>40</v>
      </c>
      <c r="R29" s="10">
        <v>11500</v>
      </c>
      <c r="S29" s="103">
        <f>MROUND(G29,500)</f>
        <v>11500</v>
      </c>
      <c r="T29" s="103">
        <f>S29-R29</f>
        <v>0</v>
      </c>
      <c r="U29" s="12" t="s">
        <v>92</v>
      </c>
      <c r="V29" s="10">
        <v>65</v>
      </c>
      <c r="W29" s="11">
        <v>63.35</v>
      </c>
      <c r="X29" s="11">
        <v>56.1</v>
      </c>
      <c r="Y29" s="13">
        <v>-0.1668</v>
      </c>
      <c r="Z29" s="13">
        <v>0.12690000000000001</v>
      </c>
      <c r="AA29" s="10">
        <v>0</v>
      </c>
      <c r="AB29" s="14">
        <v>0</v>
      </c>
      <c r="AC29" s="11">
        <v>-7.25</v>
      </c>
      <c r="AD29" s="14">
        <v>-6.2168523861994452E-4</v>
      </c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 t="s">
        <v>91</v>
      </c>
    </row>
    <row r="30" spans="1:52" ht="18" hidden="1" customHeight="1" x14ac:dyDescent="0.25">
      <c r="A30" s="4">
        <v>15</v>
      </c>
      <c r="B30" s="4">
        <v>1</v>
      </c>
      <c r="C30" s="4">
        <v>15</v>
      </c>
      <c r="D30" s="85">
        <v>43761</v>
      </c>
      <c r="E30" s="85">
        <v>43767</v>
      </c>
      <c r="F30" s="85">
        <v>43769</v>
      </c>
      <c r="G30" s="5">
        <v>11604.1</v>
      </c>
      <c r="H30" s="5">
        <v>11786.85</v>
      </c>
      <c r="I30" s="5">
        <v>182.75</v>
      </c>
      <c r="J30" s="6">
        <v>1.5748743978421419E-2</v>
      </c>
      <c r="K30" s="91">
        <f t="array" ref="K30">MAX(IF((D30&lt;[1]Nifty_D!$B$2:$B$6600)*(E30&gt;=[1]Nifty_D!$B$2:$B$6600),[1]Nifty_D!$F$2:$F$6600,""))</f>
        <v>11786.85</v>
      </c>
      <c r="L30" s="92">
        <f t="shared" si="6"/>
        <v>1.5748743978421409E-2</v>
      </c>
      <c r="M30" s="91">
        <f t="shared" si="3"/>
        <v>162.95000000000073</v>
      </c>
      <c r="N30" s="93">
        <f t="array" ref="N30">INDEX([1]Nifty_D!$B$2:$B$6600,MATCH(E30,[1]Nifty_D!$B$2:$B$6600,0)-1)</f>
        <v>43765</v>
      </c>
      <c r="O30" s="89">
        <f>VLOOKUP(N30,[1]Nifty_D!$B$2:$F$6600,5,0)</f>
        <v>11627.15</v>
      </c>
      <c r="P30" s="92">
        <f t="shared" si="4"/>
        <v>1.9863668875654827E-3</v>
      </c>
      <c r="Q30" s="7" t="s">
        <v>28</v>
      </c>
      <c r="R30" s="4">
        <v>11600</v>
      </c>
      <c r="S30" s="102"/>
      <c r="T30" s="102"/>
      <c r="U30" s="7" t="s">
        <v>90</v>
      </c>
      <c r="V30" s="4">
        <v>65</v>
      </c>
      <c r="W30" s="5">
        <v>117.65</v>
      </c>
      <c r="X30" s="4">
        <v>203</v>
      </c>
      <c r="Y30" s="8">
        <v>-0.99360000000000004</v>
      </c>
      <c r="Z30" s="8">
        <v>0.64680000000000004</v>
      </c>
      <c r="AA30" s="5">
        <v>-85.35</v>
      </c>
      <c r="AB30" s="6">
        <v>-7.3551589524392244E-3</v>
      </c>
      <c r="AC30" s="4">
        <v>0</v>
      </c>
      <c r="AD30" s="6">
        <v>0</v>
      </c>
      <c r="AE30" s="5">
        <v>16247.7</v>
      </c>
      <c r="AF30" s="5">
        <v>16478.400000000001</v>
      </c>
      <c r="AG30" s="5">
        <v>230.7</v>
      </c>
      <c r="AH30" s="5">
        <v>1.4198999999999999</v>
      </c>
      <c r="AI30" s="4">
        <v>6</v>
      </c>
      <c r="AJ30" s="5">
        <v>-0.1</v>
      </c>
      <c r="AK30" s="5">
        <v>214.45230000000001</v>
      </c>
      <c r="AL30" s="5">
        <v>1.3199000000000001</v>
      </c>
      <c r="AM30" s="8">
        <v>-0.98970000000000002</v>
      </c>
      <c r="AN30" s="8">
        <v>1.6893</v>
      </c>
      <c r="AO30" s="15">
        <v>77.752300000000005</v>
      </c>
      <c r="AP30" s="15">
        <v>0.1419</v>
      </c>
      <c r="AQ30" s="5">
        <v>100.8047</v>
      </c>
      <c r="AR30" s="5">
        <v>100.8047</v>
      </c>
      <c r="AS30" s="4">
        <v>0</v>
      </c>
      <c r="AT30" s="4">
        <v>0</v>
      </c>
      <c r="AU30" s="8">
        <v>0.24929999999999999</v>
      </c>
      <c r="AV30" s="8">
        <v>-0.1227</v>
      </c>
      <c r="AW30" s="8">
        <v>-0.1227</v>
      </c>
      <c r="AX30" s="5">
        <v>100.5384</v>
      </c>
      <c r="AY30" s="5">
        <v>-0.1227</v>
      </c>
      <c r="AZ30" s="7" t="s">
        <v>97</v>
      </c>
    </row>
    <row r="31" spans="1:52" ht="18" customHeight="1" x14ac:dyDescent="0.25">
      <c r="A31" s="10">
        <v>15</v>
      </c>
      <c r="B31" s="10">
        <v>2</v>
      </c>
      <c r="C31" s="10">
        <v>15</v>
      </c>
      <c r="D31" s="86">
        <v>43761</v>
      </c>
      <c r="E31" s="86">
        <v>43767</v>
      </c>
      <c r="F31" s="86">
        <v>43769</v>
      </c>
      <c r="G31" s="11">
        <v>11604.1</v>
      </c>
      <c r="H31" s="11">
        <v>11786.85</v>
      </c>
      <c r="I31" s="12"/>
      <c r="J31" s="12"/>
      <c r="K31" s="91">
        <f t="array" ref="K31">MAX(IF((D31&lt;[1]Nifty_D!$B$2:$B$6600)*(E31&gt;=[1]Nifty_D!$B$2:$B$6600),[1]Nifty_D!$F$2:$F$6600,""))</f>
        <v>11786.85</v>
      </c>
      <c r="L31" s="92">
        <f t="shared" si="6"/>
        <v>1.5748743978421409E-2</v>
      </c>
      <c r="M31" s="91">
        <f t="shared" si="3"/>
        <v>162.95000000000073</v>
      </c>
      <c r="N31" s="93">
        <f t="array" ref="N31">INDEX([1]Nifty_D!$B$2:$B$6600,MATCH(E31,[1]Nifty_D!$B$2:$B$6600,0)-1)</f>
        <v>43765</v>
      </c>
      <c r="O31" s="89">
        <f>VLOOKUP(N31,[1]Nifty_D!$B$2:$F$6600,5,0)</f>
        <v>11627.15</v>
      </c>
      <c r="P31" s="92">
        <f t="shared" si="4"/>
        <v>1.9863668875654827E-3</v>
      </c>
      <c r="Q31" s="12" t="s">
        <v>40</v>
      </c>
      <c r="R31" s="10">
        <v>11500</v>
      </c>
      <c r="S31" s="103">
        <f>MROUND(G31,500)</f>
        <v>11500</v>
      </c>
      <c r="T31" s="103">
        <f>S31-R31</f>
        <v>0</v>
      </c>
      <c r="U31" s="12" t="s">
        <v>92</v>
      </c>
      <c r="V31" s="10">
        <v>65</v>
      </c>
      <c r="W31" s="11">
        <v>56.1</v>
      </c>
      <c r="X31" s="11">
        <v>4.75</v>
      </c>
      <c r="Y31" s="13">
        <v>-0.44640000000000002</v>
      </c>
      <c r="Z31" s="13">
        <v>0.22020000000000001</v>
      </c>
      <c r="AA31" s="10">
        <v>0</v>
      </c>
      <c r="AB31" s="14">
        <v>0</v>
      </c>
      <c r="AC31" s="11">
        <v>-51.35</v>
      </c>
      <c r="AD31" s="14">
        <v>-4.4251600727329126E-3</v>
      </c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 t="s">
        <v>97</v>
      </c>
    </row>
    <row r="32" spans="1:52" ht="18" hidden="1" customHeight="1" x14ac:dyDescent="0.25">
      <c r="A32" s="4">
        <v>16</v>
      </c>
      <c r="B32" s="4">
        <v>1</v>
      </c>
      <c r="C32" s="4">
        <v>16</v>
      </c>
      <c r="D32" s="85">
        <v>43767</v>
      </c>
      <c r="E32" s="85">
        <v>43768</v>
      </c>
      <c r="F32" s="85">
        <v>43769</v>
      </c>
      <c r="G32" s="5">
        <v>11786.85</v>
      </c>
      <c r="H32" s="5">
        <v>11844.1</v>
      </c>
      <c r="I32" s="5">
        <v>57.25</v>
      </c>
      <c r="J32" s="6">
        <v>4.8571077090147066E-3</v>
      </c>
      <c r="K32" s="91">
        <f t="array" ref="K32">MAX(IF((D32&lt;[1]Nifty_D!$B$2:$B$6600)*(E32&gt;=[1]Nifty_D!$B$2:$B$6600),[1]Nifty_D!$F$2:$F$6600,""))</f>
        <v>11844.1</v>
      </c>
      <c r="L32" s="92">
        <f t="shared" si="6"/>
        <v>4.8571077090147075E-3</v>
      </c>
      <c r="M32" s="91">
        <f t="shared" si="3"/>
        <v>220.20000000000073</v>
      </c>
      <c r="N32" s="93">
        <f t="array" ref="N32">INDEX([1]Nifty_D!$B$2:$B$6600,MATCH(E32,[1]Nifty_D!$B$2:$B$6600,0)-1)</f>
        <v>43767</v>
      </c>
      <c r="O32" s="89">
        <f>VLOOKUP(N32,[1]Nifty_D!$B$2:$F$6600,5,0)</f>
        <v>11786.85</v>
      </c>
      <c r="P32" s="92">
        <f t="shared" si="4"/>
        <v>0</v>
      </c>
      <c r="Q32" s="7" t="s">
        <v>28</v>
      </c>
      <c r="R32" s="4">
        <v>11800</v>
      </c>
      <c r="S32" s="102"/>
      <c r="T32" s="102"/>
      <c r="U32" s="7" t="s">
        <v>90</v>
      </c>
      <c r="V32" s="4">
        <v>65</v>
      </c>
      <c r="W32" s="5">
        <v>50.5</v>
      </c>
      <c r="X32" s="5">
        <v>60.7</v>
      </c>
      <c r="Y32" s="8">
        <v>-0.37580000000000002</v>
      </c>
      <c r="Z32" s="8">
        <v>7.9299999999999995E-2</v>
      </c>
      <c r="AA32" s="5">
        <v>-10.199999999999999</v>
      </c>
      <c r="AB32" s="6">
        <v>-8.6537115514323157E-4</v>
      </c>
      <c r="AC32" s="4">
        <v>0</v>
      </c>
      <c r="AD32" s="6">
        <v>0</v>
      </c>
      <c r="AE32" s="5">
        <v>16478.400000000001</v>
      </c>
      <c r="AF32" s="5">
        <v>16583.45</v>
      </c>
      <c r="AG32" s="5">
        <v>105.05</v>
      </c>
      <c r="AH32" s="5">
        <v>0.63749999999999996</v>
      </c>
      <c r="AI32" s="4">
        <v>1</v>
      </c>
      <c r="AJ32" s="5">
        <v>-1.6667000000000001E-2</v>
      </c>
      <c r="AK32" s="5">
        <v>102.3036</v>
      </c>
      <c r="AL32" s="5">
        <v>0.62080000000000002</v>
      </c>
      <c r="AM32" s="8">
        <v>3.5499999999999997E-2</v>
      </c>
      <c r="AN32" s="8">
        <v>0.80400000000000005</v>
      </c>
      <c r="AO32" s="15">
        <v>44.303600000000003</v>
      </c>
      <c r="AP32" s="15">
        <v>0.12870000000000001</v>
      </c>
      <c r="AQ32" s="5">
        <v>100.9345</v>
      </c>
      <c r="AR32" s="5">
        <v>100.9345</v>
      </c>
      <c r="AS32" s="4">
        <v>0</v>
      </c>
      <c r="AT32" s="4">
        <v>0</v>
      </c>
      <c r="AU32" s="8">
        <v>-0.2336</v>
      </c>
      <c r="AV32" s="8">
        <v>0.19120000000000001</v>
      </c>
      <c r="AW32" s="8">
        <v>-0.2336</v>
      </c>
      <c r="AX32" s="5">
        <v>100.5693</v>
      </c>
      <c r="AY32" s="5">
        <v>-0.2336</v>
      </c>
      <c r="AZ32" s="7" t="s">
        <v>91</v>
      </c>
    </row>
    <row r="33" spans="1:52" ht="18" customHeight="1" x14ac:dyDescent="0.25">
      <c r="A33" s="10">
        <v>16</v>
      </c>
      <c r="B33" s="10">
        <v>2</v>
      </c>
      <c r="C33" s="10">
        <v>16</v>
      </c>
      <c r="D33" s="86">
        <v>43767</v>
      </c>
      <c r="E33" s="86">
        <v>43768</v>
      </c>
      <c r="F33" s="86">
        <v>43769</v>
      </c>
      <c r="G33" s="11">
        <v>11786.85</v>
      </c>
      <c r="H33" s="11">
        <v>11844.1</v>
      </c>
      <c r="I33" s="12"/>
      <c r="J33" s="12"/>
      <c r="K33" s="91">
        <f t="array" ref="K33">MAX(IF((D33&lt;[1]Nifty_D!$B$2:$B$6600)*(E33&gt;=[1]Nifty_D!$B$2:$B$6600),[1]Nifty_D!$F$2:$F$6600,""))</f>
        <v>11844.1</v>
      </c>
      <c r="L33" s="92">
        <f t="shared" si="6"/>
        <v>4.8571077090147075E-3</v>
      </c>
      <c r="M33" s="91">
        <f t="shared" si="3"/>
        <v>220.20000000000073</v>
      </c>
      <c r="N33" s="93">
        <f t="array" ref="N33">INDEX([1]Nifty_D!$B$2:$B$6600,MATCH(E33,[1]Nifty_D!$B$2:$B$6600,0)-1)</f>
        <v>43767</v>
      </c>
      <c r="O33" s="89">
        <f>VLOOKUP(N33,[1]Nifty_D!$B$2:$F$6600,5,0)</f>
        <v>11786.85</v>
      </c>
      <c r="P33" s="92">
        <f t="shared" si="4"/>
        <v>0</v>
      </c>
      <c r="Q33" s="12" t="s">
        <v>40</v>
      </c>
      <c r="R33" s="10">
        <v>12000</v>
      </c>
      <c r="S33" s="103">
        <f>MROUND(G33,500)</f>
        <v>12000</v>
      </c>
      <c r="T33" s="103">
        <f>S33-R33</f>
        <v>0</v>
      </c>
      <c r="U33" s="12" t="s">
        <v>92</v>
      </c>
      <c r="V33" s="10">
        <v>65</v>
      </c>
      <c r="W33" s="11">
        <v>210.1</v>
      </c>
      <c r="X33" s="11">
        <v>162.30000000000001</v>
      </c>
      <c r="Y33" s="13">
        <v>-0.66180000000000005</v>
      </c>
      <c r="Z33" s="13">
        <v>7.6399999999999996E-2</v>
      </c>
      <c r="AA33" s="10">
        <v>0</v>
      </c>
      <c r="AB33" s="14">
        <v>0</v>
      </c>
      <c r="AC33" s="11">
        <v>-47.8</v>
      </c>
      <c r="AD33" s="14">
        <v>-4.0553667858673013E-3</v>
      </c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 t="s">
        <v>91</v>
      </c>
    </row>
    <row r="34" spans="1:52" ht="18" hidden="1" customHeight="1" x14ac:dyDescent="0.25">
      <c r="A34" s="4">
        <v>17</v>
      </c>
      <c r="B34" s="4">
        <v>1</v>
      </c>
      <c r="C34" s="4">
        <v>17</v>
      </c>
      <c r="D34" s="85">
        <v>43768</v>
      </c>
      <c r="E34" s="85">
        <v>43775</v>
      </c>
      <c r="F34" s="85">
        <v>43776</v>
      </c>
      <c r="G34" s="5">
        <v>11844.1</v>
      </c>
      <c r="H34" s="5">
        <v>11966.05</v>
      </c>
      <c r="I34" s="5">
        <v>121.95</v>
      </c>
      <c r="J34" s="6">
        <v>1.029626565125252E-2</v>
      </c>
      <c r="K34" s="91">
        <f t="array" ref="K34">MAX(IF((D34&lt;[1]Nifty_D!$B$2:$B$6600)*(E34&gt;=[1]Nifty_D!$B$2:$B$6600),[1]Nifty_D!$F$2:$F$6600,""))</f>
        <v>11966.05</v>
      </c>
      <c r="L34" s="92">
        <f t="shared" si="6"/>
        <v>1.0296265651252412E-2</v>
      </c>
      <c r="M34" s="91">
        <f t="shared" si="3"/>
        <v>342.14999999999964</v>
      </c>
      <c r="N34" s="93">
        <f t="array" ref="N34">INDEX([1]Nifty_D!$B$2:$B$6600,MATCH(E34,[1]Nifty_D!$B$2:$B$6600,0)-1)</f>
        <v>43774</v>
      </c>
      <c r="O34" s="89">
        <f>VLOOKUP(N34,[1]Nifty_D!$B$2:$F$6600,5,0)</f>
        <v>11917.2</v>
      </c>
      <c r="P34" s="92">
        <f t="shared" si="4"/>
        <v>6.1718492751665632E-3</v>
      </c>
      <c r="Q34" s="7" t="s">
        <v>28</v>
      </c>
      <c r="R34" s="4">
        <v>11800</v>
      </c>
      <c r="S34" s="102"/>
      <c r="T34" s="102"/>
      <c r="U34" s="7" t="s">
        <v>90</v>
      </c>
      <c r="V34" s="4">
        <v>65</v>
      </c>
      <c r="W34" s="5">
        <v>137.55000000000001</v>
      </c>
      <c r="X34" s="5">
        <v>177.8</v>
      </c>
      <c r="Y34" s="8">
        <v>-0.6915</v>
      </c>
      <c r="Z34" s="8">
        <v>0.51590000000000003</v>
      </c>
      <c r="AA34" s="5">
        <v>-40.25</v>
      </c>
      <c r="AB34" s="6">
        <v>-3.398316461360509E-3</v>
      </c>
      <c r="AC34" s="4">
        <v>0</v>
      </c>
      <c r="AD34" s="6">
        <v>0</v>
      </c>
      <c r="AE34" s="5">
        <v>16583.45</v>
      </c>
      <c r="AF34" s="5">
        <v>16681.599999999999</v>
      </c>
      <c r="AG34" s="5">
        <v>98.15</v>
      </c>
      <c r="AH34" s="5">
        <v>0.59189999999999998</v>
      </c>
      <c r="AI34" s="4">
        <v>7</v>
      </c>
      <c r="AJ34" s="5">
        <v>-0.11666700000000001</v>
      </c>
      <c r="AK34" s="5">
        <v>78.802599999999998</v>
      </c>
      <c r="AL34" s="5">
        <v>0.47520000000000001</v>
      </c>
      <c r="AM34" s="8">
        <v>0.1163</v>
      </c>
      <c r="AN34" s="8">
        <v>2.6175000000000002</v>
      </c>
      <c r="AO34" s="9">
        <v>-59.797400000000003</v>
      </c>
      <c r="AP34" s="9">
        <v>-0.69499999999999995</v>
      </c>
      <c r="AQ34" s="5">
        <v>100.233</v>
      </c>
      <c r="AR34" s="5">
        <v>100.9345</v>
      </c>
      <c r="AS34" s="5">
        <v>-0.70150000000000001</v>
      </c>
      <c r="AT34" s="5">
        <v>-0.69499999999999995</v>
      </c>
      <c r="AU34" s="8">
        <v>0.96519999999999995</v>
      </c>
      <c r="AV34" s="8">
        <v>0.59719999999999995</v>
      </c>
      <c r="AW34" s="8">
        <v>-0.69499999999999995</v>
      </c>
      <c r="AX34" s="5">
        <v>100.233</v>
      </c>
      <c r="AY34" s="5">
        <v>-0.69499999999999995</v>
      </c>
      <c r="AZ34" s="7" t="s">
        <v>93</v>
      </c>
    </row>
    <row r="35" spans="1:52" ht="18" customHeight="1" x14ac:dyDescent="0.25">
      <c r="A35" s="10">
        <v>17</v>
      </c>
      <c r="B35" s="10">
        <v>2</v>
      </c>
      <c r="C35" s="10">
        <v>17</v>
      </c>
      <c r="D35" s="86">
        <v>43768</v>
      </c>
      <c r="E35" s="86">
        <v>43775</v>
      </c>
      <c r="F35" s="86">
        <v>43797</v>
      </c>
      <c r="G35" s="11">
        <v>11844.1</v>
      </c>
      <c r="H35" s="11">
        <v>11966.05</v>
      </c>
      <c r="I35" s="12"/>
      <c r="J35" s="12"/>
      <c r="K35" s="91">
        <f t="array" ref="K35">MAX(IF((D35&lt;[1]Nifty_D!$B$2:$B$6600)*(E35&gt;=[1]Nifty_D!$B$2:$B$6600),[1]Nifty_D!$F$2:$F$6600,""))</f>
        <v>11966.05</v>
      </c>
      <c r="L35" s="92">
        <f t="shared" si="6"/>
        <v>1.0296265651252412E-2</v>
      </c>
      <c r="M35" s="91">
        <f t="shared" si="3"/>
        <v>342.14999999999964</v>
      </c>
      <c r="N35" s="93">
        <f t="array" ref="N35">INDEX([1]Nifty_D!$B$2:$B$6600,MATCH(E35,[1]Nifty_D!$B$2:$B$6600,0)-1)</f>
        <v>43774</v>
      </c>
      <c r="O35" s="89">
        <f>VLOOKUP(N35,[1]Nifty_D!$B$2:$F$6600,5,0)</f>
        <v>11917.2</v>
      </c>
      <c r="P35" s="92">
        <f t="shared" si="4"/>
        <v>6.1718492751665632E-3</v>
      </c>
      <c r="Q35" s="12" t="s">
        <v>40</v>
      </c>
      <c r="R35" s="10">
        <v>12000</v>
      </c>
      <c r="S35" s="103">
        <f>MROUND(G35,500)</f>
        <v>12000</v>
      </c>
      <c r="T35" s="103">
        <f>S35-R35</f>
        <v>0</v>
      </c>
      <c r="U35" s="12" t="s">
        <v>92</v>
      </c>
      <c r="V35" s="10">
        <v>65</v>
      </c>
      <c r="W35" s="11">
        <v>257.8</v>
      </c>
      <c r="X35" s="11">
        <v>159.44999999999999</v>
      </c>
      <c r="Y35" s="13">
        <v>-0.96079999999999999</v>
      </c>
      <c r="Z35" s="13">
        <v>-3.5000000000000003E-2</v>
      </c>
      <c r="AA35" s="10">
        <v>0</v>
      </c>
      <c r="AB35" s="14">
        <v>0</v>
      </c>
      <c r="AC35" s="11">
        <v>-98.35</v>
      </c>
      <c r="AD35" s="14">
        <v>-8.3037123968895902E-3</v>
      </c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 t="s">
        <v>93</v>
      </c>
    </row>
    <row r="36" spans="1:52" ht="18" hidden="1" customHeight="1" x14ac:dyDescent="0.25">
      <c r="A36" s="4">
        <v>18</v>
      </c>
      <c r="B36" s="4">
        <v>1</v>
      </c>
      <c r="C36" s="4">
        <v>18</v>
      </c>
      <c r="D36" s="85">
        <v>43775</v>
      </c>
      <c r="E36" s="85">
        <v>43782</v>
      </c>
      <c r="F36" s="85">
        <v>43783</v>
      </c>
      <c r="G36" s="5">
        <v>11966.05</v>
      </c>
      <c r="H36" s="5">
        <v>11840.45</v>
      </c>
      <c r="I36" s="5">
        <v>-125.6</v>
      </c>
      <c r="J36" s="6">
        <v>-1.0496362625929191E-2</v>
      </c>
      <c r="K36" s="91">
        <f t="array" ref="K36">MAX(IF((D36&lt;[1]Nifty_D!$B$2:$B$6600)*(E36&gt;=[1]Nifty_D!$B$2:$B$6600),[1]Nifty_D!$F$2:$F$6600,""))</f>
        <v>12012.05</v>
      </c>
      <c r="L36" s="92">
        <f t="shared" si="6"/>
        <v>3.8442092419803675E-3</v>
      </c>
      <c r="M36" s="91">
        <f t="shared" si="3"/>
        <v>388.14999999999964</v>
      </c>
      <c r="N36" s="93">
        <f t="array" ref="N36">INDEX([1]Nifty_D!$B$2:$B$6600,MATCH(E36,[1]Nifty_D!$B$2:$B$6600,0)-1)</f>
        <v>43780</v>
      </c>
      <c r="O36" s="89">
        <f>VLOOKUP(N36,[1]Nifty_D!$B$2:$F$6600,5,0)</f>
        <v>11913.45</v>
      </c>
      <c r="P36" s="92">
        <f t="shared" si="4"/>
        <v>-4.3957696984383565E-3</v>
      </c>
      <c r="Q36" s="7" t="s">
        <v>28</v>
      </c>
      <c r="R36" s="4">
        <v>12000</v>
      </c>
      <c r="S36" s="102"/>
      <c r="T36" s="102"/>
      <c r="U36" s="7" t="s">
        <v>90</v>
      </c>
      <c r="V36" s="4">
        <v>65</v>
      </c>
      <c r="W36" s="5">
        <v>87.5</v>
      </c>
      <c r="X36" s="5">
        <v>3.1</v>
      </c>
      <c r="Y36" s="8">
        <v>-0.12870000000000001</v>
      </c>
      <c r="Z36" s="8">
        <v>0.71079999999999999</v>
      </c>
      <c r="AA36" s="5">
        <v>84.4</v>
      </c>
      <c r="AB36" s="6">
        <v>7.0532882613728006E-3</v>
      </c>
      <c r="AC36" s="4">
        <v>0</v>
      </c>
      <c r="AD36" s="6">
        <v>0</v>
      </c>
      <c r="AE36" s="5">
        <v>16681.599999999999</v>
      </c>
      <c r="AF36" s="5">
        <v>16698.599999999999</v>
      </c>
      <c r="AG36" s="4">
        <v>17</v>
      </c>
      <c r="AH36" s="5">
        <v>0.1019</v>
      </c>
      <c r="AI36" s="4">
        <v>7</v>
      </c>
      <c r="AJ36" s="5">
        <v>-0.11666700000000001</v>
      </c>
      <c r="AK36" s="5">
        <v>-2.4619</v>
      </c>
      <c r="AL36" s="5">
        <v>-1.4800000000000001E-2</v>
      </c>
      <c r="AM36" s="8">
        <v>-0.22520000000000001</v>
      </c>
      <c r="AN36" s="8">
        <v>1.2839</v>
      </c>
      <c r="AO36" s="15">
        <v>132.63810000000001</v>
      </c>
      <c r="AP36" s="15">
        <v>1.1142000000000001</v>
      </c>
      <c r="AQ36" s="5">
        <v>101.3498</v>
      </c>
      <c r="AR36" s="5">
        <v>101.3498</v>
      </c>
      <c r="AS36" s="4">
        <v>0</v>
      </c>
      <c r="AT36" s="4">
        <v>0</v>
      </c>
      <c r="AU36" s="8">
        <v>0.83350000000000002</v>
      </c>
      <c r="AV36" s="8">
        <v>1</v>
      </c>
      <c r="AW36" s="8">
        <v>0.83350000000000002</v>
      </c>
      <c r="AX36" s="5">
        <v>101.0684</v>
      </c>
      <c r="AY36" s="5">
        <v>0.13270000000000001</v>
      </c>
      <c r="AZ36" s="7" t="s">
        <v>91</v>
      </c>
    </row>
    <row r="37" spans="1:52" ht="18" customHeight="1" x14ac:dyDescent="0.25">
      <c r="A37" s="10">
        <v>18</v>
      </c>
      <c r="B37" s="10">
        <v>2</v>
      </c>
      <c r="C37" s="10">
        <v>18</v>
      </c>
      <c r="D37" s="86">
        <v>43775</v>
      </c>
      <c r="E37" s="86">
        <v>43782</v>
      </c>
      <c r="F37" s="86">
        <v>43797</v>
      </c>
      <c r="G37" s="11">
        <v>11966.05</v>
      </c>
      <c r="H37" s="11">
        <v>11840.45</v>
      </c>
      <c r="I37" s="12"/>
      <c r="J37" s="12"/>
      <c r="K37" s="91">
        <f t="array" ref="K37">MAX(IF((D37&lt;[1]Nifty_D!$B$2:$B$6600)*(E37&gt;=[1]Nifty_D!$B$2:$B$6600),[1]Nifty_D!$F$2:$F$6600,""))</f>
        <v>12012.05</v>
      </c>
      <c r="L37" s="92">
        <f t="shared" si="6"/>
        <v>3.8442092419803675E-3</v>
      </c>
      <c r="M37" s="91">
        <f t="shared" si="3"/>
        <v>388.14999999999964</v>
      </c>
      <c r="N37" s="93">
        <f t="array" ref="N37">INDEX([1]Nifty_D!$B$2:$B$6600,MATCH(E37,[1]Nifty_D!$B$2:$B$6600,0)-1)</f>
        <v>43780</v>
      </c>
      <c r="O37" s="89">
        <f>VLOOKUP(N37,[1]Nifty_D!$B$2:$F$6600,5,0)</f>
        <v>11913.45</v>
      </c>
      <c r="P37" s="92">
        <f t="shared" si="4"/>
        <v>-4.3957696984383565E-3</v>
      </c>
      <c r="Q37" s="12" t="s">
        <v>40</v>
      </c>
      <c r="R37" s="10">
        <v>12000</v>
      </c>
      <c r="S37" s="103">
        <f>MROUND(G37,500)</f>
        <v>12000</v>
      </c>
      <c r="T37" s="103">
        <f>S37-R37</f>
        <v>0</v>
      </c>
      <c r="U37" s="12" t="s">
        <v>92</v>
      </c>
      <c r="V37" s="10">
        <v>65</v>
      </c>
      <c r="W37" s="11">
        <v>159.44999999999999</v>
      </c>
      <c r="X37" s="11">
        <v>210.15</v>
      </c>
      <c r="Y37" s="13">
        <v>-0.32169999999999999</v>
      </c>
      <c r="Z37" s="13">
        <v>0.51439999999999997</v>
      </c>
      <c r="AA37" s="10">
        <v>0</v>
      </c>
      <c r="AB37" s="14">
        <v>0</v>
      </c>
      <c r="AC37" s="11">
        <v>50.7</v>
      </c>
      <c r="AD37" s="14">
        <v>4.2369871427914811E-3</v>
      </c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 t="s">
        <v>91</v>
      </c>
    </row>
    <row r="38" spans="1:52" ht="18" hidden="1" customHeight="1" x14ac:dyDescent="0.25">
      <c r="A38" s="4">
        <v>19</v>
      </c>
      <c r="B38" s="4">
        <v>1</v>
      </c>
      <c r="C38" s="4">
        <v>19</v>
      </c>
      <c r="D38" s="85">
        <v>43782</v>
      </c>
      <c r="E38" s="85">
        <v>43789</v>
      </c>
      <c r="F38" s="85">
        <v>43790</v>
      </c>
      <c r="G38" s="5">
        <v>11840.45</v>
      </c>
      <c r="H38" s="5">
        <v>11999.1</v>
      </c>
      <c r="I38" s="5">
        <v>158.65</v>
      </c>
      <c r="J38" s="6">
        <v>1.3398983991317901E-2</v>
      </c>
      <c r="K38" s="91">
        <f t="array" ref="K38">MAX(IF((D38&lt;[1]Nifty_D!$B$2:$B$6600)*(E38&gt;=[1]Nifty_D!$B$2:$B$6600),[1]Nifty_D!$F$2:$F$6600,""))</f>
        <v>11999.1</v>
      </c>
      <c r="L38" s="92">
        <f t="shared" si="6"/>
        <v>1.3398983991317781E-2</v>
      </c>
      <c r="M38" s="91">
        <f t="shared" si="3"/>
        <v>375.20000000000073</v>
      </c>
      <c r="N38" s="93">
        <f t="array" ref="N38">INDEX([1]Nifty_D!$B$2:$B$6600,MATCH(E38,[1]Nifty_D!$B$2:$B$6600,0)-1)</f>
        <v>43788</v>
      </c>
      <c r="O38" s="89">
        <f>VLOOKUP(N38,[1]Nifty_D!$B$2:$F$6600,5,0)</f>
        <v>11940.1</v>
      </c>
      <c r="P38" s="92">
        <f t="shared" si="4"/>
        <v>8.4160652677895964E-3</v>
      </c>
      <c r="Q38" s="7" t="s">
        <v>28</v>
      </c>
      <c r="R38" s="4">
        <v>11800</v>
      </c>
      <c r="S38" s="102"/>
      <c r="T38" s="102"/>
      <c r="U38" s="7" t="s">
        <v>90</v>
      </c>
      <c r="V38" s="4">
        <v>65</v>
      </c>
      <c r="W38" s="5">
        <v>121.1</v>
      </c>
      <c r="X38" s="5">
        <v>206.5</v>
      </c>
      <c r="Y38" s="8">
        <v>-1.0962000000000001</v>
      </c>
      <c r="Z38" s="8">
        <v>0.2331</v>
      </c>
      <c r="AA38" s="5">
        <v>-85.4</v>
      </c>
      <c r="AB38" s="6">
        <v>-7.2125637116832557E-3</v>
      </c>
      <c r="AC38" s="4">
        <v>0</v>
      </c>
      <c r="AD38" s="6">
        <v>0</v>
      </c>
      <c r="AE38" s="5">
        <v>16698.599999999999</v>
      </c>
      <c r="AF38" s="5">
        <v>16994.099999999999</v>
      </c>
      <c r="AG38" s="5">
        <v>295.5</v>
      </c>
      <c r="AH38" s="5">
        <v>1.7696000000000001</v>
      </c>
      <c r="AI38" s="4">
        <v>7</v>
      </c>
      <c r="AJ38" s="5">
        <v>-0.11666700000000001</v>
      </c>
      <c r="AK38" s="5">
        <v>276.01830000000001</v>
      </c>
      <c r="AL38" s="5">
        <v>1.6529</v>
      </c>
      <c r="AM38" s="8">
        <v>-0.56120000000000003</v>
      </c>
      <c r="AN38" s="8">
        <v>2.0548000000000002</v>
      </c>
      <c r="AO38" s="15">
        <v>60.668300000000002</v>
      </c>
      <c r="AP38" s="15">
        <v>-0.16589999999999999</v>
      </c>
      <c r="AQ38" s="5">
        <v>101.1816</v>
      </c>
      <c r="AR38" s="5">
        <v>101.3498</v>
      </c>
      <c r="AS38" s="5">
        <v>-0.1681</v>
      </c>
      <c r="AT38" s="5">
        <v>-0.16589999999999999</v>
      </c>
      <c r="AU38" s="8">
        <v>-0.27360000000000001</v>
      </c>
      <c r="AV38" s="8">
        <v>-0.1613</v>
      </c>
      <c r="AW38" s="8">
        <v>-0.27360000000000001</v>
      </c>
      <c r="AX38" s="5">
        <v>101.07250000000001</v>
      </c>
      <c r="AY38" s="5">
        <v>-0.27360000000000001</v>
      </c>
      <c r="AZ38" s="7" t="s">
        <v>98</v>
      </c>
    </row>
    <row r="39" spans="1:52" ht="18" customHeight="1" x14ac:dyDescent="0.25">
      <c r="A39" s="10">
        <v>19</v>
      </c>
      <c r="B39" s="10">
        <v>2</v>
      </c>
      <c r="C39" s="10">
        <v>19</v>
      </c>
      <c r="D39" s="86">
        <v>43782</v>
      </c>
      <c r="E39" s="86">
        <v>43789</v>
      </c>
      <c r="F39" s="86">
        <v>43797</v>
      </c>
      <c r="G39" s="11">
        <v>11840.45</v>
      </c>
      <c r="H39" s="11">
        <v>11999.1</v>
      </c>
      <c r="I39" s="12"/>
      <c r="J39" s="12"/>
      <c r="K39" s="91">
        <f t="array" ref="K39">MAX(IF((D39&lt;[1]Nifty_D!$B$2:$B$6600)*(E39&gt;=[1]Nifty_D!$B$2:$B$6600),[1]Nifty_D!$F$2:$F$6600,""))</f>
        <v>11999.1</v>
      </c>
      <c r="L39" s="92">
        <f t="shared" si="6"/>
        <v>1.3398983991317781E-2</v>
      </c>
      <c r="M39" s="91">
        <f t="shared" si="3"/>
        <v>375.20000000000073</v>
      </c>
      <c r="N39" s="93">
        <f t="array" ref="N39">INDEX([1]Nifty_D!$B$2:$B$6600,MATCH(E39,[1]Nifty_D!$B$2:$B$6600,0)-1)</f>
        <v>43788</v>
      </c>
      <c r="O39" s="89">
        <f>VLOOKUP(N39,[1]Nifty_D!$B$2:$F$6600,5,0)</f>
        <v>11940.1</v>
      </c>
      <c r="P39" s="92">
        <f t="shared" si="4"/>
        <v>8.4160652677895964E-3</v>
      </c>
      <c r="Q39" s="12" t="s">
        <v>40</v>
      </c>
      <c r="R39" s="10">
        <v>12000</v>
      </c>
      <c r="S39" s="103">
        <f>MROUND(G39,500)</f>
        <v>12000</v>
      </c>
      <c r="T39" s="103">
        <f>S39-R39</f>
        <v>0</v>
      </c>
      <c r="U39" s="12" t="s">
        <v>92</v>
      </c>
      <c r="V39" s="10">
        <v>65</v>
      </c>
      <c r="W39" s="11">
        <v>210.15</v>
      </c>
      <c r="X39" s="11">
        <v>80.2</v>
      </c>
      <c r="Y39" s="13">
        <v>-1.2322</v>
      </c>
      <c r="Z39" s="13">
        <v>0.1668</v>
      </c>
      <c r="AA39" s="10">
        <v>0</v>
      </c>
      <c r="AB39" s="14">
        <v>0</v>
      </c>
      <c r="AC39" s="11">
        <v>-129.94999999999999</v>
      </c>
      <c r="AD39" s="14">
        <v>-1.0975089629194841E-2</v>
      </c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 t="s">
        <v>98</v>
      </c>
    </row>
    <row r="40" spans="1:52" ht="18" hidden="1" customHeight="1" x14ac:dyDescent="0.25">
      <c r="A40" s="4">
        <v>20</v>
      </c>
      <c r="B40" s="4">
        <v>1</v>
      </c>
      <c r="C40" s="4">
        <v>20</v>
      </c>
      <c r="D40" s="85">
        <v>43789</v>
      </c>
      <c r="E40" s="85">
        <v>43796</v>
      </c>
      <c r="F40" s="85">
        <v>43797</v>
      </c>
      <c r="G40" s="5">
        <v>11999.1</v>
      </c>
      <c r="H40" s="5">
        <v>12100.7</v>
      </c>
      <c r="I40" s="5">
        <v>101.6</v>
      </c>
      <c r="J40" s="6">
        <v>8.4673017142952375E-3</v>
      </c>
      <c r="K40" s="91">
        <f t="array" ref="K40">MAX(IF((D40&lt;[1]Nifty_D!$B$2:$B$6600)*(E40&gt;=[1]Nifty_D!$B$2:$B$6600),[1]Nifty_D!$F$2:$F$6600,""))</f>
        <v>12100.7</v>
      </c>
      <c r="L40" s="92">
        <f t="shared" si="6"/>
        <v>8.4673017142953277E-3</v>
      </c>
      <c r="M40" s="91">
        <f t="shared" si="3"/>
        <v>476.80000000000109</v>
      </c>
      <c r="N40" s="93">
        <f t="array" ref="N40">INDEX([1]Nifty_D!$B$2:$B$6600,MATCH(E40,[1]Nifty_D!$B$2:$B$6600,0)-1)</f>
        <v>43795</v>
      </c>
      <c r="O40" s="89">
        <f>VLOOKUP(N40,[1]Nifty_D!$B$2:$F$6600,5,0)</f>
        <v>12037.7</v>
      </c>
      <c r="P40" s="92">
        <f t="shared" si="4"/>
        <v>3.2169079347617036E-3</v>
      </c>
      <c r="Q40" s="7" t="s">
        <v>28</v>
      </c>
      <c r="R40" s="4">
        <v>12000</v>
      </c>
      <c r="S40" s="102"/>
      <c r="T40" s="102"/>
      <c r="U40" s="7" t="s">
        <v>90</v>
      </c>
      <c r="V40" s="4">
        <v>65</v>
      </c>
      <c r="W40" s="5">
        <v>98.85</v>
      </c>
      <c r="X40" s="5">
        <v>117.15</v>
      </c>
      <c r="Y40" s="8">
        <v>-0.4834</v>
      </c>
      <c r="Z40" s="8">
        <v>0.58050000000000002</v>
      </c>
      <c r="AA40" s="5">
        <v>-18.3</v>
      </c>
      <c r="AB40" s="6">
        <v>-1.5251143835787689E-3</v>
      </c>
      <c r="AC40" s="4">
        <v>0</v>
      </c>
      <c r="AD40" s="6">
        <v>0</v>
      </c>
      <c r="AE40" s="5">
        <v>16994.099999999999</v>
      </c>
      <c r="AF40" s="5">
        <v>17042.95</v>
      </c>
      <c r="AG40" s="5">
        <v>48.85</v>
      </c>
      <c r="AH40" s="5">
        <v>0.28749999999999998</v>
      </c>
      <c r="AI40" s="4">
        <v>7</v>
      </c>
      <c r="AJ40" s="5">
        <v>-0.11666700000000001</v>
      </c>
      <c r="AK40" s="5">
        <v>29.023599999999998</v>
      </c>
      <c r="AL40" s="5">
        <v>0.17080000000000001</v>
      </c>
      <c r="AM40" s="8">
        <v>-1.4095</v>
      </c>
      <c r="AN40" s="8">
        <v>0.94089999999999996</v>
      </c>
      <c r="AO40" s="9">
        <v>-62.976399999999998</v>
      </c>
      <c r="AP40" s="9">
        <v>-0.59589999999999999</v>
      </c>
      <c r="AQ40" s="5">
        <v>100.5787</v>
      </c>
      <c r="AR40" s="5">
        <v>101.3498</v>
      </c>
      <c r="AS40" s="5">
        <v>-0.77110000000000001</v>
      </c>
      <c r="AT40" s="5">
        <v>-0.76080000000000003</v>
      </c>
      <c r="AU40" s="8">
        <v>-0.1767</v>
      </c>
      <c r="AV40" s="8">
        <v>-0.26400000000000001</v>
      </c>
      <c r="AW40" s="8">
        <v>-0.59589999999999999</v>
      </c>
      <c r="AX40" s="5">
        <v>100.5787</v>
      </c>
      <c r="AY40" s="5">
        <v>-0.76080000000000003</v>
      </c>
      <c r="AZ40" s="7" t="s">
        <v>99</v>
      </c>
    </row>
    <row r="41" spans="1:52" ht="18" customHeight="1" x14ac:dyDescent="0.25">
      <c r="A41" s="10">
        <v>20</v>
      </c>
      <c r="B41" s="10">
        <v>2</v>
      </c>
      <c r="C41" s="10">
        <v>20</v>
      </c>
      <c r="D41" s="86">
        <v>43789</v>
      </c>
      <c r="E41" s="86">
        <v>43796</v>
      </c>
      <c r="F41" s="86">
        <v>43797</v>
      </c>
      <c r="G41" s="11">
        <v>11999.1</v>
      </c>
      <c r="H41" s="11">
        <v>12100.7</v>
      </c>
      <c r="I41" s="12"/>
      <c r="J41" s="12"/>
      <c r="K41" s="91">
        <f t="array" ref="K41">MAX(IF((D41&lt;[1]Nifty_D!$B$2:$B$6600)*(E41&gt;=[1]Nifty_D!$B$2:$B$6600),[1]Nifty_D!$F$2:$F$6600,""))</f>
        <v>12100.7</v>
      </c>
      <c r="L41" s="92">
        <f t="shared" si="6"/>
        <v>8.4673017142953277E-3</v>
      </c>
      <c r="M41" s="91">
        <f t="shared" si="3"/>
        <v>476.80000000000109</v>
      </c>
      <c r="N41" s="93">
        <f t="array" ref="N41">INDEX([1]Nifty_D!$B$2:$B$6600,MATCH(E41,[1]Nifty_D!$B$2:$B$6600,0)-1)</f>
        <v>43795</v>
      </c>
      <c r="O41" s="89">
        <f>VLOOKUP(N41,[1]Nifty_D!$B$2:$F$6600,5,0)</f>
        <v>12037.7</v>
      </c>
      <c r="P41" s="92">
        <f t="shared" si="4"/>
        <v>3.2169079347617036E-3</v>
      </c>
      <c r="Q41" s="12" t="s">
        <v>40</v>
      </c>
      <c r="R41" s="10">
        <v>12000</v>
      </c>
      <c r="S41" s="103">
        <f>MROUND(G41,500)</f>
        <v>12000</v>
      </c>
      <c r="T41" s="103">
        <f>S41-R41</f>
        <v>0</v>
      </c>
      <c r="U41" s="12" t="s">
        <v>92</v>
      </c>
      <c r="V41" s="10">
        <v>65</v>
      </c>
      <c r="W41" s="11">
        <v>80.2</v>
      </c>
      <c r="X41" s="11">
        <v>6.5</v>
      </c>
      <c r="Y41" s="13">
        <v>-0.63419999999999999</v>
      </c>
      <c r="Z41" s="13">
        <v>0.56499999999999995</v>
      </c>
      <c r="AA41" s="10">
        <v>0</v>
      </c>
      <c r="AB41" s="14">
        <v>0</v>
      </c>
      <c r="AC41" s="11">
        <v>-73.7</v>
      </c>
      <c r="AD41" s="14">
        <v>-6.1421273262161329E-3</v>
      </c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 t="s">
        <v>99</v>
      </c>
    </row>
    <row r="42" spans="1:52" ht="18" hidden="1" customHeight="1" x14ac:dyDescent="0.25">
      <c r="A42" s="4">
        <v>21</v>
      </c>
      <c r="B42" s="4">
        <v>1</v>
      </c>
      <c r="C42" s="4">
        <v>21</v>
      </c>
      <c r="D42" s="85">
        <v>43796</v>
      </c>
      <c r="E42" s="85">
        <v>43803</v>
      </c>
      <c r="F42" s="85">
        <v>43804</v>
      </c>
      <c r="G42" s="5">
        <v>12100.7</v>
      </c>
      <c r="H42" s="5">
        <v>12043.2</v>
      </c>
      <c r="I42" s="5">
        <v>-57.5</v>
      </c>
      <c r="J42" s="6">
        <v>-4.7517912186898284E-3</v>
      </c>
      <c r="K42" s="91">
        <f t="array" ref="K42">MAX(IF((D42&lt;[1]Nifty_D!$B$2:$B$6600)*(E42&gt;=[1]Nifty_D!$B$2:$B$6600),[1]Nifty_D!$F$2:$F$6600,""))</f>
        <v>12151.15</v>
      </c>
      <c r="L42" s="92">
        <f t="shared" si="6"/>
        <v>4.1691802953547352E-3</v>
      </c>
      <c r="M42" s="91">
        <f t="shared" si="3"/>
        <v>527.25</v>
      </c>
      <c r="N42" s="93">
        <f t="array" ref="N42">INDEX([1]Nifty_D!$B$2:$B$6600,MATCH(E42,[1]Nifty_D!$B$2:$B$6600,0)-1)</f>
        <v>43802</v>
      </c>
      <c r="O42" s="89">
        <f>VLOOKUP(N42,[1]Nifty_D!$B$2:$F$6600,5,0)</f>
        <v>11994.2</v>
      </c>
      <c r="P42" s="92">
        <f t="shared" si="4"/>
        <v>-8.8011437354863498E-3</v>
      </c>
      <c r="Q42" s="7" t="s">
        <v>28</v>
      </c>
      <c r="R42" s="4">
        <v>12100</v>
      </c>
      <c r="S42" s="102"/>
      <c r="T42" s="102"/>
      <c r="U42" s="7" t="s">
        <v>90</v>
      </c>
      <c r="V42" s="4">
        <v>65</v>
      </c>
      <c r="W42" s="4">
        <v>93</v>
      </c>
      <c r="X42" s="5">
        <v>14.5</v>
      </c>
      <c r="Y42" s="8">
        <v>-0.124</v>
      </c>
      <c r="Z42" s="8">
        <v>0.7409</v>
      </c>
      <c r="AA42" s="5">
        <v>78.5</v>
      </c>
      <c r="AB42" s="6">
        <v>6.487228011602634E-3</v>
      </c>
      <c r="AC42" s="4">
        <v>0</v>
      </c>
      <c r="AD42" s="6">
        <v>0</v>
      </c>
      <c r="AE42" s="5">
        <v>17042.95</v>
      </c>
      <c r="AF42" s="5">
        <v>17010.650000000001</v>
      </c>
      <c r="AG42" s="5">
        <v>-32.299999999999997</v>
      </c>
      <c r="AH42" s="5">
        <v>-0.1895</v>
      </c>
      <c r="AI42" s="4">
        <v>7</v>
      </c>
      <c r="AJ42" s="5">
        <v>-0.11666700000000001</v>
      </c>
      <c r="AK42" s="5">
        <v>-52.183399999999999</v>
      </c>
      <c r="AL42" s="5">
        <v>-0.30620000000000003</v>
      </c>
      <c r="AM42" s="8">
        <v>-1.3818999999999999</v>
      </c>
      <c r="AN42" s="8">
        <v>1.6976</v>
      </c>
      <c r="AO42" s="15">
        <v>16.7666</v>
      </c>
      <c r="AP42" s="15">
        <v>0.2636</v>
      </c>
      <c r="AQ42" s="5">
        <v>100.8438</v>
      </c>
      <c r="AR42" s="5">
        <v>101.3498</v>
      </c>
      <c r="AS42" s="5">
        <v>-0.50600000000000001</v>
      </c>
      <c r="AT42" s="5">
        <v>-0.49919999999999998</v>
      </c>
      <c r="AU42" s="8">
        <v>1.4075</v>
      </c>
      <c r="AV42" s="8">
        <v>-0.27200000000000002</v>
      </c>
      <c r="AW42" s="8">
        <v>-0.27200000000000002</v>
      </c>
      <c r="AX42" s="5">
        <v>100.3051</v>
      </c>
      <c r="AY42" s="5">
        <v>-1.0306999999999999</v>
      </c>
      <c r="AZ42" s="7" t="s">
        <v>91</v>
      </c>
    </row>
    <row r="43" spans="1:52" ht="18" customHeight="1" x14ac:dyDescent="0.25">
      <c r="A43" s="10">
        <v>21</v>
      </c>
      <c r="B43" s="10">
        <v>2</v>
      </c>
      <c r="C43" s="10">
        <v>21</v>
      </c>
      <c r="D43" s="86">
        <v>43796</v>
      </c>
      <c r="E43" s="86">
        <v>43803</v>
      </c>
      <c r="F43" s="86">
        <v>43825</v>
      </c>
      <c r="G43" s="11">
        <v>12100.7</v>
      </c>
      <c r="H43" s="11">
        <v>12043.2</v>
      </c>
      <c r="I43" s="12"/>
      <c r="J43" s="12"/>
      <c r="K43" s="91">
        <f t="array" ref="K43">MAX(IF((D43&lt;[1]Nifty_D!$B$2:$B$6600)*(E43&gt;=[1]Nifty_D!$B$2:$B$6600),[1]Nifty_D!$F$2:$F$6600,""))</f>
        <v>12151.15</v>
      </c>
      <c r="L43" s="92">
        <f t="shared" si="6"/>
        <v>4.1691802953547352E-3</v>
      </c>
      <c r="M43" s="91">
        <f t="shared" si="3"/>
        <v>527.25</v>
      </c>
      <c r="N43" s="93">
        <f t="array" ref="N43">INDEX([1]Nifty_D!$B$2:$B$6600,MATCH(E43,[1]Nifty_D!$B$2:$B$6600,0)-1)</f>
        <v>43802</v>
      </c>
      <c r="O43" s="89">
        <f>VLOOKUP(N43,[1]Nifty_D!$B$2:$F$6600,5,0)</f>
        <v>11994.2</v>
      </c>
      <c r="P43" s="92">
        <f t="shared" si="4"/>
        <v>-8.8011437354863498E-3</v>
      </c>
      <c r="Q43" s="12" t="s">
        <v>40</v>
      </c>
      <c r="R43" s="10">
        <v>12000</v>
      </c>
      <c r="S43" s="103">
        <f>MROUND(G43,500)</f>
        <v>12000</v>
      </c>
      <c r="T43" s="103">
        <f>S43-R43</f>
        <v>0</v>
      </c>
      <c r="U43" s="12" t="s">
        <v>92</v>
      </c>
      <c r="V43" s="10">
        <v>65</v>
      </c>
      <c r="W43" s="11">
        <v>118.05</v>
      </c>
      <c r="X43" s="11">
        <v>108.5</v>
      </c>
      <c r="Y43" s="13">
        <v>-0.1661</v>
      </c>
      <c r="Z43" s="13">
        <v>0.36899999999999999</v>
      </c>
      <c r="AA43" s="10">
        <v>0</v>
      </c>
      <c r="AB43" s="14">
        <v>0</v>
      </c>
      <c r="AC43" s="11">
        <v>-9.5500000000000007</v>
      </c>
      <c r="AD43" s="14">
        <v>-7.8921054153891922E-4</v>
      </c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 t="s">
        <v>91</v>
      </c>
    </row>
    <row r="44" spans="1:52" ht="18" hidden="1" customHeight="1" x14ac:dyDescent="0.25">
      <c r="A44" s="4">
        <v>22</v>
      </c>
      <c r="B44" s="4">
        <v>1</v>
      </c>
      <c r="C44" s="4">
        <v>22</v>
      </c>
      <c r="D44" s="85">
        <v>43803</v>
      </c>
      <c r="E44" s="85">
        <v>43810</v>
      </c>
      <c r="F44" s="85">
        <v>43811</v>
      </c>
      <c r="G44" s="5">
        <v>12043.2</v>
      </c>
      <c r="H44" s="5">
        <v>11910.15</v>
      </c>
      <c r="I44" s="5">
        <v>-133.05000000000001</v>
      </c>
      <c r="J44" s="6">
        <v>-1.104772817855719E-2</v>
      </c>
      <c r="K44" s="91">
        <f t="array" ref="K44">MAX(IF((D44&lt;[1]Nifty_D!$B$2:$B$6600)*(E44&gt;=[1]Nifty_D!$B$2:$B$6600),[1]Nifty_D!$F$2:$F$6600,""))</f>
        <v>12018.4</v>
      </c>
      <c r="L44" s="92">
        <f t="shared" si="6"/>
        <v>-2.0592533545902292E-3</v>
      </c>
      <c r="M44" s="91">
        <f t="shared" si="3"/>
        <v>394.5</v>
      </c>
      <c r="N44" s="93">
        <f t="array" ref="N44">INDEX([1]Nifty_D!$B$2:$B$6600,MATCH(E44,[1]Nifty_D!$B$2:$B$6600,0)-1)</f>
        <v>43809</v>
      </c>
      <c r="O44" s="89">
        <f>VLOOKUP(N44,[1]Nifty_D!$B$2:$F$6600,5,0)</f>
        <v>11856.8</v>
      </c>
      <c r="P44" s="92">
        <f t="shared" si="4"/>
        <v>-1.5477613923209899E-2</v>
      </c>
      <c r="Q44" s="7" t="s">
        <v>28</v>
      </c>
      <c r="R44" s="4">
        <v>12000</v>
      </c>
      <c r="S44" s="102"/>
      <c r="T44" s="102"/>
      <c r="U44" s="7" t="s">
        <v>90</v>
      </c>
      <c r="V44" s="4">
        <v>65</v>
      </c>
      <c r="W44" s="5">
        <v>114.25</v>
      </c>
      <c r="X44" s="5">
        <v>6.4</v>
      </c>
      <c r="Y44" s="8">
        <v>-0.1246</v>
      </c>
      <c r="Z44" s="8">
        <v>0.92789999999999995</v>
      </c>
      <c r="AA44" s="5">
        <v>107.85</v>
      </c>
      <c r="AB44" s="6">
        <v>8.9552610601833383E-3</v>
      </c>
      <c r="AC44" s="4">
        <v>0</v>
      </c>
      <c r="AD44" s="6">
        <v>0</v>
      </c>
      <c r="AE44" s="5">
        <v>17010.650000000001</v>
      </c>
      <c r="AF44" s="5">
        <v>16635.8</v>
      </c>
      <c r="AG44" s="5">
        <v>-374.85</v>
      </c>
      <c r="AH44" s="5">
        <v>-2.2035999999999998</v>
      </c>
      <c r="AI44" s="4">
        <v>7</v>
      </c>
      <c r="AJ44" s="5">
        <v>-0.11666700000000001</v>
      </c>
      <c r="AK44" s="5">
        <v>-394.69580000000002</v>
      </c>
      <c r="AL44" s="5">
        <v>-2.3203</v>
      </c>
      <c r="AM44" s="8">
        <v>-3.2166000000000001</v>
      </c>
      <c r="AN44" s="8">
        <v>0.28050000000000003</v>
      </c>
      <c r="AO44" s="9">
        <v>-245.44579999999999</v>
      </c>
      <c r="AP44" s="9">
        <v>-1.081</v>
      </c>
      <c r="AQ44" s="5">
        <v>99.753699999999995</v>
      </c>
      <c r="AR44" s="5">
        <v>101.3498</v>
      </c>
      <c r="AS44" s="5">
        <v>-1.5961000000000001</v>
      </c>
      <c r="AT44" s="5">
        <v>-1.5748</v>
      </c>
      <c r="AU44" s="8">
        <v>2.4299999999999999E-2</v>
      </c>
      <c r="AV44" s="8">
        <v>-1.5808</v>
      </c>
      <c r="AW44" s="8">
        <v>-1.5808</v>
      </c>
      <c r="AX44" s="5">
        <v>99.249700000000004</v>
      </c>
      <c r="AY44" s="5">
        <v>-2.0720999999999998</v>
      </c>
      <c r="AZ44" s="7" t="s">
        <v>91</v>
      </c>
    </row>
    <row r="45" spans="1:52" ht="18" customHeight="1" x14ac:dyDescent="0.25">
      <c r="A45" s="10">
        <v>22</v>
      </c>
      <c r="B45" s="10">
        <v>2</v>
      </c>
      <c r="C45" s="10">
        <v>22</v>
      </c>
      <c r="D45" s="86">
        <v>43803</v>
      </c>
      <c r="E45" s="86">
        <v>43810</v>
      </c>
      <c r="F45" s="86">
        <v>43825</v>
      </c>
      <c r="G45" s="11">
        <v>12043.2</v>
      </c>
      <c r="H45" s="11">
        <v>11910.15</v>
      </c>
      <c r="I45" s="12"/>
      <c r="J45" s="12"/>
      <c r="K45" s="91">
        <f t="array" ref="K45">MAX(IF((D45&lt;[1]Nifty_D!$B$2:$B$6600)*(E45&gt;=[1]Nifty_D!$B$2:$B$6600),[1]Nifty_D!$F$2:$F$6600,""))</f>
        <v>12018.4</v>
      </c>
      <c r="L45" s="92">
        <f t="shared" si="6"/>
        <v>-2.0592533545902292E-3</v>
      </c>
      <c r="M45" s="91">
        <f t="shared" si="3"/>
        <v>394.5</v>
      </c>
      <c r="N45" s="93">
        <f t="array" ref="N45">INDEX([1]Nifty_D!$B$2:$B$6600,MATCH(E45,[1]Nifty_D!$B$2:$B$6600,0)-1)</f>
        <v>43809</v>
      </c>
      <c r="O45" s="89">
        <f>VLOOKUP(N45,[1]Nifty_D!$B$2:$F$6600,5,0)</f>
        <v>11856.8</v>
      </c>
      <c r="P45" s="92">
        <f t="shared" si="4"/>
        <v>-1.5477613923209899E-2</v>
      </c>
      <c r="Q45" s="12" t="s">
        <v>40</v>
      </c>
      <c r="R45" s="10">
        <v>12000</v>
      </c>
      <c r="S45" s="103">
        <f>MROUND(G45,500)</f>
        <v>12000</v>
      </c>
      <c r="T45" s="103">
        <f>S45-R45</f>
        <v>0</v>
      </c>
      <c r="U45" s="12" t="s">
        <v>92</v>
      </c>
      <c r="V45" s="10">
        <v>65</v>
      </c>
      <c r="W45" s="11">
        <v>108.5</v>
      </c>
      <c r="X45" s="11">
        <v>149.9</v>
      </c>
      <c r="Y45" s="13">
        <v>-0.13159999999999999</v>
      </c>
      <c r="Z45" s="13">
        <v>0.70789999999999997</v>
      </c>
      <c r="AA45" s="10">
        <v>0</v>
      </c>
      <c r="AB45" s="14">
        <v>0</v>
      </c>
      <c r="AC45" s="11">
        <v>41.4</v>
      </c>
      <c r="AD45" s="14">
        <v>3.437624551614189E-3</v>
      </c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 t="s">
        <v>91</v>
      </c>
    </row>
    <row r="46" spans="1:52" ht="18" hidden="1" customHeight="1" x14ac:dyDescent="0.25">
      <c r="A46" s="4">
        <v>23</v>
      </c>
      <c r="B46" s="4">
        <v>1</v>
      </c>
      <c r="C46" s="4">
        <v>23</v>
      </c>
      <c r="D46" s="85">
        <v>43810</v>
      </c>
      <c r="E46" s="85">
        <v>43812</v>
      </c>
      <c r="F46" s="85">
        <v>43818</v>
      </c>
      <c r="G46" s="5">
        <v>11910.15</v>
      </c>
      <c r="H46" s="5">
        <v>12086.7</v>
      </c>
      <c r="I46" s="5">
        <v>176.55</v>
      </c>
      <c r="J46" s="6">
        <v>1.482349088802408E-2</v>
      </c>
      <c r="K46" s="91">
        <f t="array" ref="K46">MAX(IF((D46&lt;[1]Nifty_D!$B$2:$B$6600)*(E46&gt;=[1]Nifty_D!$B$2:$B$6600),[1]Nifty_D!$F$2:$F$6600,""))</f>
        <v>12086.7</v>
      </c>
      <c r="L46" s="92">
        <f t="shared" si="6"/>
        <v>1.482349088802426E-2</v>
      </c>
      <c r="M46" s="91">
        <f t="shared" si="3"/>
        <v>462.80000000000109</v>
      </c>
      <c r="N46" s="93">
        <f t="array" ref="N46">INDEX([1]Nifty_D!$B$2:$B$6600,MATCH(E46,[1]Nifty_D!$B$2:$B$6600,0)-1)</f>
        <v>43811</v>
      </c>
      <c r="O46" s="89">
        <f>VLOOKUP(N46,[1]Nifty_D!$B$2:$F$6600,5,0)</f>
        <v>11971.8</v>
      </c>
      <c r="P46" s="92">
        <f t="shared" si="4"/>
        <v>5.1762572259794748E-3</v>
      </c>
      <c r="Q46" s="7" t="s">
        <v>28</v>
      </c>
      <c r="R46" s="4">
        <v>11900</v>
      </c>
      <c r="S46" s="102"/>
      <c r="T46" s="102"/>
      <c r="U46" s="7" t="s">
        <v>90</v>
      </c>
      <c r="V46" s="4">
        <v>65</v>
      </c>
      <c r="W46" s="5">
        <v>91.1</v>
      </c>
      <c r="X46" s="5">
        <v>232.55</v>
      </c>
      <c r="Y46" s="8">
        <v>-1.2557</v>
      </c>
      <c r="Z46" s="8">
        <v>-9.0300000000000005E-2</v>
      </c>
      <c r="AA46" s="5">
        <v>-141.44999999999999</v>
      </c>
      <c r="AB46" s="6">
        <v>-1.187642473016713E-2</v>
      </c>
      <c r="AC46" s="4">
        <v>0</v>
      </c>
      <c r="AD46" s="6">
        <v>0</v>
      </c>
      <c r="AE46" s="5">
        <v>16635.8</v>
      </c>
      <c r="AF46" s="5">
        <v>16932.400000000001</v>
      </c>
      <c r="AG46" s="5">
        <v>296.60000000000002</v>
      </c>
      <c r="AH46" s="5">
        <v>1.7828999999999999</v>
      </c>
      <c r="AI46" s="4">
        <v>2</v>
      </c>
      <c r="AJ46" s="5">
        <v>-3.3333000000000002E-2</v>
      </c>
      <c r="AK46" s="5">
        <v>291.05470000000003</v>
      </c>
      <c r="AL46" s="5">
        <v>1.7496</v>
      </c>
      <c r="AM46" s="8">
        <v>0.221</v>
      </c>
      <c r="AN46" s="8">
        <v>1.837</v>
      </c>
      <c r="AO46" s="15">
        <v>54.854700000000001</v>
      </c>
      <c r="AP46" s="15">
        <v>-0.2336</v>
      </c>
      <c r="AQ46" s="5">
        <v>99.520700000000005</v>
      </c>
      <c r="AR46" s="5">
        <v>101.3498</v>
      </c>
      <c r="AS46" s="5">
        <v>-1.8290999999999999</v>
      </c>
      <c r="AT46" s="5">
        <v>-1.8047</v>
      </c>
      <c r="AU46" s="8">
        <v>-0.23649999999999999</v>
      </c>
      <c r="AV46" s="8">
        <v>2.24E-2</v>
      </c>
      <c r="AW46" s="8">
        <v>-0.23649999999999999</v>
      </c>
      <c r="AX46" s="5">
        <v>99.517799999999994</v>
      </c>
      <c r="AY46" s="5">
        <v>-1.8076000000000001</v>
      </c>
      <c r="AZ46" s="7" t="s">
        <v>95</v>
      </c>
    </row>
    <row r="47" spans="1:52" ht="18" customHeight="1" x14ac:dyDescent="0.25">
      <c r="A47" s="10">
        <v>23</v>
      </c>
      <c r="B47" s="10">
        <v>2</v>
      </c>
      <c r="C47" s="10">
        <v>23</v>
      </c>
      <c r="D47" s="86">
        <v>43810</v>
      </c>
      <c r="E47" s="86">
        <v>43812</v>
      </c>
      <c r="F47" s="86">
        <v>43825</v>
      </c>
      <c r="G47" s="11">
        <v>11910.15</v>
      </c>
      <c r="H47" s="11">
        <v>12086.7</v>
      </c>
      <c r="I47" s="12"/>
      <c r="J47" s="12"/>
      <c r="K47" s="91">
        <f t="array" ref="K47">MAX(IF((D47&lt;[1]Nifty_D!$B$2:$B$6600)*(E47&gt;=[1]Nifty_D!$B$2:$B$6600),[1]Nifty_D!$F$2:$F$6600,""))</f>
        <v>12086.7</v>
      </c>
      <c r="L47" s="92">
        <f t="shared" si="6"/>
        <v>1.482349088802426E-2</v>
      </c>
      <c r="M47" s="91">
        <f t="shared" si="3"/>
        <v>462.80000000000109</v>
      </c>
      <c r="N47" s="93">
        <f t="array" ref="N47">INDEX([1]Nifty_D!$B$2:$B$6600,MATCH(E47,[1]Nifty_D!$B$2:$B$6600,0)-1)</f>
        <v>43811</v>
      </c>
      <c r="O47" s="89">
        <f>VLOOKUP(N47,[1]Nifty_D!$B$2:$F$6600,5,0)</f>
        <v>11971.8</v>
      </c>
      <c r="P47" s="92">
        <f t="shared" si="4"/>
        <v>5.1762572259794748E-3</v>
      </c>
      <c r="Q47" s="12" t="s">
        <v>40</v>
      </c>
      <c r="R47" s="10">
        <v>12000</v>
      </c>
      <c r="S47" s="103">
        <f>MROUND(G47,500)</f>
        <v>12000</v>
      </c>
      <c r="T47" s="103">
        <f>S47-R47</f>
        <v>0</v>
      </c>
      <c r="U47" s="12" t="s">
        <v>92</v>
      </c>
      <c r="V47" s="10">
        <v>65</v>
      </c>
      <c r="W47" s="11">
        <v>149.9</v>
      </c>
      <c r="X47" s="11">
        <v>55.15</v>
      </c>
      <c r="Y47" s="13">
        <v>-0.81779999999999997</v>
      </c>
      <c r="Z47" s="13">
        <v>-0.10829999999999999</v>
      </c>
      <c r="AA47" s="10">
        <v>0</v>
      </c>
      <c r="AB47" s="14">
        <v>0</v>
      </c>
      <c r="AC47" s="11">
        <v>-94.75</v>
      </c>
      <c r="AD47" s="14">
        <v>-7.9553993862377884E-3</v>
      </c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 t="s">
        <v>95</v>
      </c>
    </row>
    <row r="48" spans="1:52" ht="18" hidden="1" customHeight="1" x14ac:dyDescent="0.25">
      <c r="A48" s="4">
        <v>24</v>
      </c>
      <c r="B48" s="4">
        <v>1</v>
      </c>
      <c r="C48" s="4">
        <v>24</v>
      </c>
      <c r="D48" s="85">
        <v>43812</v>
      </c>
      <c r="E48" s="85">
        <v>43817</v>
      </c>
      <c r="F48" s="85">
        <v>43818</v>
      </c>
      <c r="G48" s="5">
        <v>12086.7</v>
      </c>
      <c r="H48" s="5">
        <v>12221.65</v>
      </c>
      <c r="I48" s="5">
        <v>134.94999999999999</v>
      </c>
      <c r="J48" s="6">
        <v>1.116516501609207E-2</v>
      </c>
      <c r="K48" s="91">
        <f t="array" ref="K48">MAX(IF((D48&lt;[1]Nifty_D!$B$2:$B$6600)*(E48&gt;=[1]Nifty_D!$B$2:$B$6600),[1]Nifty_D!$F$2:$F$6600,""))</f>
        <v>12221.65</v>
      </c>
      <c r="L48" s="92">
        <f t="shared" si="6"/>
        <v>1.1165165016091994E-2</v>
      </c>
      <c r="M48" s="91">
        <f t="shared" si="3"/>
        <v>597.75</v>
      </c>
      <c r="N48" s="93">
        <f t="array" ref="N48">INDEX([1]Nifty_D!$B$2:$B$6600,MATCH(E48,[1]Nifty_D!$B$2:$B$6600,0)-1)</f>
        <v>43816</v>
      </c>
      <c r="O48" s="89">
        <f>VLOOKUP(N48,[1]Nifty_D!$B$2:$F$6600,5,0)</f>
        <v>12165</v>
      </c>
      <c r="P48" s="92">
        <f t="shared" si="4"/>
        <v>6.4781950408299149E-3</v>
      </c>
      <c r="Q48" s="7" t="s">
        <v>28</v>
      </c>
      <c r="R48" s="4">
        <v>12100</v>
      </c>
      <c r="S48" s="102"/>
      <c r="T48" s="102"/>
      <c r="U48" s="7" t="s">
        <v>90</v>
      </c>
      <c r="V48" s="4">
        <v>65</v>
      </c>
      <c r="W48" s="5">
        <v>81.400000000000006</v>
      </c>
      <c r="X48" s="5">
        <v>126.25</v>
      </c>
      <c r="Y48" s="8">
        <v>-0.45710000000000001</v>
      </c>
      <c r="Z48" s="8">
        <v>0.40620000000000001</v>
      </c>
      <c r="AA48" s="5">
        <v>-44.85</v>
      </c>
      <c r="AB48" s="6">
        <v>-3.7106902628509021E-3</v>
      </c>
      <c r="AC48" s="4">
        <v>0</v>
      </c>
      <c r="AD48" s="6">
        <v>0</v>
      </c>
      <c r="AE48" s="5">
        <v>16932.400000000001</v>
      </c>
      <c r="AF48" s="5">
        <v>16892.75</v>
      </c>
      <c r="AG48" s="5">
        <v>-39.65</v>
      </c>
      <c r="AH48" s="5">
        <v>-0.23419999999999999</v>
      </c>
      <c r="AI48" s="4">
        <v>5</v>
      </c>
      <c r="AJ48" s="5">
        <v>-8.3333000000000004E-2</v>
      </c>
      <c r="AK48" s="5">
        <v>-53.760300000000001</v>
      </c>
      <c r="AL48" s="5">
        <v>-0.3175</v>
      </c>
      <c r="AM48" s="8">
        <v>-0.70609999999999995</v>
      </c>
      <c r="AN48" s="8">
        <v>0.33110000000000001</v>
      </c>
      <c r="AO48" s="9">
        <v>-135.81030000000001</v>
      </c>
      <c r="AP48" s="9">
        <v>-0.99629999999999996</v>
      </c>
      <c r="AQ48" s="5">
        <v>98.529200000000003</v>
      </c>
      <c r="AR48" s="5">
        <v>101.3498</v>
      </c>
      <c r="AS48" s="5">
        <v>-2.8206000000000002</v>
      </c>
      <c r="AT48" s="5">
        <v>-2.7831000000000001</v>
      </c>
      <c r="AU48" s="8">
        <v>-0.44490000000000002</v>
      </c>
      <c r="AV48" s="8">
        <v>-0.21629999999999999</v>
      </c>
      <c r="AW48" s="8">
        <v>-0.99629999999999996</v>
      </c>
      <c r="AX48" s="5">
        <v>98.529200000000003</v>
      </c>
      <c r="AY48" s="5">
        <v>-2.7831000000000001</v>
      </c>
      <c r="AZ48" s="7" t="s">
        <v>91</v>
      </c>
    </row>
    <row r="49" spans="1:52" ht="18" customHeight="1" x14ac:dyDescent="0.25">
      <c r="A49" s="10">
        <v>24</v>
      </c>
      <c r="B49" s="10">
        <v>2</v>
      </c>
      <c r="C49" s="10">
        <v>24</v>
      </c>
      <c r="D49" s="86">
        <v>43812</v>
      </c>
      <c r="E49" s="86">
        <v>43817</v>
      </c>
      <c r="F49" s="86">
        <v>43825</v>
      </c>
      <c r="G49" s="11">
        <v>12086.7</v>
      </c>
      <c r="H49" s="11">
        <v>12221.65</v>
      </c>
      <c r="I49" s="12"/>
      <c r="J49" s="12"/>
      <c r="K49" s="91">
        <f t="array" ref="K49">MAX(IF((D49&lt;[1]Nifty_D!$B$2:$B$6600)*(E49&gt;=[1]Nifty_D!$B$2:$B$6600),[1]Nifty_D!$F$2:$F$6600,""))</f>
        <v>12221.65</v>
      </c>
      <c r="L49" s="92">
        <f t="shared" si="6"/>
        <v>1.1165165016091994E-2</v>
      </c>
      <c r="M49" s="91">
        <f t="shared" si="3"/>
        <v>597.75</v>
      </c>
      <c r="N49" s="93">
        <f t="array" ref="N49">INDEX([1]Nifty_D!$B$2:$B$6600,MATCH(E49,[1]Nifty_D!$B$2:$B$6600,0)-1)</f>
        <v>43816</v>
      </c>
      <c r="O49" s="89">
        <f>VLOOKUP(N49,[1]Nifty_D!$B$2:$F$6600,5,0)</f>
        <v>12165</v>
      </c>
      <c r="P49" s="92">
        <f t="shared" si="4"/>
        <v>6.4781950408299149E-3</v>
      </c>
      <c r="Q49" s="12" t="s">
        <v>40</v>
      </c>
      <c r="R49" s="10">
        <v>12000</v>
      </c>
      <c r="S49" s="103">
        <f>MROUND(G49,500)</f>
        <v>12000</v>
      </c>
      <c r="T49" s="103">
        <f>S49-R49</f>
        <v>0</v>
      </c>
      <c r="U49" s="12" t="s">
        <v>92</v>
      </c>
      <c r="V49" s="10">
        <v>65</v>
      </c>
      <c r="W49" s="11">
        <v>55.15</v>
      </c>
      <c r="X49" s="11">
        <v>17.95</v>
      </c>
      <c r="Y49" s="13">
        <v>-0.31890000000000002</v>
      </c>
      <c r="Z49" s="13">
        <v>8.3599999999999994E-2</v>
      </c>
      <c r="AA49" s="10">
        <v>0</v>
      </c>
      <c r="AB49" s="14">
        <v>0</v>
      </c>
      <c r="AC49" s="11">
        <v>-37.200000000000003</v>
      </c>
      <c r="AD49" s="14">
        <v>-3.0777631611606151E-3</v>
      </c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 t="s">
        <v>91</v>
      </c>
    </row>
    <row r="50" spans="1:52" ht="18" hidden="1" customHeight="1" x14ac:dyDescent="0.25">
      <c r="A50" s="4">
        <v>25</v>
      </c>
      <c r="B50" s="4">
        <v>1</v>
      </c>
      <c r="C50" s="4">
        <v>25</v>
      </c>
      <c r="D50" s="85">
        <v>43817</v>
      </c>
      <c r="E50" s="85">
        <v>43818</v>
      </c>
      <c r="F50" s="85">
        <v>43825</v>
      </c>
      <c r="G50" s="5">
        <v>12221.65</v>
      </c>
      <c r="H50" s="5">
        <v>12259.7</v>
      </c>
      <c r="I50" s="5">
        <v>38.049999999999997</v>
      </c>
      <c r="J50" s="6">
        <v>3.1133275785184488E-3</v>
      </c>
      <c r="K50" s="91">
        <f t="array" ref="K50">MAX(IF((D50&lt;[1]Nifty_D!$B$2:$B$6600)*(E50&gt;=[1]Nifty_D!$B$2:$B$6600),[1]Nifty_D!$F$2:$F$6600,""))</f>
        <v>12259.7</v>
      </c>
      <c r="L50" s="92">
        <f t="shared" si="6"/>
        <v>3.1133275785184544E-3</v>
      </c>
      <c r="M50" s="91">
        <f t="shared" si="3"/>
        <v>635.80000000000109</v>
      </c>
      <c r="N50" s="93">
        <f t="array" ref="N50">INDEX([1]Nifty_D!$B$2:$B$6600,MATCH(E50,[1]Nifty_D!$B$2:$B$6600,0)-1)</f>
        <v>43817</v>
      </c>
      <c r="O50" s="89">
        <f>VLOOKUP(N50,[1]Nifty_D!$B$2:$F$6600,5,0)</f>
        <v>12221.65</v>
      </c>
      <c r="P50" s="92">
        <f t="shared" si="4"/>
        <v>0</v>
      </c>
      <c r="Q50" s="7" t="s">
        <v>28</v>
      </c>
      <c r="R50" s="4">
        <v>12200</v>
      </c>
      <c r="S50" s="102"/>
      <c r="T50" s="102"/>
      <c r="U50" s="7" t="s">
        <v>90</v>
      </c>
      <c r="V50" s="4">
        <v>65</v>
      </c>
      <c r="W50" s="5">
        <v>97.45</v>
      </c>
      <c r="X50" s="5">
        <v>105.55</v>
      </c>
      <c r="Y50" s="8">
        <v>-0.1285</v>
      </c>
      <c r="Z50" s="8">
        <v>0.20780000000000001</v>
      </c>
      <c r="AA50" s="5">
        <v>-8.1</v>
      </c>
      <c r="AB50" s="6">
        <v>-6.6275830186595102E-4</v>
      </c>
      <c r="AC50" s="4">
        <v>0</v>
      </c>
      <c r="AD50" s="6">
        <v>0</v>
      </c>
      <c r="AE50" s="5">
        <v>16892.75</v>
      </c>
      <c r="AF50" s="5">
        <v>16905.3</v>
      </c>
      <c r="AG50" s="5">
        <v>12.55</v>
      </c>
      <c r="AH50" s="5">
        <v>7.4300000000000005E-2</v>
      </c>
      <c r="AI50" s="4">
        <v>1</v>
      </c>
      <c r="AJ50" s="5">
        <v>-1.6667000000000001E-2</v>
      </c>
      <c r="AK50" s="5">
        <v>9.7345000000000006</v>
      </c>
      <c r="AL50" s="5">
        <v>5.7599999999999998E-2</v>
      </c>
      <c r="AM50" s="8">
        <v>-0.32529999999999998</v>
      </c>
      <c r="AN50" s="8">
        <v>0.2651</v>
      </c>
      <c r="AO50" s="9">
        <v>-4.4154999999999998</v>
      </c>
      <c r="AP50" s="9">
        <v>-5.8200000000000002E-2</v>
      </c>
      <c r="AQ50" s="5">
        <v>98.471800000000002</v>
      </c>
      <c r="AR50" s="5">
        <v>101.3498</v>
      </c>
      <c r="AS50" s="5">
        <v>-2.8780000000000001</v>
      </c>
      <c r="AT50" s="5">
        <v>-2.8395999999999999</v>
      </c>
      <c r="AU50" s="8">
        <v>7.8100000000000003E-2</v>
      </c>
      <c r="AV50" s="8">
        <v>-0.1089</v>
      </c>
      <c r="AW50" s="8">
        <v>-0.1089</v>
      </c>
      <c r="AX50" s="5">
        <v>98.421899999999994</v>
      </c>
      <c r="AY50" s="5">
        <v>-2.8889</v>
      </c>
      <c r="AZ50" s="7" t="s">
        <v>96</v>
      </c>
    </row>
    <row r="51" spans="1:52" ht="18" customHeight="1" x14ac:dyDescent="0.25">
      <c r="A51" s="10">
        <v>25</v>
      </c>
      <c r="B51" s="10">
        <v>2</v>
      </c>
      <c r="C51" s="10">
        <v>25</v>
      </c>
      <c r="D51" s="86">
        <v>43817</v>
      </c>
      <c r="E51" s="86">
        <v>43818</v>
      </c>
      <c r="F51" s="86">
        <v>43825</v>
      </c>
      <c r="G51" s="11">
        <v>12221.65</v>
      </c>
      <c r="H51" s="11">
        <v>12259.7</v>
      </c>
      <c r="I51" s="12"/>
      <c r="J51" s="12"/>
      <c r="K51" s="91">
        <f t="array" ref="K51">MAX(IF((D51&lt;[1]Nifty_D!$B$2:$B$6600)*(E51&gt;=[1]Nifty_D!$B$2:$B$6600),[1]Nifty_D!$F$2:$F$6600,""))</f>
        <v>12259.7</v>
      </c>
      <c r="L51" s="92">
        <f t="shared" si="6"/>
        <v>3.1133275785184544E-3</v>
      </c>
      <c r="M51" s="91">
        <f t="shared" si="3"/>
        <v>635.80000000000109</v>
      </c>
      <c r="N51" s="93">
        <f t="array" ref="N51">INDEX([1]Nifty_D!$B$2:$B$6600,MATCH(E51,[1]Nifty_D!$B$2:$B$6600,0)-1)</f>
        <v>43817</v>
      </c>
      <c r="O51" s="89">
        <f>VLOOKUP(N51,[1]Nifty_D!$B$2:$F$6600,5,0)</f>
        <v>12221.65</v>
      </c>
      <c r="P51" s="92">
        <f t="shared" si="4"/>
        <v>0</v>
      </c>
      <c r="Q51" s="12" t="s">
        <v>40</v>
      </c>
      <c r="R51" s="10">
        <v>12000</v>
      </c>
      <c r="S51" s="103">
        <f>MROUND(G51,500)</f>
        <v>12000</v>
      </c>
      <c r="T51" s="103">
        <f>S51-R51</f>
        <v>0</v>
      </c>
      <c r="U51" s="12" t="s">
        <v>92</v>
      </c>
      <c r="V51" s="10">
        <v>65</v>
      </c>
      <c r="W51" s="11">
        <v>17.95</v>
      </c>
      <c r="X51" s="11">
        <v>11.9</v>
      </c>
      <c r="Y51" s="13">
        <v>-5.8500000000000003E-2</v>
      </c>
      <c r="Z51" s="13">
        <v>8.6E-3</v>
      </c>
      <c r="AA51" s="10">
        <v>0</v>
      </c>
      <c r="AB51" s="14">
        <v>0</v>
      </c>
      <c r="AC51" s="11">
        <v>-6.05</v>
      </c>
      <c r="AD51" s="14">
        <v>-4.9502317608506215E-4</v>
      </c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 t="s">
        <v>96</v>
      </c>
    </row>
    <row r="52" spans="1:52" ht="18" hidden="1" customHeight="1" x14ac:dyDescent="0.25">
      <c r="A52" s="4">
        <v>26</v>
      </c>
      <c r="B52" s="4">
        <v>1</v>
      </c>
      <c r="C52" s="4">
        <v>26</v>
      </c>
      <c r="D52" s="85">
        <v>43818</v>
      </c>
      <c r="E52" s="85">
        <v>43823</v>
      </c>
      <c r="F52" s="85">
        <v>43825</v>
      </c>
      <c r="G52" s="5">
        <v>12259.7</v>
      </c>
      <c r="H52" s="5">
        <v>12214.55</v>
      </c>
      <c r="I52" s="5">
        <v>-45.15</v>
      </c>
      <c r="J52" s="6">
        <v>-3.6827981108836271E-3</v>
      </c>
      <c r="K52" s="91">
        <f t="array" ref="K52">MAX(IF((D52&lt;[1]Nifty_D!$B$2:$B$6600)*(E52&gt;=[1]Nifty_D!$B$2:$B$6600),[1]Nifty_D!$F$2:$F$6600,""))</f>
        <v>12271.8</v>
      </c>
      <c r="L52" s="92">
        <f t="shared" si="6"/>
        <v>9.8697358010380043E-4</v>
      </c>
      <c r="M52" s="91">
        <f t="shared" si="3"/>
        <v>647.89999999999964</v>
      </c>
      <c r="N52" s="93">
        <f t="array" ref="N52">INDEX([1]Nifty_D!$B$2:$B$6600,MATCH(E52,[1]Nifty_D!$B$2:$B$6600,0)-1)</f>
        <v>43822</v>
      </c>
      <c r="O52" s="89">
        <f>VLOOKUP(N52,[1]Nifty_D!$B$2:$F$6600,5,0)</f>
        <v>12262.75</v>
      </c>
      <c r="P52" s="92">
        <f t="shared" si="4"/>
        <v>2.4878259663774216E-4</v>
      </c>
      <c r="Q52" s="7" t="s">
        <v>28</v>
      </c>
      <c r="R52" s="4">
        <v>12300</v>
      </c>
      <c r="S52" s="102"/>
      <c r="T52" s="102"/>
      <c r="U52" s="7" t="s">
        <v>90</v>
      </c>
      <c r="V52" s="4">
        <v>65</v>
      </c>
      <c r="W52" s="5">
        <v>47.7</v>
      </c>
      <c r="X52" s="5">
        <v>7.65</v>
      </c>
      <c r="Y52" s="8">
        <v>-7.3400000000000007E-2</v>
      </c>
      <c r="Z52" s="8">
        <v>0.35160000000000002</v>
      </c>
      <c r="AA52" s="5">
        <v>40.049999999999997</v>
      </c>
      <c r="AB52" s="6">
        <v>3.2668009820794961E-3</v>
      </c>
      <c r="AC52" s="4">
        <v>0</v>
      </c>
      <c r="AD52" s="6">
        <v>0</v>
      </c>
      <c r="AE52" s="5">
        <v>16905.3</v>
      </c>
      <c r="AF52" s="5">
        <v>16852.05</v>
      </c>
      <c r="AG52" s="5">
        <v>-53.25</v>
      </c>
      <c r="AH52" s="5">
        <v>-0.315</v>
      </c>
      <c r="AI52" s="4">
        <v>5</v>
      </c>
      <c r="AJ52" s="5">
        <v>-8.3333000000000004E-2</v>
      </c>
      <c r="AK52" s="5">
        <v>-67.337800000000001</v>
      </c>
      <c r="AL52" s="5">
        <v>-0.39829999999999999</v>
      </c>
      <c r="AM52" s="8">
        <v>-0.51380000000000003</v>
      </c>
      <c r="AN52" s="8">
        <v>0.40329999999999999</v>
      </c>
      <c r="AO52" s="9">
        <v>-2.6377000000000002</v>
      </c>
      <c r="AP52" s="9">
        <v>0.12939999999999999</v>
      </c>
      <c r="AQ52" s="5">
        <v>98.599199999999996</v>
      </c>
      <c r="AR52" s="5">
        <v>101.3498</v>
      </c>
      <c r="AS52" s="5">
        <v>-2.7505000000000002</v>
      </c>
      <c r="AT52" s="5">
        <v>-2.7139000000000002</v>
      </c>
      <c r="AU52" s="8">
        <v>6.2799999999999995E-2</v>
      </c>
      <c r="AV52" s="8">
        <v>0.12820000000000001</v>
      </c>
      <c r="AW52" s="8">
        <v>6.2799999999999995E-2</v>
      </c>
      <c r="AX52" s="5">
        <v>98.533699999999996</v>
      </c>
      <c r="AY52" s="5">
        <v>-2.7786</v>
      </c>
      <c r="AZ52" s="7" t="s">
        <v>91</v>
      </c>
    </row>
    <row r="53" spans="1:52" ht="18" customHeight="1" x14ac:dyDescent="0.25">
      <c r="A53" s="10">
        <v>26</v>
      </c>
      <c r="B53" s="10">
        <v>2</v>
      </c>
      <c r="C53" s="10">
        <v>26</v>
      </c>
      <c r="D53" s="86">
        <v>43818</v>
      </c>
      <c r="E53" s="86">
        <v>43823</v>
      </c>
      <c r="F53" s="86">
        <v>43825</v>
      </c>
      <c r="G53" s="11">
        <v>12259.7</v>
      </c>
      <c r="H53" s="11">
        <v>12214.55</v>
      </c>
      <c r="I53" s="12"/>
      <c r="J53" s="12"/>
      <c r="K53" s="91">
        <f t="array" ref="K53">MAX(IF((D53&lt;[1]Nifty_D!$B$2:$B$6600)*(E53&gt;=[1]Nifty_D!$B$2:$B$6600),[1]Nifty_D!$F$2:$F$6600,""))</f>
        <v>12271.8</v>
      </c>
      <c r="L53" s="92">
        <f t="shared" si="6"/>
        <v>9.8697358010380043E-4</v>
      </c>
      <c r="M53" s="91">
        <f t="shared" si="3"/>
        <v>647.89999999999964</v>
      </c>
      <c r="N53" s="93">
        <f t="array" ref="N53">INDEX([1]Nifty_D!$B$2:$B$6600,MATCH(E53,[1]Nifty_D!$B$2:$B$6600,0)-1)</f>
        <v>43822</v>
      </c>
      <c r="O53" s="89">
        <f>VLOOKUP(N53,[1]Nifty_D!$B$2:$F$6600,5,0)</f>
        <v>12262.75</v>
      </c>
      <c r="P53" s="92">
        <f t="shared" si="4"/>
        <v>2.4878259663774216E-4</v>
      </c>
      <c r="Q53" s="12" t="s">
        <v>40</v>
      </c>
      <c r="R53" s="10">
        <v>12500</v>
      </c>
      <c r="S53" s="103">
        <f>MROUND(G53,500)</f>
        <v>12500</v>
      </c>
      <c r="T53" s="103">
        <f>S53-R53</f>
        <v>0</v>
      </c>
      <c r="U53" s="12" t="s">
        <v>92</v>
      </c>
      <c r="V53" s="10">
        <v>65</v>
      </c>
      <c r="W53" s="11">
        <v>237.9</v>
      </c>
      <c r="X53" s="11">
        <v>262.55</v>
      </c>
      <c r="Y53" s="13">
        <v>-0.2671</v>
      </c>
      <c r="Z53" s="13">
        <v>0.29039999999999999</v>
      </c>
      <c r="AA53" s="10">
        <v>0</v>
      </c>
      <c r="AB53" s="14">
        <v>0</v>
      </c>
      <c r="AC53" s="11">
        <v>24.65</v>
      </c>
      <c r="AD53" s="14">
        <v>2.010652789219964E-3</v>
      </c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 t="s">
        <v>91</v>
      </c>
    </row>
    <row r="54" spans="1:52" ht="18" hidden="1" customHeight="1" x14ac:dyDescent="0.25">
      <c r="A54" s="4">
        <v>27</v>
      </c>
      <c r="B54" s="4">
        <v>1</v>
      </c>
      <c r="C54" s="4">
        <v>27</v>
      </c>
      <c r="D54" s="85">
        <v>43823</v>
      </c>
      <c r="E54" s="85">
        <v>43831</v>
      </c>
      <c r="F54" s="85">
        <v>43832</v>
      </c>
      <c r="G54" s="5">
        <v>12214.55</v>
      </c>
      <c r="H54" s="5">
        <v>12182.5</v>
      </c>
      <c r="I54" s="5">
        <v>-32.049999999999997</v>
      </c>
      <c r="J54" s="6">
        <v>-2.6239198333135481E-3</v>
      </c>
      <c r="K54" s="91">
        <f t="array" ref="K54">MAX(IF((D54&lt;[1]Nifty_D!$B$2:$B$6600)*(E54&gt;=[1]Nifty_D!$B$2:$B$6600),[1]Nifty_D!$F$2:$F$6600,""))</f>
        <v>12255.85</v>
      </c>
      <c r="L54" s="92">
        <f t="shared" si="6"/>
        <v>3.3812133889501439E-3</v>
      </c>
      <c r="M54" s="91">
        <f t="shared" si="3"/>
        <v>631.95000000000073</v>
      </c>
      <c r="N54" s="93">
        <f t="array" ref="N54">INDEX([1]Nifty_D!$B$2:$B$6600,MATCH(E54,[1]Nifty_D!$B$2:$B$6600,0)-1)</f>
        <v>43830</v>
      </c>
      <c r="O54" s="89">
        <f>VLOOKUP(N54,[1]Nifty_D!$B$2:$F$6600,5,0)</f>
        <v>12168.45</v>
      </c>
      <c r="P54" s="92">
        <f t="shared" si="4"/>
        <v>-3.7741873421450745E-3</v>
      </c>
      <c r="Q54" s="7" t="s">
        <v>28</v>
      </c>
      <c r="R54" s="4">
        <v>12200</v>
      </c>
      <c r="S54" s="102"/>
      <c r="T54" s="102"/>
      <c r="U54" s="7" t="s">
        <v>90</v>
      </c>
      <c r="V54" s="4">
        <v>65</v>
      </c>
      <c r="W54" s="4">
        <v>97</v>
      </c>
      <c r="X54" s="5">
        <v>21.8</v>
      </c>
      <c r="Y54" s="8">
        <v>-9.5000000000000001E-2</v>
      </c>
      <c r="Z54" s="8">
        <v>0.64139999999999997</v>
      </c>
      <c r="AA54" s="5">
        <v>75.2</v>
      </c>
      <c r="AB54" s="6">
        <v>6.1565919333909152E-3</v>
      </c>
      <c r="AC54" s="4">
        <v>0</v>
      </c>
      <c r="AD54" s="6">
        <v>0</v>
      </c>
      <c r="AE54" s="5">
        <v>16852.05</v>
      </c>
      <c r="AF54" s="5">
        <v>17143.25</v>
      </c>
      <c r="AG54" s="5">
        <v>291.2</v>
      </c>
      <c r="AH54" s="5">
        <v>1.728</v>
      </c>
      <c r="AI54" s="4">
        <v>8</v>
      </c>
      <c r="AJ54" s="5">
        <v>-0.13333300000000001</v>
      </c>
      <c r="AK54" s="5">
        <v>268.73059999999998</v>
      </c>
      <c r="AL54" s="5">
        <v>1.5946</v>
      </c>
      <c r="AM54" s="8">
        <v>-0.1018</v>
      </c>
      <c r="AN54" s="8">
        <v>1.7827999999999999</v>
      </c>
      <c r="AO54" s="15">
        <v>326.3306</v>
      </c>
      <c r="AP54" s="15">
        <v>2.0661999999999998</v>
      </c>
      <c r="AQ54" s="5">
        <v>100.6365</v>
      </c>
      <c r="AR54" s="5">
        <v>101.3498</v>
      </c>
      <c r="AS54" s="5">
        <v>-0.71330000000000005</v>
      </c>
      <c r="AT54" s="5">
        <v>-0.70379999999999998</v>
      </c>
      <c r="AU54" s="8">
        <v>1.3951</v>
      </c>
      <c r="AV54" s="8">
        <v>0.65869999999999995</v>
      </c>
      <c r="AW54" s="8">
        <v>0.65869999999999995</v>
      </c>
      <c r="AX54" s="5">
        <v>99.248699999999999</v>
      </c>
      <c r="AY54" s="5">
        <v>-2.0731000000000002</v>
      </c>
      <c r="AZ54" s="7" t="s">
        <v>91</v>
      </c>
    </row>
    <row r="55" spans="1:52" ht="18" customHeight="1" x14ac:dyDescent="0.25">
      <c r="A55" s="10">
        <v>27</v>
      </c>
      <c r="B55" s="10">
        <v>2</v>
      </c>
      <c r="C55" s="10">
        <v>27</v>
      </c>
      <c r="D55" s="86">
        <v>43823</v>
      </c>
      <c r="E55" s="86">
        <v>43831</v>
      </c>
      <c r="F55" s="86">
        <v>43860</v>
      </c>
      <c r="G55" s="11">
        <v>12214.55</v>
      </c>
      <c r="H55" s="11">
        <v>12182.5</v>
      </c>
      <c r="I55" s="12"/>
      <c r="J55" s="12"/>
      <c r="K55" s="91">
        <f t="array" ref="K55">MAX(IF((D55&lt;[1]Nifty_D!$B$2:$B$6600)*(E55&gt;=[1]Nifty_D!$B$2:$B$6600),[1]Nifty_D!$F$2:$F$6600,""))</f>
        <v>12255.85</v>
      </c>
      <c r="L55" s="92">
        <f t="shared" si="6"/>
        <v>3.3812133889501439E-3</v>
      </c>
      <c r="M55" s="91">
        <f t="shared" si="3"/>
        <v>631.95000000000073</v>
      </c>
      <c r="N55" s="93">
        <f t="array" ref="N55">INDEX([1]Nifty_D!$B$2:$B$6600,MATCH(E55,[1]Nifty_D!$B$2:$B$6600,0)-1)</f>
        <v>43830</v>
      </c>
      <c r="O55" s="89">
        <f>VLOOKUP(N55,[1]Nifty_D!$B$2:$F$6600,5,0)</f>
        <v>12168.45</v>
      </c>
      <c r="P55" s="92">
        <f t="shared" si="4"/>
        <v>-3.7741873421450745E-3</v>
      </c>
      <c r="Q55" s="12" t="s">
        <v>40</v>
      </c>
      <c r="R55" s="10">
        <v>12000</v>
      </c>
      <c r="S55" s="103">
        <f>MROUND(G55,500)</f>
        <v>12000</v>
      </c>
      <c r="T55" s="103">
        <f>S55-R55</f>
        <v>0</v>
      </c>
      <c r="U55" s="12" t="s">
        <v>92</v>
      </c>
      <c r="V55" s="10">
        <v>65</v>
      </c>
      <c r="W55" s="11">
        <v>84.7</v>
      </c>
      <c r="X55" s="11">
        <v>67.099999999999994</v>
      </c>
      <c r="Y55" s="13">
        <v>-0.29270000000000002</v>
      </c>
      <c r="Z55" s="13">
        <v>0.1191</v>
      </c>
      <c r="AA55" s="10">
        <v>0</v>
      </c>
      <c r="AB55" s="14">
        <v>0</v>
      </c>
      <c r="AC55" s="11">
        <v>-17.600000000000001</v>
      </c>
      <c r="AD55" s="14">
        <v>-1.4409044950489381E-3</v>
      </c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 t="s">
        <v>91</v>
      </c>
    </row>
    <row r="56" spans="1:52" ht="18" hidden="1" customHeight="1" x14ac:dyDescent="0.25">
      <c r="A56" s="4">
        <v>28</v>
      </c>
      <c r="B56" s="4">
        <v>1</v>
      </c>
      <c r="C56" s="4">
        <v>28</v>
      </c>
      <c r="D56" s="85">
        <v>43831</v>
      </c>
      <c r="E56" s="85">
        <v>43838</v>
      </c>
      <c r="F56" s="85">
        <v>43839</v>
      </c>
      <c r="G56" s="5">
        <v>12182.5</v>
      </c>
      <c r="H56" s="5">
        <v>12025.35</v>
      </c>
      <c r="I56" s="5">
        <v>-157.15</v>
      </c>
      <c r="J56" s="6">
        <v>-1.289965113892879E-2</v>
      </c>
      <c r="K56" s="91">
        <f t="array" ref="K56">MAX(IF((D56&lt;[1]Nifty_D!$B$2:$B$6600)*(E56&gt;=[1]Nifty_D!$B$2:$B$6600),[1]Nifty_D!$F$2:$F$6600,""))</f>
        <v>12282.2</v>
      </c>
      <c r="L56" s="92">
        <f t="shared" si="6"/>
        <v>8.1838703057666162E-3</v>
      </c>
      <c r="M56" s="91">
        <f t="shared" si="3"/>
        <v>658.30000000000109</v>
      </c>
      <c r="N56" s="93">
        <f t="array" ref="N56">INDEX([1]Nifty_D!$B$2:$B$6600,MATCH(E56,[1]Nifty_D!$B$2:$B$6600,0)-1)</f>
        <v>43837</v>
      </c>
      <c r="O56" s="89">
        <f>VLOOKUP(N56,[1]Nifty_D!$B$2:$F$6600,5,0)</f>
        <v>12052.95</v>
      </c>
      <c r="P56" s="92">
        <f t="shared" si="4"/>
        <v>-1.0634106300020485E-2</v>
      </c>
      <c r="Q56" s="7" t="s">
        <v>28</v>
      </c>
      <c r="R56" s="4">
        <v>12200</v>
      </c>
      <c r="S56" s="102"/>
      <c r="T56" s="102"/>
      <c r="U56" s="7" t="s">
        <v>90</v>
      </c>
      <c r="V56" s="4">
        <v>65</v>
      </c>
      <c r="W56" s="5">
        <v>69.400000000000006</v>
      </c>
      <c r="X56" s="5">
        <v>3.5</v>
      </c>
      <c r="Y56" s="8">
        <v>-0.47120000000000001</v>
      </c>
      <c r="Z56" s="8">
        <v>0.55530000000000002</v>
      </c>
      <c r="AA56" s="5">
        <v>65.900000000000006</v>
      </c>
      <c r="AB56" s="6">
        <v>5.4093987276831526E-3</v>
      </c>
      <c r="AC56" s="4">
        <v>0</v>
      </c>
      <c r="AD56" s="6">
        <v>0</v>
      </c>
      <c r="AE56" s="5">
        <v>17143.25</v>
      </c>
      <c r="AF56" s="5">
        <v>17074.3</v>
      </c>
      <c r="AG56" s="5">
        <v>-68.95</v>
      </c>
      <c r="AH56" s="5">
        <v>-0.4022</v>
      </c>
      <c r="AI56" s="4">
        <v>7</v>
      </c>
      <c r="AJ56" s="5">
        <v>-0.11666700000000001</v>
      </c>
      <c r="AK56" s="5">
        <v>-88.950500000000005</v>
      </c>
      <c r="AL56" s="5">
        <v>-0.51890000000000003</v>
      </c>
      <c r="AM56" s="8">
        <v>-1.9891000000000001</v>
      </c>
      <c r="AN56" s="8">
        <v>1.5283</v>
      </c>
      <c r="AO56" s="15">
        <v>52.749499999999998</v>
      </c>
      <c r="AP56" s="15">
        <v>0.64419999999999999</v>
      </c>
      <c r="AQ56" s="5">
        <v>101.2848</v>
      </c>
      <c r="AR56" s="5">
        <v>101.3498</v>
      </c>
      <c r="AS56" s="5">
        <v>-6.5000000000000002E-2</v>
      </c>
      <c r="AT56" s="5">
        <v>-6.4100000000000004E-2</v>
      </c>
      <c r="AU56" s="8">
        <v>0.87570000000000003</v>
      </c>
      <c r="AV56" s="8">
        <v>-0.34370000000000001</v>
      </c>
      <c r="AW56" s="8">
        <v>-0.34370000000000001</v>
      </c>
      <c r="AX56" s="5">
        <v>100.2906</v>
      </c>
      <c r="AY56" s="5">
        <v>-1.0450999999999999</v>
      </c>
      <c r="AZ56" s="7" t="s">
        <v>91</v>
      </c>
    </row>
    <row r="57" spans="1:52" ht="18" customHeight="1" x14ac:dyDescent="0.25">
      <c r="A57" s="10">
        <v>28</v>
      </c>
      <c r="B57" s="10">
        <v>2</v>
      </c>
      <c r="C57" s="10">
        <v>28</v>
      </c>
      <c r="D57" s="86">
        <v>43831</v>
      </c>
      <c r="E57" s="86">
        <v>43838</v>
      </c>
      <c r="F57" s="86">
        <v>43860</v>
      </c>
      <c r="G57" s="11">
        <v>12182.5</v>
      </c>
      <c r="H57" s="11">
        <v>12025.35</v>
      </c>
      <c r="I57" s="12"/>
      <c r="J57" s="12"/>
      <c r="K57" s="91">
        <f t="array" ref="K57">MAX(IF((D57&lt;[1]Nifty_D!$B$2:$B$6600)*(E57&gt;=[1]Nifty_D!$B$2:$B$6600),[1]Nifty_D!$F$2:$F$6600,""))</f>
        <v>12282.2</v>
      </c>
      <c r="L57" s="92">
        <f t="shared" si="6"/>
        <v>8.1838703057666162E-3</v>
      </c>
      <c r="M57" s="91">
        <f t="shared" si="3"/>
        <v>658.30000000000109</v>
      </c>
      <c r="N57" s="93">
        <f t="array" ref="N57">INDEX([1]Nifty_D!$B$2:$B$6600,MATCH(E57,[1]Nifty_D!$B$2:$B$6600,0)-1)</f>
        <v>43837</v>
      </c>
      <c r="O57" s="89">
        <f>VLOOKUP(N57,[1]Nifty_D!$B$2:$F$6600,5,0)</f>
        <v>12052.95</v>
      </c>
      <c r="P57" s="92">
        <f t="shared" si="4"/>
        <v>-1.0634106300020485E-2</v>
      </c>
      <c r="Q57" s="12" t="s">
        <v>40</v>
      </c>
      <c r="R57" s="10">
        <v>12000</v>
      </c>
      <c r="S57" s="103">
        <f>MROUND(G57,500)</f>
        <v>12000</v>
      </c>
      <c r="T57" s="103">
        <f>S57-R57</f>
        <v>0</v>
      </c>
      <c r="U57" s="12" t="s">
        <v>92</v>
      </c>
      <c r="V57" s="10">
        <v>65</v>
      </c>
      <c r="W57" s="11">
        <v>67.099999999999994</v>
      </c>
      <c r="X57" s="11">
        <v>142.9</v>
      </c>
      <c r="Y57" s="13">
        <v>-0.18140000000000001</v>
      </c>
      <c r="Z57" s="13">
        <v>1.0901000000000001</v>
      </c>
      <c r="AA57" s="10">
        <v>0</v>
      </c>
      <c r="AB57" s="14">
        <v>0</v>
      </c>
      <c r="AC57" s="11">
        <v>75.8</v>
      </c>
      <c r="AD57" s="14">
        <v>6.2220398112045969E-3</v>
      </c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 t="s">
        <v>91</v>
      </c>
    </row>
    <row r="58" spans="1:52" ht="18" hidden="1" customHeight="1" x14ac:dyDescent="0.25">
      <c r="A58" s="4">
        <v>29</v>
      </c>
      <c r="B58" s="4">
        <v>1</v>
      </c>
      <c r="C58" s="4">
        <v>29</v>
      </c>
      <c r="D58" s="85">
        <v>43838</v>
      </c>
      <c r="E58" s="85">
        <v>43839</v>
      </c>
      <c r="F58" s="85">
        <v>43846</v>
      </c>
      <c r="G58" s="5">
        <v>12025.35</v>
      </c>
      <c r="H58" s="5">
        <v>12215.9</v>
      </c>
      <c r="I58" s="5">
        <v>190.55</v>
      </c>
      <c r="J58" s="6">
        <v>1.5845692640962639E-2</v>
      </c>
      <c r="K58" s="91">
        <f t="array" ref="K58">MAX(IF((D58&lt;[1]Nifty_D!$B$2:$B$6600)*(E58&gt;=[1]Nifty_D!$B$2:$B$6600),[1]Nifty_D!$F$2:$F$6600,""))</f>
        <v>12215.9</v>
      </c>
      <c r="L58" s="92">
        <f t="shared" si="6"/>
        <v>1.5845692640962472E-2</v>
      </c>
      <c r="M58" s="91">
        <f t="shared" si="3"/>
        <v>592</v>
      </c>
      <c r="N58" s="93">
        <f t="array" ref="N58">INDEX([1]Nifty_D!$B$2:$B$6600,MATCH(E58,[1]Nifty_D!$B$2:$B$6600,0)-1)</f>
        <v>43838</v>
      </c>
      <c r="O58" s="89">
        <f>VLOOKUP(N58,[1]Nifty_D!$B$2:$F$6600,5,0)</f>
        <v>12025.35</v>
      </c>
      <c r="P58" s="92">
        <f t="shared" si="4"/>
        <v>0</v>
      </c>
      <c r="Q58" s="7" t="s">
        <v>28</v>
      </c>
      <c r="R58" s="4">
        <v>12000</v>
      </c>
      <c r="S58" s="102"/>
      <c r="T58" s="102"/>
      <c r="U58" s="7" t="s">
        <v>90</v>
      </c>
      <c r="V58" s="4">
        <v>65</v>
      </c>
      <c r="W58" s="5">
        <v>130.4</v>
      </c>
      <c r="X58" s="4">
        <v>257</v>
      </c>
      <c r="Y58" s="8">
        <v>-1.123</v>
      </c>
      <c r="Z58" s="8">
        <v>-0.41249999999999998</v>
      </c>
      <c r="AA58" s="5">
        <v>-126.6</v>
      </c>
      <c r="AB58" s="6">
        <v>-1.0527760106774441E-2</v>
      </c>
      <c r="AC58" s="4">
        <v>0</v>
      </c>
      <c r="AD58" s="6">
        <v>0</v>
      </c>
      <c r="AE58" s="5">
        <v>17074.3</v>
      </c>
      <c r="AF58" s="5">
        <v>17319.650000000001</v>
      </c>
      <c r="AG58" s="5">
        <v>245.35</v>
      </c>
      <c r="AH58" s="5">
        <v>1.4370000000000001</v>
      </c>
      <c r="AI58" s="4">
        <v>1</v>
      </c>
      <c r="AJ58" s="5">
        <v>-1.6667000000000001E-2</v>
      </c>
      <c r="AK58" s="5">
        <v>242.5043</v>
      </c>
      <c r="AL58" s="5">
        <v>1.4202999999999999</v>
      </c>
      <c r="AM58" s="8">
        <v>0.88419999999999999</v>
      </c>
      <c r="AN58" s="8">
        <v>1.5972</v>
      </c>
      <c r="AO58" s="15">
        <v>34.704300000000003</v>
      </c>
      <c r="AP58" s="15">
        <v>-0.30769999999999997</v>
      </c>
      <c r="AQ58" s="5">
        <v>100.9731</v>
      </c>
      <c r="AR58" s="5">
        <v>101.3498</v>
      </c>
      <c r="AS58" s="5">
        <v>-0.37659999999999999</v>
      </c>
      <c r="AT58" s="5">
        <v>-0.37159999999999999</v>
      </c>
      <c r="AU58" s="8">
        <v>-0.2152</v>
      </c>
      <c r="AV58" s="8">
        <v>9.8299999999999998E-2</v>
      </c>
      <c r="AW58" s="8">
        <v>-0.30769999999999997</v>
      </c>
      <c r="AX58" s="5">
        <v>100.9731</v>
      </c>
      <c r="AY58" s="5">
        <v>-0.37159999999999999</v>
      </c>
      <c r="AZ58" s="7" t="s">
        <v>95</v>
      </c>
    </row>
    <row r="59" spans="1:52" ht="18" customHeight="1" x14ac:dyDescent="0.25">
      <c r="A59" s="10">
        <v>29</v>
      </c>
      <c r="B59" s="10">
        <v>2</v>
      </c>
      <c r="C59" s="10">
        <v>29</v>
      </c>
      <c r="D59" s="86">
        <v>43838</v>
      </c>
      <c r="E59" s="86">
        <v>43839</v>
      </c>
      <c r="F59" s="86">
        <v>43860</v>
      </c>
      <c r="G59" s="11">
        <v>12025.35</v>
      </c>
      <c r="H59" s="11">
        <v>12215.9</v>
      </c>
      <c r="I59" s="12"/>
      <c r="J59" s="12"/>
      <c r="K59" s="91">
        <f t="array" ref="K59">MAX(IF((D59&lt;[1]Nifty_D!$B$2:$B$6600)*(E59&gt;=[1]Nifty_D!$B$2:$B$6600),[1]Nifty_D!$F$2:$F$6600,""))</f>
        <v>12215.9</v>
      </c>
      <c r="L59" s="92">
        <f t="shared" si="6"/>
        <v>1.5845692640962472E-2</v>
      </c>
      <c r="M59" s="91">
        <f t="shared" si="3"/>
        <v>592</v>
      </c>
      <c r="N59" s="93">
        <f t="array" ref="N59">INDEX([1]Nifty_D!$B$2:$B$6600,MATCH(E59,[1]Nifty_D!$B$2:$B$6600,0)-1)</f>
        <v>43838</v>
      </c>
      <c r="O59" s="89">
        <f>VLOOKUP(N59,[1]Nifty_D!$B$2:$F$6600,5,0)</f>
        <v>12025.35</v>
      </c>
      <c r="P59" s="92">
        <f t="shared" si="4"/>
        <v>0</v>
      </c>
      <c r="Q59" s="12" t="s">
        <v>40</v>
      </c>
      <c r="R59" s="10">
        <v>12000</v>
      </c>
      <c r="S59" s="103">
        <f>MROUND(G59,500)</f>
        <v>12000</v>
      </c>
      <c r="T59" s="103">
        <f>S59-R59</f>
        <v>0</v>
      </c>
      <c r="U59" s="12" t="s">
        <v>92</v>
      </c>
      <c r="V59" s="10">
        <v>65</v>
      </c>
      <c r="W59" s="11">
        <v>142.9</v>
      </c>
      <c r="X59" s="11">
        <v>61.7</v>
      </c>
      <c r="Y59" s="13">
        <v>-0.68940000000000001</v>
      </c>
      <c r="Z59" s="13">
        <v>-0.37340000000000001</v>
      </c>
      <c r="AA59" s="10">
        <v>0</v>
      </c>
      <c r="AB59" s="14">
        <v>0</v>
      </c>
      <c r="AC59" s="11">
        <v>-81.2</v>
      </c>
      <c r="AD59" s="14">
        <v>-6.7524022169832892E-3</v>
      </c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 t="s">
        <v>95</v>
      </c>
    </row>
    <row r="60" spans="1:52" ht="18" hidden="1" customHeight="1" x14ac:dyDescent="0.25">
      <c r="A60" s="4">
        <v>30</v>
      </c>
      <c r="B60" s="4">
        <v>1</v>
      </c>
      <c r="C60" s="4">
        <v>30</v>
      </c>
      <c r="D60" s="85">
        <v>43839</v>
      </c>
      <c r="E60" s="85">
        <v>43844</v>
      </c>
      <c r="F60" s="85">
        <v>43846</v>
      </c>
      <c r="G60" s="5">
        <v>12215.9</v>
      </c>
      <c r="H60" s="5">
        <v>12362.3</v>
      </c>
      <c r="I60" s="5">
        <v>146.4</v>
      </c>
      <c r="J60" s="6">
        <v>1.198438101163238E-2</v>
      </c>
      <c r="K60" s="91">
        <f t="array" ref="K60">MAX(IF((D60&lt;[1]Nifty_D!$B$2:$B$6600)*(E60&gt;=[1]Nifty_D!$B$2:$B$6600),[1]Nifty_D!$F$2:$F$6600,""))</f>
        <v>12362.3</v>
      </c>
      <c r="L60" s="92">
        <f t="shared" si="6"/>
        <v>1.1984381011632461E-2</v>
      </c>
      <c r="M60" s="91">
        <f t="shared" si="3"/>
        <v>738.39999999999964</v>
      </c>
      <c r="N60" s="93">
        <f t="array" ref="N60">INDEX([1]Nifty_D!$B$2:$B$6600,MATCH(E60,[1]Nifty_D!$B$2:$B$6600,0)-1)</f>
        <v>43843</v>
      </c>
      <c r="O60" s="89">
        <f>VLOOKUP(N60,[1]Nifty_D!$B$2:$F$6600,5,0)</f>
        <v>12329.55</v>
      </c>
      <c r="P60" s="92">
        <f t="shared" si="4"/>
        <v>9.3034487839618318E-3</v>
      </c>
      <c r="Q60" s="7" t="s">
        <v>28</v>
      </c>
      <c r="R60" s="4">
        <v>12200</v>
      </c>
      <c r="S60" s="102"/>
      <c r="T60" s="102"/>
      <c r="U60" s="7" t="s">
        <v>90</v>
      </c>
      <c r="V60" s="4">
        <v>65</v>
      </c>
      <c r="W60" s="5">
        <v>97.4</v>
      </c>
      <c r="X60" s="5">
        <v>173.35</v>
      </c>
      <c r="Y60" s="8">
        <v>-0.70730000000000004</v>
      </c>
      <c r="Z60" s="8">
        <v>9.9900000000000003E-2</v>
      </c>
      <c r="AA60" s="5">
        <v>-75.95</v>
      </c>
      <c r="AB60" s="6">
        <v>-6.2173069524144768E-3</v>
      </c>
      <c r="AC60" s="4">
        <v>0</v>
      </c>
      <c r="AD60" s="6">
        <v>0</v>
      </c>
      <c r="AE60" s="5">
        <v>17319.650000000001</v>
      </c>
      <c r="AF60" s="5">
        <v>17651.650000000001</v>
      </c>
      <c r="AG60" s="4">
        <v>332</v>
      </c>
      <c r="AH60" s="5">
        <v>1.9169</v>
      </c>
      <c r="AI60" s="4">
        <v>5</v>
      </c>
      <c r="AJ60" s="5">
        <v>-8.3333000000000004E-2</v>
      </c>
      <c r="AK60" s="5">
        <v>317.56700000000001</v>
      </c>
      <c r="AL60" s="5">
        <v>1.8335999999999999</v>
      </c>
      <c r="AM60" s="8">
        <v>0.192</v>
      </c>
      <c r="AN60" s="8">
        <v>1.8977999999999999</v>
      </c>
      <c r="AO60" s="15">
        <v>207.06700000000001</v>
      </c>
      <c r="AP60" s="15">
        <v>0.92900000000000005</v>
      </c>
      <c r="AQ60" s="5">
        <v>101.91119999999999</v>
      </c>
      <c r="AR60" s="5">
        <v>101.91119999999999</v>
      </c>
      <c r="AS60" s="4">
        <v>0</v>
      </c>
      <c r="AT60" s="4">
        <v>0</v>
      </c>
      <c r="AU60" s="8">
        <v>0.89829999999999999</v>
      </c>
      <c r="AV60" s="8">
        <v>0.2944</v>
      </c>
      <c r="AW60" s="8">
        <v>0.2944</v>
      </c>
      <c r="AX60" s="5">
        <v>101.2704</v>
      </c>
      <c r="AY60" s="5">
        <v>-7.8299999999999995E-2</v>
      </c>
      <c r="AZ60" s="7" t="s">
        <v>97</v>
      </c>
    </row>
    <row r="61" spans="1:52" ht="18" customHeight="1" x14ac:dyDescent="0.25">
      <c r="A61" s="10">
        <v>30</v>
      </c>
      <c r="B61" s="10">
        <v>2</v>
      </c>
      <c r="C61" s="10">
        <v>30</v>
      </c>
      <c r="D61" s="86">
        <v>43839</v>
      </c>
      <c r="E61" s="86">
        <v>43844</v>
      </c>
      <c r="F61" s="86">
        <v>43860</v>
      </c>
      <c r="G61" s="11">
        <v>12215.9</v>
      </c>
      <c r="H61" s="11">
        <v>12362.3</v>
      </c>
      <c r="I61" s="12"/>
      <c r="J61" s="12"/>
      <c r="K61" s="91">
        <f t="array" ref="K61">MAX(IF((D61&lt;[1]Nifty_D!$B$2:$B$6600)*(E61&gt;=[1]Nifty_D!$B$2:$B$6600),[1]Nifty_D!$F$2:$F$6600,""))</f>
        <v>12362.3</v>
      </c>
      <c r="L61" s="92">
        <f t="shared" si="6"/>
        <v>1.1984381011632461E-2</v>
      </c>
      <c r="M61" s="91">
        <f t="shared" si="3"/>
        <v>738.39999999999964</v>
      </c>
      <c r="N61" s="93">
        <f t="array" ref="N61">INDEX([1]Nifty_D!$B$2:$B$6600,MATCH(E61,[1]Nifty_D!$B$2:$B$6600,0)-1)</f>
        <v>43843</v>
      </c>
      <c r="O61" s="89">
        <f>VLOOKUP(N61,[1]Nifty_D!$B$2:$F$6600,5,0)</f>
        <v>12329.55</v>
      </c>
      <c r="P61" s="92">
        <f t="shared" si="4"/>
        <v>9.3034487839618318E-3</v>
      </c>
      <c r="Q61" s="12" t="s">
        <v>40</v>
      </c>
      <c r="R61" s="10">
        <v>12000</v>
      </c>
      <c r="S61" s="103">
        <f>MROUND(G61,500)</f>
        <v>12000</v>
      </c>
      <c r="T61" s="103">
        <f>S61-R61</f>
        <v>0</v>
      </c>
      <c r="U61" s="12" t="s">
        <v>92</v>
      </c>
      <c r="V61" s="10">
        <v>65</v>
      </c>
      <c r="W61" s="11">
        <v>61.7</v>
      </c>
      <c r="X61" s="11">
        <v>27.15</v>
      </c>
      <c r="Y61" s="13">
        <v>-0.29220000000000002</v>
      </c>
      <c r="Z61" s="13">
        <v>2.5000000000000001E-3</v>
      </c>
      <c r="AA61" s="10">
        <v>0</v>
      </c>
      <c r="AB61" s="14">
        <v>0</v>
      </c>
      <c r="AC61" s="11">
        <v>-34.549999999999997</v>
      </c>
      <c r="AD61" s="14">
        <v>-2.8282811745348269E-3</v>
      </c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 t="s">
        <v>97</v>
      </c>
    </row>
    <row r="62" spans="1:52" ht="18" hidden="1" customHeight="1" x14ac:dyDescent="0.25">
      <c r="A62" s="4">
        <v>31</v>
      </c>
      <c r="B62" s="4">
        <v>1</v>
      </c>
      <c r="C62" s="4">
        <v>31</v>
      </c>
      <c r="D62" s="85">
        <v>43844</v>
      </c>
      <c r="E62" s="85">
        <v>43845</v>
      </c>
      <c r="F62" s="85">
        <v>43846</v>
      </c>
      <c r="G62" s="5">
        <v>12362.3</v>
      </c>
      <c r="H62" s="5">
        <v>12343.3</v>
      </c>
      <c r="I62" s="4">
        <v>-19</v>
      </c>
      <c r="J62" s="6">
        <v>-1.536930830023539E-3</v>
      </c>
      <c r="K62" s="91">
        <f t="array" ref="K62">MAX(IF((D62&lt;[1]Nifty_D!$B$2:$B$6600)*(E62&gt;=[1]Nifty_D!$B$2:$B$6600),[1]Nifty_D!$F$2:$F$6600,""))</f>
        <v>12343.3</v>
      </c>
      <c r="L62" s="92">
        <f t="shared" si="6"/>
        <v>-1.5369308300234863E-3</v>
      </c>
      <c r="M62" s="91">
        <f t="shared" si="3"/>
        <v>719.39999999999964</v>
      </c>
      <c r="N62" s="93">
        <f t="array" ref="N62">INDEX([1]Nifty_D!$B$2:$B$6600,MATCH(E62,[1]Nifty_D!$B$2:$B$6600,0)-1)</f>
        <v>43844</v>
      </c>
      <c r="O62" s="89">
        <f>VLOOKUP(N62,[1]Nifty_D!$B$2:$F$6600,5,0)</f>
        <v>12362.3</v>
      </c>
      <c r="P62" s="92">
        <f t="shared" si="4"/>
        <v>0</v>
      </c>
      <c r="Q62" s="7" t="s">
        <v>28</v>
      </c>
      <c r="R62" s="4">
        <v>12400</v>
      </c>
      <c r="S62" s="102"/>
      <c r="T62" s="102"/>
      <c r="U62" s="7" t="s">
        <v>90</v>
      </c>
      <c r="V62" s="4">
        <v>65</v>
      </c>
      <c r="W62" s="5">
        <v>28.45</v>
      </c>
      <c r="X62" s="5">
        <v>12.15</v>
      </c>
      <c r="Y62" s="8">
        <v>5.2200000000000003E-2</v>
      </c>
      <c r="Z62" s="8">
        <v>0.19209999999999999</v>
      </c>
      <c r="AA62" s="5">
        <v>16.3</v>
      </c>
      <c r="AB62" s="6">
        <v>1.318524869967563E-3</v>
      </c>
      <c r="AC62" s="4">
        <v>0</v>
      </c>
      <c r="AD62" s="6">
        <v>0</v>
      </c>
      <c r="AE62" s="5">
        <v>17651.650000000001</v>
      </c>
      <c r="AF62" s="5">
        <v>17836.099999999999</v>
      </c>
      <c r="AG62" s="5">
        <v>184.45</v>
      </c>
      <c r="AH62" s="5">
        <v>1.0448999999999999</v>
      </c>
      <c r="AI62" s="4">
        <v>1</v>
      </c>
      <c r="AJ62" s="5">
        <v>-1.6667000000000001E-2</v>
      </c>
      <c r="AK62" s="5">
        <v>181.50810000000001</v>
      </c>
      <c r="AL62" s="5">
        <v>1.0283</v>
      </c>
      <c r="AM62" s="8">
        <v>-0.17530000000000001</v>
      </c>
      <c r="AN62" s="8">
        <v>1.1213</v>
      </c>
      <c r="AO62" s="15">
        <v>205.25810000000001</v>
      </c>
      <c r="AP62" s="15">
        <v>1.2203999999999999</v>
      </c>
      <c r="AQ62" s="5">
        <v>103.1549</v>
      </c>
      <c r="AR62" s="5">
        <v>103.1549</v>
      </c>
      <c r="AS62" s="4">
        <v>0</v>
      </c>
      <c r="AT62" s="4">
        <v>0</v>
      </c>
      <c r="AU62" s="8">
        <v>1.1654</v>
      </c>
      <c r="AV62" s="8">
        <v>0.43780000000000002</v>
      </c>
      <c r="AW62" s="8">
        <v>0.43780000000000002</v>
      </c>
      <c r="AX62" s="5">
        <v>102.3573</v>
      </c>
      <c r="AY62" s="5">
        <v>0.43780000000000002</v>
      </c>
      <c r="AZ62" s="7" t="s">
        <v>91</v>
      </c>
    </row>
    <row r="63" spans="1:52" ht="18" customHeight="1" x14ac:dyDescent="0.25">
      <c r="A63" s="10">
        <v>31</v>
      </c>
      <c r="B63" s="10">
        <v>2</v>
      </c>
      <c r="C63" s="10">
        <v>31</v>
      </c>
      <c r="D63" s="86">
        <v>43844</v>
      </c>
      <c r="E63" s="86">
        <v>43845</v>
      </c>
      <c r="F63" s="86">
        <v>43860</v>
      </c>
      <c r="G63" s="11">
        <v>12362.3</v>
      </c>
      <c r="H63" s="11">
        <v>12343.3</v>
      </c>
      <c r="I63" s="12"/>
      <c r="J63" s="12"/>
      <c r="K63" s="91">
        <f t="array" ref="K63">MAX(IF((D63&lt;[1]Nifty_D!$B$2:$B$6600)*(E63&gt;=[1]Nifty_D!$B$2:$B$6600),[1]Nifty_D!$F$2:$F$6600,""))</f>
        <v>12343.3</v>
      </c>
      <c r="L63" s="92">
        <f t="shared" si="6"/>
        <v>-1.5369308300234863E-3</v>
      </c>
      <c r="M63" s="91">
        <f t="shared" si="3"/>
        <v>719.39999999999964</v>
      </c>
      <c r="N63" s="93">
        <f t="array" ref="N63">INDEX([1]Nifty_D!$B$2:$B$6600,MATCH(E63,[1]Nifty_D!$B$2:$B$6600,0)-1)</f>
        <v>43844</v>
      </c>
      <c r="O63" s="89">
        <f>VLOOKUP(N63,[1]Nifty_D!$B$2:$F$6600,5,0)</f>
        <v>12362.3</v>
      </c>
      <c r="P63" s="92">
        <f t="shared" si="4"/>
        <v>0</v>
      </c>
      <c r="Q63" s="12" t="s">
        <v>40</v>
      </c>
      <c r="R63" s="10">
        <v>12500</v>
      </c>
      <c r="S63" s="103">
        <f>MROUND(G63,500)</f>
        <v>12500</v>
      </c>
      <c r="T63" s="103">
        <f>S63-R63</f>
        <v>0</v>
      </c>
      <c r="U63" s="12" t="s">
        <v>92</v>
      </c>
      <c r="V63" s="10">
        <v>65</v>
      </c>
      <c r="W63" s="11">
        <v>167.05</v>
      </c>
      <c r="X63" s="11">
        <v>174.5</v>
      </c>
      <c r="Y63" s="13">
        <v>-8.0999999999999996E-3</v>
      </c>
      <c r="Z63" s="13">
        <v>0.42099999999999999</v>
      </c>
      <c r="AA63" s="10">
        <v>0</v>
      </c>
      <c r="AB63" s="14">
        <v>0</v>
      </c>
      <c r="AC63" s="11">
        <v>7.45</v>
      </c>
      <c r="AD63" s="14">
        <v>6.0263866756186154E-4</v>
      </c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 t="s">
        <v>91</v>
      </c>
    </row>
    <row r="64" spans="1:52" ht="18" hidden="1" customHeight="1" x14ac:dyDescent="0.25">
      <c r="A64" s="4">
        <v>32</v>
      </c>
      <c r="B64" s="4">
        <v>1</v>
      </c>
      <c r="C64" s="4">
        <v>32</v>
      </c>
      <c r="D64" s="85">
        <v>43845</v>
      </c>
      <c r="E64" s="85">
        <v>43852</v>
      </c>
      <c r="F64" s="85">
        <v>43853</v>
      </c>
      <c r="G64" s="5">
        <v>12343.3</v>
      </c>
      <c r="H64" s="5">
        <v>12106.9</v>
      </c>
      <c r="I64" s="5">
        <v>-236.4</v>
      </c>
      <c r="J64" s="6">
        <v>-1.9152090607860141E-2</v>
      </c>
      <c r="K64" s="91">
        <f t="array" ref="K64">MAX(IF((D64&lt;[1]Nifty_D!$B$2:$B$6600)*(E64&gt;=[1]Nifty_D!$B$2:$B$6600),[1]Nifty_D!$F$2:$F$6600,""))</f>
        <v>12355.5</v>
      </c>
      <c r="L64" s="92">
        <f t="shared" si="6"/>
        <v>9.8839046284227017E-4</v>
      </c>
      <c r="M64" s="91">
        <f t="shared" si="3"/>
        <v>731.60000000000036</v>
      </c>
      <c r="N64" s="93">
        <f t="array" ref="N64">INDEX([1]Nifty_D!$B$2:$B$6600,MATCH(E64,[1]Nifty_D!$B$2:$B$6600,0)-1)</f>
        <v>43851</v>
      </c>
      <c r="O64" s="89">
        <f>VLOOKUP(N64,[1]Nifty_D!$B$2:$F$6600,5,0)</f>
        <v>12169.85</v>
      </c>
      <c r="P64" s="92">
        <f t="shared" si="4"/>
        <v>-1.4052157850817815E-2</v>
      </c>
      <c r="Q64" s="7" t="s">
        <v>28</v>
      </c>
      <c r="R64" s="4">
        <v>12300</v>
      </c>
      <c r="S64" s="102"/>
      <c r="T64" s="102"/>
      <c r="U64" s="7" t="s">
        <v>90</v>
      </c>
      <c r="V64" s="4">
        <v>65</v>
      </c>
      <c r="W64" s="5">
        <v>106.35</v>
      </c>
      <c r="X64" s="4">
        <v>3</v>
      </c>
      <c r="Y64" s="8">
        <v>-0.1661</v>
      </c>
      <c r="Z64" s="8">
        <v>0.84130000000000005</v>
      </c>
      <c r="AA64" s="5">
        <v>103.35</v>
      </c>
      <c r="AB64" s="6">
        <v>8.3729634700606802E-3</v>
      </c>
      <c r="AC64" s="4">
        <v>0</v>
      </c>
      <c r="AD64" s="6">
        <v>0</v>
      </c>
      <c r="AE64" s="5">
        <v>17836.099999999999</v>
      </c>
      <c r="AF64" s="4">
        <v>17931</v>
      </c>
      <c r="AG64" s="5">
        <v>94.9</v>
      </c>
      <c r="AH64" s="5">
        <v>0.53210000000000002</v>
      </c>
      <c r="AI64" s="4">
        <v>7</v>
      </c>
      <c r="AJ64" s="5">
        <v>-0.11666700000000001</v>
      </c>
      <c r="AK64" s="5">
        <v>74.091200000000001</v>
      </c>
      <c r="AL64" s="5">
        <v>0.41539999999999999</v>
      </c>
      <c r="AM64" s="8">
        <v>0.2054</v>
      </c>
      <c r="AN64" s="8">
        <v>1.6007</v>
      </c>
      <c r="AO64" s="15">
        <v>360.89120000000003</v>
      </c>
      <c r="AP64" s="15">
        <v>2.7389000000000001</v>
      </c>
      <c r="AQ64" s="5">
        <v>105.9802</v>
      </c>
      <c r="AR64" s="5">
        <v>105.9802</v>
      </c>
      <c r="AS64" s="4">
        <v>0</v>
      </c>
      <c r="AT64" s="4">
        <v>0</v>
      </c>
      <c r="AU64" s="8">
        <v>1.002</v>
      </c>
      <c r="AV64" s="8">
        <v>2.7961999999999998</v>
      </c>
      <c r="AW64" s="8">
        <v>1.002</v>
      </c>
      <c r="AX64" s="5">
        <v>104.1885</v>
      </c>
      <c r="AY64" s="5">
        <v>1.002</v>
      </c>
      <c r="AZ64" s="7" t="s">
        <v>91</v>
      </c>
    </row>
    <row r="65" spans="1:52" ht="18" customHeight="1" x14ac:dyDescent="0.25">
      <c r="A65" s="10">
        <v>32</v>
      </c>
      <c r="B65" s="10">
        <v>2</v>
      </c>
      <c r="C65" s="10">
        <v>32</v>
      </c>
      <c r="D65" s="86">
        <v>43845</v>
      </c>
      <c r="E65" s="86">
        <v>43852</v>
      </c>
      <c r="F65" s="86">
        <v>43860</v>
      </c>
      <c r="G65" s="11">
        <v>12343.3</v>
      </c>
      <c r="H65" s="11">
        <v>12106.9</v>
      </c>
      <c r="I65" s="12"/>
      <c r="J65" s="12"/>
      <c r="K65" s="91">
        <f t="array" ref="K65">MAX(IF((D65&lt;[1]Nifty_D!$B$2:$B$6600)*(E65&gt;=[1]Nifty_D!$B$2:$B$6600),[1]Nifty_D!$F$2:$F$6600,""))</f>
        <v>12355.5</v>
      </c>
      <c r="L65" s="92">
        <f t="shared" si="6"/>
        <v>9.8839046284227017E-4</v>
      </c>
      <c r="M65" s="91">
        <f t="shared" si="3"/>
        <v>731.60000000000036</v>
      </c>
      <c r="N65" s="93">
        <f t="array" ref="N65">INDEX([1]Nifty_D!$B$2:$B$6600,MATCH(E65,[1]Nifty_D!$B$2:$B$6600,0)-1)</f>
        <v>43851</v>
      </c>
      <c r="O65" s="89">
        <f>VLOOKUP(N65,[1]Nifty_D!$B$2:$F$6600,5,0)</f>
        <v>12169.85</v>
      </c>
      <c r="P65" s="92">
        <f t="shared" si="4"/>
        <v>-1.4052157850817815E-2</v>
      </c>
      <c r="Q65" s="12" t="s">
        <v>40</v>
      </c>
      <c r="R65" s="10">
        <v>12500</v>
      </c>
      <c r="S65" s="103">
        <f>MROUND(G65,500)</f>
        <v>12500</v>
      </c>
      <c r="T65" s="103">
        <f>S65-R65</f>
        <v>0</v>
      </c>
      <c r="U65" s="12" t="s">
        <v>92</v>
      </c>
      <c r="V65" s="10">
        <v>65</v>
      </c>
      <c r="W65" s="11">
        <v>174.5</v>
      </c>
      <c r="X65" s="11">
        <v>357.95</v>
      </c>
      <c r="Y65" s="13">
        <v>-0.43259999999999998</v>
      </c>
      <c r="Z65" s="13">
        <v>1.7495000000000001</v>
      </c>
      <c r="AA65" s="10">
        <v>0</v>
      </c>
      <c r="AB65" s="14">
        <v>0</v>
      </c>
      <c r="AC65" s="11">
        <v>183.45</v>
      </c>
      <c r="AD65" s="14">
        <v>1.486231396790162E-2</v>
      </c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 t="s">
        <v>91</v>
      </c>
    </row>
    <row r="66" spans="1:52" ht="18" hidden="1" customHeight="1" x14ac:dyDescent="0.25">
      <c r="A66" s="4">
        <v>33</v>
      </c>
      <c r="B66" s="4">
        <v>1</v>
      </c>
      <c r="C66" s="4">
        <v>33</v>
      </c>
      <c r="D66" s="85">
        <v>43852</v>
      </c>
      <c r="E66" s="85">
        <v>43854</v>
      </c>
      <c r="F66" s="85">
        <v>43860</v>
      </c>
      <c r="G66" s="5">
        <v>12106.9</v>
      </c>
      <c r="H66" s="5">
        <v>12248.25</v>
      </c>
      <c r="I66" s="5">
        <v>141.35</v>
      </c>
      <c r="J66" s="6">
        <v>1.167516044569626E-2</v>
      </c>
      <c r="K66" s="91">
        <f t="array" ref="K66">MAX(IF((D66&lt;[1]Nifty_D!$B$2:$B$6600)*(E66&gt;=[1]Nifty_D!$B$2:$B$6600),[1]Nifty_D!$F$2:$F$6600,""))</f>
        <v>12248.25</v>
      </c>
      <c r="L66" s="92">
        <f t="shared" si="6"/>
        <v>1.1675160445696386E-2</v>
      </c>
      <c r="M66" s="91">
        <f t="shared" si="3"/>
        <v>624.35000000000036</v>
      </c>
      <c r="N66" s="93">
        <f t="array" ref="N66">INDEX([1]Nifty_D!$B$2:$B$6600,MATCH(E66,[1]Nifty_D!$B$2:$B$6600,0)-1)</f>
        <v>43853</v>
      </c>
      <c r="O66" s="89">
        <f>VLOOKUP(N66,[1]Nifty_D!$B$2:$F$6600,5,0)</f>
        <v>12180.35</v>
      </c>
      <c r="P66" s="92">
        <f t="shared" si="4"/>
        <v>6.0667883603564565E-3</v>
      </c>
      <c r="Q66" s="7" t="s">
        <v>28</v>
      </c>
      <c r="R66" s="4">
        <v>12100</v>
      </c>
      <c r="S66" s="102"/>
      <c r="T66" s="102"/>
      <c r="U66" s="7" t="s">
        <v>90</v>
      </c>
      <c r="V66" s="4">
        <v>65</v>
      </c>
      <c r="W66" s="5">
        <v>113.45</v>
      </c>
      <c r="X66" s="5">
        <v>188.8</v>
      </c>
      <c r="Y66" s="8">
        <v>-0.77680000000000005</v>
      </c>
      <c r="Z66" s="8">
        <v>0.29780000000000001</v>
      </c>
      <c r="AA66" s="5">
        <v>-75.349999999999994</v>
      </c>
      <c r="AB66" s="6">
        <v>-6.2237236617135681E-3</v>
      </c>
      <c r="AC66" s="4">
        <v>0</v>
      </c>
      <c r="AD66" s="6">
        <v>0</v>
      </c>
      <c r="AE66" s="4">
        <v>17931</v>
      </c>
      <c r="AF66" s="5">
        <v>18357.2</v>
      </c>
      <c r="AG66" s="5">
        <v>426.2</v>
      </c>
      <c r="AH66" s="5">
        <v>2.3769</v>
      </c>
      <c r="AI66" s="4">
        <v>2</v>
      </c>
      <c r="AJ66" s="5">
        <v>-3.3333000000000002E-2</v>
      </c>
      <c r="AK66" s="5">
        <v>420.22300000000001</v>
      </c>
      <c r="AL66" s="5">
        <v>2.3435999999999999</v>
      </c>
      <c r="AM66" s="8">
        <v>6.9500000000000006E-2</v>
      </c>
      <c r="AN66" s="8">
        <v>2.59</v>
      </c>
      <c r="AO66" s="15">
        <v>219.47300000000001</v>
      </c>
      <c r="AP66" s="15">
        <v>0.6855</v>
      </c>
      <c r="AQ66" s="5">
        <v>106.7067</v>
      </c>
      <c r="AR66" s="5">
        <v>106.7067</v>
      </c>
      <c r="AS66" s="4">
        <v>0</v>
      </c>
      <c r="AT66" s="4">
        <v>0</v>
      </c>
      <c r="AU66" s="8">
        <v>0.61180000000000001</v>
      </c>
      <c r="AV66" s="8">
        <v>0.64900000000000002</v>
      </c>
      <c r="AW66" s="8">
        <v>0.61180000000000001</v>
      </c>
      <c r="AX66" s="5">
        <v>106.62860000000001</v>
      </c>
      <c r="AY66" s="5">
        <v>0.61180000000000001</v>
      </c>
      <c r="AZ66" s="7" t="s">
        <v>95</v>
      </c>
    </row>
    <row r="67" spans="1:52" ht="18" customHeight="1" x14ac:dyDescent="0.25">
      <c r="A67" s="10">
        <v>33</v>
      </c>
      <c r="B67" s="10">
        <v>2</v>
      </c>
      <c r="C67" s="10">
        <v>33</v>
      </c>
      <c r="D67" s="86">
        <v>43852</v>
      </c>
      <c r="E67" s="86">
        <v>43854</v>
      </c>
      <c r="F67" s="86">
        <v>43860</v>
      </c>
      <c r="G67" s="11">
        <v>12106.9</v>
      </c>
      <c r="H67" s="11">
        <v>12248.25</v>
      </c>
      <c r="I67" s="12"/>
      <c r="J67" s="12"/>
      <c r="K67" s="91">
        <f t="array" ref="K67">MAX(IF((D67&lt;[1]Nifty_D!$B$2:$B$6600)*(E67&gt;=[1]Nifty_D!$B$2:$B$6600),[1]Nifty_D!$F$2:$F$6600,""))</f>
        <v>12248.25</v>
      </c>
      <c r="L67" s="92">
        <f t="shared" si="6"/>
        <v>1.1675160445696386E-2</v>
      </c>
      <c r="M67" s="91">
        <f t="shared" si="3"/>
        <v>624.35000000000036</v>
      </c>
      <c r="N67" s="93">
        <f t="array" ref="N67">INDEX([1]Nifty_D!$B$2:$B$6600,MATCH(E67,[1]Nifty_D!$B$2:$B$6600,0)-1)</f>
        <v>43853</v>
      </c>
      <c r="O67" s="89">
        <f>VLOOKUP(N67,[1]Nifty_D!$B$2:$F$6600,5,0)</f>
        <v>12180.35</v>
      </c>
      <c r="P67" s="92">
        <f t="shared" si="4"/>
        <v>6.0667883603564565E-3</v>
      </c>
      <c r="Q67" s="12" t="s">
        <v>40</v>
      </c>
      <c r="R67" s="10">
        <v>12500</v>
      </c>
      <c r="S67" s="103">
        <f>MROUND(G67,500)</f>
        <v>12000</v>
      </c>
      <c r="T67" s="103">
        <f>S67-R67</f>
        <v>-500</v>
      </c>
      <c r="U67" s="12" t="s">
        <v>92</v>
      </c>
      <c r="V67" s="10">
        <v>65</v>
      </c>
      <c r="W67" s="11">
        <v>357.95</v>
      </c>
      <c r="X67" s="11">
        <v>232.55</v>
      </c>
      <c r="Y67" s="13">
        <v>-1.2014</v>
      </c>
      <c r="Z67" s="13">
        <v>0.28170000000000001</v>
      </c>
      <c r="AA67" s="10">
        <v>0</v>
      </c>
      <c r="AB67" s="14">
        <v>0</v>
      </c>
      <c r="AC67" s="11">
        <v>-125.4</v>
      </c>
      <c r="AD67" s="14">
        <v>-1.035772988956711E-2</v>
      </c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 t="s">
        <v>95</v>
      </c>
    </row>
    <row r="68" spans="1:52" ht="18" hidden="1" customHeight="1" x14ac:dyDescent="0.25">
      <c r="A68" s="4">
        <v>34</v>
      </c>
      <c r="B68" s="4">
        <v>1</v>
      </c>
      <c r="C68" s="4">
        <v>34</v>
      </c>
      <c r="D68" s="85">
        <v>43854</v>
      </c>
      <c r="E68" s="85">
        <v>43859</v>
      </c>
      <c r="F68" s="85">
        <v>43860</v>
      </c>
      <c r="G68" s="5">
        <v>12248.25</v>
      </c>
      <c r="H68" s="5">
        <v>12129.5</v>
      </c>
      <c r="I68" s="5">
        <v>-118.75</v>
      </c>
      <c r="J68" s="6">
        <v>-9.6952625885330553E-3</v>
      </c>
      <c r="K68" s="91">
        <f t="array" ref="K68">MAX(IF((D68&lt;[1]Nifty_D!$B$2:$B$6600)*(E68&gt;=[1]Nifty_D!$B$2:$B$6600),[1]Nifty_D!$F$2:$F$6600,""))</f>
        <v>12129.5</v>
      </c>
      <c r="L68" s="92">
        <f t="shared" si="6"/>
        <v>-9.6952625885330379E-3</v>
      </c>
      <c r="M68" s="91">
        <f t="shared" si="3"/>
        <v>505.60000000000036</v>
      </c>
      <c r="N68" s="93">
        <f t="array" ref="N68">INDEX([1]Nifty_D!$B$2:$B$6600,MATCH(E68,[1]Nifty_D!$B$2:$B$6600,0)-1)</f>
        <v>43858</v>
      </c>
      <c r="O68" s="89">
        <f>VLOOKUP(N68,[1]Nifty_D!$B$2:$F$6600,5,0)</f>
        <v>12055.8</v>
      </c>
      <c r="P68" s="92">
        <f t="shared" si="4"/>
        <v>-1.5712448717163707E-2</v>
      </c>
      <c r="Q68" s="7" t="s">
        <v>28</v>
      </c>
      <c r="R68" s="4">
        <v>12200</v>
      </c>
      <c r="S68" s="102"/>
      <c r="T68" s="102"/>
      <c r="U68" s="7" t="s">
        <v>90</v>
      </c>
      <c r="V68" s="4">
        <v>65</v>
      </c>
      <c r="W68" s="5">
        <v>108.05</v>
      </c>
      <c r="X68" s="5">
        <v>9.6999999999999993</v>
      </c>
      <c r="Y68" s="8">
        <v>0.30209999999999998</v>
      </c>
      <c r="Z68" s="8">
        <v>0.81930000000000003</v>
      </c>
      <c r="AA68" s="5">
        <v>98.35</v>
      </c>
      <c r="AB68" s="6">
        <v>8.0297185312187443E-3</v>
      </c>
      <c r="AC68" s="4">
        <v>0</v>
      </c>
      <c r="AD68" s="6">
        <v>0</v>
      </c>
      <c r="AE68" s="5">
        <v>18357.2</v>
      </c>
      <c r="AF68" s="5">
        <v>18273.099999999999</v>
      </c>
      <c r="AG68" s="5">
        <v>-84.1</v>
      </c>
      <c r="AH68" s="5">
        <v>-0.45810000000000001</v>
      </c>
      <c r="AI68" s="4">
        <v>5</v>
      </c>
      <c r="AJ68" s="5">
        <v>-8.3333000000000004E-2</v>
      </c>
      <c r="AK68" s="5">
        <v>-99.3977</v>
      </c>
      <c r="AL68" s="5">
        <v>-0.54149999999999998</v>
      </c>
      <c r="AM68" s="8">
        <v>-1.0529999999999999</v>
      </c>
      <c r="AN68" s="8">
        <v>0.70520000000000005</v>
      </c>
      <c r="AO68" s="15">
        <v>143.9023</v>
      </c>
      <c r="AP68" s="15">
        <v>1.4449000000000001</v>
      </c>
      <c r="AQ68" s="5">
        <v>108.24850000000001</v>
      </c>
      <c r="AR68" s="5">
        <v>108.24850000000001</v>
      </c>
      <c r="AS68" s="4">
        <v>0</v>
      </c>
      <c r="AT68" s="4">
        <v>0</v>
      </c>
      <c r="AU68" s="8">
        <v>1.4882</v>
      </c>
      <c r="AV68" s="8">
        <v>1.6249</v>
      </c>
      <c r="AW68" s="8">
        <v>1.4449000000000001</v>
      </c>
      <c r="AX68" s="5">
        <v>108.24850000000001</v>
      </c>
      <c r="AY68" s="5">
        <v>1.4449000000000001</v>
      </c>
      <c r="AZ68" s="7" t="s">
        <v>91</v>
      </c>
    </row>
    <row r="69" spans="1:52" ht="18" customHeight="1" x14ac:dyDescent="0.25">
      <c r="A69" s="10">
        <v>34</v>
      </c>
      <c r="B69" s="10">
        <v>2</v>
      </c>
      <c r="C69" s="10">
        <v>34</v>
      </c>
      <c r="D69" s="86">
        <v>43854</v>
      </c>
      <c r="E69" s="86">
        <v>43859</v>
      </c>
      <c r="F69" s="86">
        <v>43860</v>
      </c>
      <c r="G69" s="11">
        <v>12248.25</v>
      </c>
      <c r="H69" s="11">
        <v>12129.5</v>
      </c>
      <c r="I69" s="12"/>
      <c r="J69" s="12"/>
      <c r="K69" s="91">
        <f t="array" ref="K69">MAX(IF((D69&lt;[1]Nifty_D!$B$2:$B$6600)*(E69&gt;=[1]Nifty_D!$B$2:$B$6600),[1]Nifty_D!$F$2:$F$6600,""))</f>
        <v>12129.5</v>
      </c>
      <c r="L69" s="92">
        <f t="shared" si="6"/>
        <v>-9.6952625885330379E-3</v>
      </c>
      <c r="M69" s="91">
        <f t="shared" si="3"/>
        <v>505.60000000000036</v>
      </c>
      <c r="N69" s="93">
        <f t="array" ref="N69">INDEX([1]Nifty_D!$B$2:$B$6600,MATCH(E69,[1]Nifty_D!$B$2:$B$6600,0)-1)</f>
        <v>43858</v>
      </c>
      <c r="O69" s="89">
        <f>VLOOKUP(N69,[1]Nifty_D!$B$2:$F$6600,5,0)</f>
        <v>12055.8</v>
      </c>
      <c r="P69" s="92">
        <f t="shared" si="4"/>
        <v>-1.5712448717163707E-2</v>
      </c>
      <c r="Q69" s="12" t="s">
        <v>40</v>
      </c>
      <c r="R69" s="10">
        <v>12500</v>
      </c>
      <c r="S69" s="103">
        <f>MROUND(G69,500)</f>
        <v>12000</v>
      </c>
      <c r="T69" s="103">
        <f>S69-R69</f>
        <v>-500</v>
      </c>
      <c r="U69" s="12" t="s">
        <v>92</v>
      </c>
      <c r="V69" s="10">
        <v>65</v>
      </c>
      <c r="W69" s="11">
        <v>232.55</v>
      </c>
      <c r="X69" s="11">
        <v>377.5</v>
      </c>
      <c r="Y69" s="13">
        <v>0.48089999999999999</v>
      </c>
      <c r="Z69" s="13">
        <v>1.8586</v>
      </c>
      <c r="AA69" s="10">
        <v>0</v>
      </c>
      <c r="AB69" s="14">
        <v>0</v>
      </c>
      <c r="AC69" s="11">
        <v>144.94999999999999</v>
      </c>
      <c r="AD69" s="14">
        <v>1.183434368175045E-2</v>
      </c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 t="s">
        <v>91</v>
      </c>
    </row>
    <row r="70" spans="1:52" ht="18" hidden="1" customHeight="1" x14ac:dyDescent="0.25">
      <c r="A70" s="4">
        <v>35</v>
      </c>
      <c r="B70" s="4">
        <v>1</v>
      </c>
      <c r="C70" s="4">
        <v>35</v>
      </c>
      <c r="D70" s="85">
        <v>43859</v>
      </c>
      <c r="E70" s="85">
        <v>43866</v>
      </c>
      <c r="F70" s="85">
        <v>43867</v>
      </c>
      <c r="G70" s="5">
        <v>12129.5</v>
      </c>
      <c r="H70" s="5">
        <v>12089.15</v>
      </c>
      <c r="I70" s="5">
        <v>-40.35</v>
      </c>
      <c r="J70" s="6">
        <v>-3.326600436951235E-3</v>
      </c>
      <c r="K70" s="91">
        <f t="array" ref="K70">MAX(IF((D70&lt;[1]Nifty_D!$B$2:$B$6600)*(E70&gt;=[1]Nifty_D!$B$2:$B$6600),[1]Nifty_D!$F$2:$F$6600,""))</f>
        <v>12089.15</v>
      </c>
      <c r="L70" s="92">
        <f t="shared" si="6"/>
        <v>-3.3266004369512103E-3</v>
      </c>
      <c r="M70" s="91">
        <f t="shared" si="3"/>
        <v>465.25</v>
      </c>
      <c r="N70" s="93">
        <f t="array" ref="N70">INDEX([1]Nifty_D!$B$2:$B$6600,MATCH(E70,[1]Nifty_D!$B$2:$B$6600,0)-1)</f>
        <v>43865</v>
      </c>
      <c r="O70" s="89">
        <f>VLOOKUP(N70,[1]Nifty_D!$B$2:$F$6600,5,0)</f>
        <v>11979.65</v>
      </c>
      <c r="P70" s="92">
        <f t="shared" si="4"/>
        <v>-1.2354177830908197E-2</v>
      </c>
      <c r="Q70" s="7" t="s">
        <v>28</v>
      </c>
      <c r="R70" s="4">
        <v>12100</v>
      </c>
      <c r="S70" s="102"/>
      <c r="T70" s="102"/>
      <c r="U70" s="7" t="s">
        <v>90</v>
      </c>
      <c r="V70" s="4">
        <v>65</v>
      </c>
      <c r="W70" s="5">
        <v>167.2</v>
      </c>
      <c r="X70" s="4">
        <v>30</v>
      </c>
      <c r="Y70" s="8">
        <v>1.8100000000000002E-2</v>
      </c>
      <c r="Z70" s="8">
        <v>1.3541000000000001</v>
      </c>
      <c r="AA70" s="5">
        <v>137.19999999999999</v>
      </c>
      <c r="AB70" s="6">
        <v>1.131126592192588E-2</v>
      </c>
      <c r="AC70" s="4">
        <v>0</v>
      </c>
      <c r="AD70" s="6">
        <v>0</v>
      </c>
      <c r="AE70" s="5">
        <v>18273.099999999999</v>
      </c>
      <c r="AF70" s="5">
        <v>18115.7</v>
      </c>
      <c r="AG70" s="5">
        <v>-157.4</v>
      </c>
      <c r="AH70" s="5">
        <v>-0.86140000000000005</v>
      </c>
      <c r="AI70" s="4">
        <v>7</v>
      </c>
      <c r="AJ70" s="5">
        <v>-0.11666700000000001</v>
      </c>
      <c r="AK70" s="5">
        <v>-178.71860000000001</v>
      </c>
      <c r="AL70" s="5">
        <v>-0.97799999999999998</v>
      </c>
      <c r="AM70" s="8">
        <v>-4.8338000000000001</v>
      </c>
      <c r="AN70" s="8">
        <v>0.19670000000000001</v>
      </c>
      <c r="AO70" s="9">
        <v>-84.018600000000006</v>
      </c>
      <c r="AP70" s="9">
        <v>-0.1973</v>
      </c>
      <c r="AQ70" s="5">
        <v>108.03489999999999</v>
      </c>
      <c r="AR70" s="5">
        <v>108.24850000000001</v>
      </c>
      <c r="AS70" s="5">
        <v>-0.21360000000000001</v>
      </c>
      <c r="AT70" s="5">
        <v>-0.1973</v>
      </c>
      <c r="AU70" s="8">
        <v>-0.17929999999999999</v>
      </c>
      <c r="AV70" s="8">
        <v>-1.0798000000000001</v>
      </c>
      <c r="AW70" s="8">
        <v>-1.0798000000000001</v>
      </c>
      <c r="AX70" s="5">
        <v>107.0796</v>
      </c>
      <c r="AY70" s="5">
        <v>-1.0798000000000001</v>
      </c>
      <c r="AZ70" s="7" t="s">
        <v>91</v>
      </c>
    </row>
    <row r="71" spans="1:52" ht="18" customHeight="1" x14ac:dyDescent="0.25">
      <c r="A71" s="10">
        <v>35</v>
      </c>
      <c r="B71" s="10">
        <v>2</v>
      </c>
      <c r="C71" s="10">
        <v>35</v>
      </c>
      <c r="D71" s="86">
        <v>43859</v>
      </c>
      <c r="E71" s="86">
        <v>43866</v>
      </c>
      <c r="F71" s="86">
        <v>43888</v>
      </c>
      <c r="G71" s="11">
        <v>12129.5</v>
      </c>
      <c r="H71" s="11">
        <v>12089.15</v>
      </c>
      <c r="I71" s="12"/>
      <c r="J71" s="12"/>
      <c r="K71" s="91">
        <f t="array" ref="K71">MAX(IF((D71&lt;[1]Nifty_D!$B$2:$B$6600)*(E71&gt;=[1]Nifty_D!$B$2:$B$6600),[1]Nifty_D!$F$2:$F$6600,""))</f>
        <v>12089.15</v>
      </c>
      <c r="L71" s="92">
        <f t="shared" si="6"/>
        <v>-3.3266004369512103E-3</v>
      </c>
      <c r="M71" s="91">
        <f t="shared" si="3"/>
        <v>465.25</v>
      </c>
      <c r="N71" s="93">
        <f t="array" ref="N71">INDEX([1]Nifty_D!$B$2:$B$6600,MATCH(E71,[1]Nifty_D!$B$2:$B$6600,0)-1)</f>
        <v>43865</v>
      </c>
      <c r="O71" s="89">
        <f>VLOOKUP(N71,[1]Nifty_D!$B$2:$F$6600,5,0)</f>
        <v>11979.65</v>
      </c>
      <c r="P71" s="92">
        <f t="shared" si="4"/>
        <v>-1.2354177830908197E-2</v>
      </c>
      <c r="Q71" s="12" t="s">
        <v>40</v>
      </c>
      <c r="R71" s="10">
        <v>12000</v>
      </c>
      <c r="S71" s="103">
        <f>MROUND(G71,500)</f>
        <v>12000</v>
      </c>
      <c r="T71" s="103">
        <f>S71-R71</f>
        <v>0</v>
      </c>
      <c r="U71" s="12" t="s">
        <v>92</v>
      </c>
      <c r="V71" s="10">
        <v>65</v>
      </c>
      <c r="W71" s="11">
        <v>154.85</v>
      </c>
      <c r="X71" s="11">
        <v>112.35</v>
      </c>
      <c r="Y71" s="13">
        <v>-0.39410000000000001</v>
      </c>
      <c r="Z71" s="13">
        <v>2.3999000000000001</v>
      </c>
      <c r="AA71" s="10">
        <v>0</v>
      </c>
      <c r="AB71" s="14">
        <v>0</v>
      </c>
      <c r="AC71" s="11">
        <v>-42.5</v>
      </c>
      <c r="AD71" s="14">
        <v>-3.5038542396636299E-3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 t="s">
        <v>91</v>
      </c>
    </row>
    <row r="72" spans="1:52" ht="18" hidden="1" customHeight="1" x14ac:dyDescent="0.25">
      <c r="A72" s="4">
        <v>36</v>
      </c>
      <c r="B72" s="4">
        <v>1</v>
      </c>
      <c r="C72" s="4">
        <v>36</v>
      </c>
      <c r="D72" s="85">
        <v>43866</v>
      </c>
      <c r="E72" s="85">
        <v>43873</v>
      </c>
      <c r="F72" s="85">
        <v>43874</v>
      </c>
      <c r="G72" s="5">
        <v>12089.15</v>
      </c>
      <c r="H72" s="5">
        <v>12201.2</v>
      </c>
      <c r="I72" s="5">
        <v>112.05</v>
      </c>
      <c r="J72" s="6">
        <v>9.2686417159188201E-3</v>
      </c>
      <c r="K72" s="91">
        <f t="array" ref="K72">MAX(IF((D72&lt;[1]Nifty_D!$B$2:$B$6600)*(E72&gt;=[1]Nifty_D!$B$2:$B$6600),[1]Nifty_D!$F$2:$F$6600,""))</f>
        <v>12201.2</v>
      </c>
      <c r="L72" s="92">
        <f t="shared" ref="L72:L135" si="7">K72/G72-1</f>
        <v>9.2686417159189016E-3</v>
      </c>
      <c r="M72" s="91">
        <f t="shared" ref="M72:M135" si="8">K72-$G$2</f>
        <v>577.30000000000109</v>
      </c>
      <c r="N72" s="93">
        <f t="array" ref="N72">INDEX([1]Nifty_D!$B$2:$B$6600,MATCH(E72,[1]Nifty_D!$B$2:$B$6600,0)-1)</f>
        <v>43872</v>
      </c>
      <c r="O72" s="89">
        <f>VLOOKUP(N72,[1]Nifty_D!$B$2:$F$6600,5,0)</f>
        <v>12107.9</v>
      </c>
      <c r="P72" s="92">
        <f t="shared" ref="P72:P135" si="9">O72/G72-1</f>
        <v>1.5509775294375583E-3</v>
      </c>
      <c r="Q72" s="7" t="s">
        <v>28</v>
      </c>
      <c r="R72" s="4">
        <v>12100</v>
      </c>
      <c r="S72" s="102"/>
      <c r="T72" s="102"/>
      <c r="U72" s="7" t="s">
        <v>90</v>
      </c>
      <c r="V72" s="4">
        <v>65</v>
      </c>
      <c r="W72" s="5">
        <v>72.95</v>
      </c>
      <c r="X72" s="5">
        <v>118.4</v>
      </c>
      <c r="Y72" s="8">
        <v>-0.51910000000000001</v>
      </c>
      <c r="Z72" s="8">
        <v>0.42680000000000001</v>
      </c>
      <c r="AA72" s="5">
        <v>-45.45</v>
      </c>
      <c r="AB72" s="6">
        <v>-3.7595695313566301E-3</v>
      </c>
      <c r="AC72" s="4">
        <v>0</v>
      </c>
      <c r="AD72" s="6">
        <v>0</v>
      </c>
      <c r="AE72" s="5">
        <v>18115.7</v>
      </c>
      <c r="AF72" s="5">
        <v>18169.349999999999</v>
      </c>
      <c r="AG72" s="5">
        <v>53.65</v>
      </c>
      <c r="AH72" s="5">
        <v>0.29620000000000002</v>
      </c>
      <c r="AI72" s="4">
        <v>7</v>
      </c>
      <c r="AJ72" s="5">
        <v>-0.11666700000000001</v>
      </c>
      <c r="AK72" s="5">
        <v>32.515000000000001</v>
      </c>
      <c r="AL72" s="5">
        <v>0.17949999999999999</v>
      </c>
      <c r="AM72" s="8">
        <v>-0.1497</v>
      </c>
      <c r="AN72" s="8">
        <v>1.4550000000000001</v>
      </c>
      <c r="AO72" s="9">
        <v>-85.034999999999997</v>
      </c>
      <c r="AP72" s="9">
        <v>-0.79290000000000005</v>
      </c>
      <c r="AQ72" s="5">
        <v>107.17829999999999</v>
      </c>
      <c r="AR72" s="5">
        <v>108.24850000000001</v>
      </c>
      <c r="AS72" s="5">
        <v>-1.0702</v>
      </c>
      <c r="AT72" s="5">
        <v>-0.98860000000000003</v>
      </c>
      <c r="AU72" s="8">
        <v>0.31509999999999999</v>
      </c>
      <c r="AV72" s="8">
        <v>0.50539999999999996</v>
      </c>
      <c r="AW72" s="8">
        <v>-0.79290000000000005</v>
      </c>
      <c r="AX72" s="5">
        <v>107.17829999999999</v>
      </c>
      <c r="AY72" s="5">
        <v>-0.98860000000000003</v>
      </c>
      <c r="AZ72" s="7" t="s">
        <v>91</v>
      </c>
    </row>
    <row r="73" spans="1:52" ht="18" customHeight="1" x14ac:dyDescent="0.25">
      <c r="A73" s="10">
        <v>36</v>
      </c>
      <c r="B73" s="10">
        <v>2</v>
      </c>
      <c r="C73" s="10">
        <v>36</v>
      </c>
      <c r="D73" s="86">
        <v>43866</v>
      </c>
      <c r="E73" s="86">
        <v>43873</v>
      </c>
      <c r="F73" s="86">
        <v>43888</v>
      </c>
      <c r="G73" s="11">
        <v>12089.15</v>
      </c>
      <c r="H73" s="11">
        <v>12201.2</v>
      </c>
      <c r="I73" s="12"/>
      <c r="J73" s="12"/>
      <c r="K73" s="91">
        <f t="array" ref="K73">MAX(IF((D73&lt;[1]Nifty_D!$B$2:$B$6600)*(E73&gt;=[1]Nifty_D!$B$2:$B$6600),[1]Nifty_D!$F$2:$F$6600,""))</f>
        <v>12201.2</v>
      </c>
      <c r="L73" s="92">
        <f t="shared" si="7"/>
        <v>9.2686417159189016E-3</v>
      </c>
      <c r="M73" s="91">
        <f t="shared" si="8"/>
        <v>577.30000000000109</v>
      </c>
      <c r="N73" s="93">
        <f t="array" ref="N73">INDEX([1]Nifty_D!$B$2:$B$6600,MATCH(E73,[1]Nifty_D!$B$2:$B$6600,0)-1)</f>
        <v>43872</v>
      </c>
      <c r="O73" s="89">
        <f>VLOOKUP(N73,[1]Nifty_D!$B$2:$F$6600,5,0)</f>
        <v>12107.9</v>
      </c>
      <c r="P73" s="92">
        <f t="shared" si="9"/>
        <v>1.5509775294375583E-3</v>
      </c>
      <c r="Q73" s="12" t="s">
        <v>40</v>
      </c>
      <c r="R73" s="10">
        <v>12000</v>
      </c>
      <c r="S73" s="103">
        <f>MROUND(G73,500)</f>
        <v>12000</v>
      </c>
      <c r="T73" s="103">
        <f>S73-R73</f>
        <v>0</v>
      </c>
      <c r="U73" s="12" t="s">
        <v>92</v>
      </c>
      <c r="V73" s="10">
        <v>65</v>
      </c>
      <c r="W73" s="11">
        <v>112.35</v>
      </c>
      <c r="X73" s="11">
        <v>40.25</v>
      </c>
      <c r="Y73" s="13">
        <v>-0.62080000000000002</v>
      </c>
      <c r="Z73" s="13">
        <v>0.2283</v>
      </c>
      <c r="AA73" s="10">
        <v>0</v>
      </c>
      <c r="AB73" s="14">
        <v>0</v>
      </c>
      <c r="AC73" s="11">
        <v>-72.099999999999994</v>
      </c>
      <c r="AD73" s="14">
        <v>-5.9640255931972053E-3</v>
      </c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 t="s">
        <v>91</v>
      </c>
    </row>
    <row r="74" spans="1:52" ht="18" hidden="1" customHeight="1" x14ac:dyDescent="0.25">
      <c r="A74" s="4">
        <v>37</v>
      </c>
      <c r="B74" s="4">
        <v>1</v>
      </c>
      <c r="C74" s="4">
        <v>37</v>
      </c>
      <c r="D74" s="85">
        <v>43873</v>
      </c>
      <c r="E74" s="85">
        <v>43880</v>
      </c>
      <c r="F74" s="85">
        <v>43881</v>
      </c>
      <c r="G74" s="5">
        <v>12201.2</v>
      </c>
      <c r="H74" s="5">
        <v>12125.9</v>
      </c>
      <c r="I74" s="5">
        <v>-75.3</v>
      </c>
      <c r="J74" s="6">
        <v>-6.1715241123823884E-3</v>
      </c>
      <c r="K74" s="91">
        <f t="array" ref="K74">MAX(IF((D74&lt;[1]Nifty_D!$B$2:$B$6600)*(E74&gt;=[1]Nifty_D!$B$2:$B$6600),[1]Nifty_D!$F$2:$F$6600,""))</f>
        <v>12174.65</v>
      </c>
      <c r="L74" s="92">
        <f t="shared" si="7"/>
        <v>-2.1760154738879045E-3</v>
      </c>
      <c r="M74" s="91">
        <f t="shared" si="8"/>
        <v>550.75</v>
      </c>
      <c r="N74" s="93">
        <f t="array" ref="N74">INDEX([1]Nifty_D!$B$2:$B$6600,MATCH(E74,[1]Nifty_D!$B$2:$B$6600,0)-1)</f>
        <v>43879</v>
      </c>
      <c r="O74" s="89">
        <f>VLOOKUP(N74,[1]Nifty_D!$B$2:$F$6600,5,0)</f>
        <v>11992.5</v>
      </c>
      <c r="P74" s="92">
        <f t="shared" si="9"/>
        <v>-1.7104874930334746E-2</v>
      </c>
      <c r="Q74" s="7" t="s">
        <v>28</v>
      </c>
      <c r="R74" s="4">
        <v>12200</v>
      </c>
      <c r="S74" s="102"/>
      <c r="T74" s="102"/>
      <c r="U74" s="7" t="s">
        <v>90</v>
      </c>
      <c r="V74" s="4">
        <v>65</v>
      </c>
      <c r="W74" s="5">
        <v>85.9</v>
      </c>
      <c r="X74" s="5">
        <v>9.85</v>
      </c>
      <c r="Y74" s="8">
        <v>-8.6900000000000005E-2</v>
      </c>
      <c r="Z74" s="8">
        <v>0.67859999999999998</v>
      </c>
      <c r="AA74" s="5">
        <v>76.05</v>
      </c>
      <c r="AB74" s="6">
        <v>6.232993476051535E-3</v>
      </c>
      <c r="AC74" s="4">
        <v>0</v>
      </c>
      <c r="AD74" s="6">
        <v>0</v>
      </c>
      <c r="AE74" s="5">
        <v>18169.349999999999</v>
      </c>
      <c r="AF74" s="5">
        <v>17990.099999999999</v>
      </c>
      <c r="AG74" s="5">
        <v>-179.25</v>
      </c>
      <c r="AH74" s="5">
        <v>-0.98660000000000003</v>
      </c>
      <c r="AI74" s="4">
        <v>7</v>
      </c>
      <c r="AJ74" s="5">
        <v>-0.11666700000000001</v>
      </c>
      <c r="AK74" s="5">
        <v>-200.44759999999999</v>
      </c>
      <c r="AL74" s="5">
        <v>-1.1032</v>
      </c>
      <c r="AM74" s="8">
        <v>-3.4460999999999999</v>
      </c>
      <c r="AN74" s="8">
        <v>0.27229999999999999</v>
      </c>
      <c r="AO74" s="9">
        <v>-130.54759999999999</v>
      </c>
      <c r="AP74" s="9">
        <v>-0.53029999999999999</v>
      </c>
      <c r="AQ74" s="5">
        <v>106.61</v>
      </c>
      <c r="AR74" s="5">
        <v>108.24850000000001</v>
      </c>
      <c r="AS74" s="5">
        <v>-1.6386000000000001</v>
      </c>
      <c r="AT74" s="5">
        <v>-1.5137</v>
      </c>
      <c r="AU74" s="8">
        <v>7.1099999999999997E-2</v>
      </c>
      <c r="AV74" s="8">
        <v>-1.9709000000000001</v>
      </c>
      <c r="AW74" s="8">
        <v>-1.9709000000000001</v>
      </c>
      <c r="AX74" s="5">
        <v>105.066</v>
      </c>
      <c r="AY74" s="5">
        <v>-2.9401000000000002</v>
      </c>
      <c r="AZ74" s="7" t="s">
        <v>91</v>
      </c>
    </row>
    <row r="75" spans="1:52" ht="18" customHeight="1" x14ac:dyDescent="0.25">
      <c r="A75" s="10">
        <v>37</v>
      </c>
      <c r="B75" s="10">
        <v>2</v>
      </c>
      <c r="C75" s="10">
        <v>37</v>
      </c>
      <c r="D75" s="86">
        <v>43873</v>
      </c>
      <c r="E75" s="86">
        <v>43880</v>
      </c>
      <c r="F75" s="86">
        <v>43888</v>
      </c>
      <c r="G75" s="11">
        <v>12201.2</v>
      </c>
      <c r="H75" s="11">
        <v>12125.9</v>
      </c>
      <c r="I75" s="12"/>
      <c r="J75" s="12"/>
      <c r="K75" s="91">
        <f t="array" ref="K75">MAX(IF((D75&lt;[1]Nifty_D!$B$2:$B$6600)*(E75&gt;=[1]Nifty_D!$B$2:$B$6600),[1]Nifty_D!$F$2:$F$6600,""))</f>
        <v>12174.65</v>
      </c>
      <c r="L75" s="92">
        <f t="shared" si="7"/>
        <v>-2.1760154738879045E-3</v>
      </c>
      <c r="M75" s="91">
        <f t="shared" si="8"/>
        <v>550.75</v>
      </c>
      <c r="N75" s="93">
        <f t="array" ref="N75">INDEX([1]Nifty_D!$B$2:$B$6600,MATCH(E75,[1]Nifty_D!$B$2:$B$6600,0)-1)</f>
        <v>43879</v>
      </c>
      <c r="O75" s="89">
        <f>VLOOKUP(N75,[1]Nifty_D!$B$2:$F$6600,5,0)</f>
        <v>11992.5</v>
      </c>
      <c r="P75" s="92">
        <f t="shared" si="9"/>
        <v>-1.7104874930334746E-2</v>
      </c>
      <c r="Q75" s="12" t="s">
        <v>40</v>
      </c>
      <c r="R75" s="10">
        <v>12000</v>
      </c>
      <c r="S75" s="103">
        <f>MROUND(G75,500)</f>
        <v>12000</v>
      </c>
      <c r="T75" s="103">
        <f>S75-R75</f>
        <v>0</v>
      </c>
      <c r="U75" s="12" t="s">
        <v>92</v>
      </c>
      <c r="V75" s="10">
        <v>65</v>
      </c>
      <c r="W75" s="11">
        <v>40.25</v>
      </c>
      <c r="X75" s="11">
        <v>34.1</v>
      </c>
      <c r="Y75" s="13">
        <v>-0.1143</v>
      </c>
      <c r="Z75" s="13">
        <v>0.79659999999999997</v>
      </c>
      <c r="AA75" s="10">
        <v>0</v>
      </c>
      <c r="AB75" s="14">
        <v>0</v>
      </c>
      <c r="AC75" s="11">
        <v>-6.15</v>
      </c>
      <c r="AD75" s="14">
        <v>-5.0404878208700778E-4</v>
      </c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 t="s">
        <v>91</v>
      </c>
    </row>
    <row r="76" spans="1:52" ht="18" hidden="1" customHeight="1" x14ac:dyDescent="0.25">
      <c r="A76" s="4">
        <v>38</v>
      </c>
      <c r="B76" s="4">
        <v>1</v>
      </c>
      <c r="C76" s="4">
        <v>38</v>
      </c>
      <c r="D76" s="85">
        <v>43880</v>
      </c>
      <c r="E76" s="85">
        <v>43887</v>
      </c>
      <c r="F76" s="85">
        <v>43888</v>
      </c>
      <c r="G76" s="5">
        <v>12125.9</v>
      </c>
      <c r="H76" s="5">
        <v>11678.5</v>
      </c>
      <c r="I76" s="5">
        <v>-447.4</v>
      </c>
      <c r="J76" s="6">
        <v>-3.6896230382899423E-2</v>
      </c>
      <c r="K76" s="91">
        <f t="array" ref="K76">MAX(IF((D76&lt;[1]Nifty_D!$B$2:$B$6600)*(E76&gt;=[1]Nifty_D!$B$2:$B$6600),[1]Nifty_D!$F$2:$F$6600,""))</f>
        <v>12080.85</v>
      </c>
      <c r="L76" s="92">
        <f t="shared" si="7"/>
        <v>-3.7151881509825957E-3</v>
      </c>
      <c r="M76" s="91">
        <f t="shared" si="8"/>
        <v>456.95000000000073</v>
      </c>
      <c r="N76" s="93">
        <f t="array" ref="N76">INDEX([1]Nifty_D!$B$2:$B$6600,MATCH(E76,[1]Nifty_D!$B$2:$B$6600,0)-1)</f>
        <v>43886</v>
      </c>
      <c r="O76" s="89">
        <f>VLOOKUP(N76,[1]Nifty_D!$B$2:$F$6600,5,0)</f>
        <v>11797.9</v>
      </c>
      <c r="P76" s="92">
        <f t="shared" si="9"/>
        <v>-2.704953859094994E-2</v>
      </c>
      <c r="Q76" s="7" t="s">
        <v>28</v>
      </c>
      <c r="R76" s="4">
        <v>12100</v>
      </c>
      <c r="S76" s="102"/>
      <c r="T76" s="102"/>
      <c r="U76" s="7" t="s">
        <v>90</v>
      </c>
      <c r="V76" s="4">
        <v>65</v>
      </c>
      <c r="W76" s="5">
        <v>103.9</v>
      </c>
      <c r="X76" s="5">
        <v>1.45</v>
      </c>
      <c r="Y76" s="8">
        <v>-4.7E-2</v>
      </c>
      <c r="Z76" s="8">
        <v>0.84819999999999995</v>
      </c>
      <c r="AA76" s="5">
        <v>102.45</v>
      </c>
      <c r="AB76" s="6">
        <v>8.4488574043988501E-3</v>
      </c>
      <c r="AC76" s="4">
        <v>0</v>
      </c>
      <c r="AD76" s="6">
        <v>0</v>
      </c>
      <c r="AE76" s="5">
        <v>17990.099999999999</v>
      </c>
      <c r="AF76" s="5">
        <v>17512.45</v>
      </c>
      <c r="AG76" s="5">
        <v>-477.65</v>
      </c>
      <c r="AH76" s="5">
        <v>-2.6551</v>
      </c>
      <c r="AI76" s="4">
        <v>7</v>
      </c>
      <c r="AJ76" s="5">
        <v>-0.11666700000000001</v>
      </c>
      <c r="AK76" s="5">
        <v>-498.63839999999999</v>
      </c>
      <c r="AL76" s="5">
        <v>-2.7717000000000001</v>
      </c>
      <c r="AM76" s="8">
        <v>-3.0558000000000001</v>
      </c>
      <c r="AN76" s="8">
        <v>1.2265999999999999</v>
      </c>
      <c r="AO76" s="9">
        <v>-126.7384</v>
      </c>
      <c r="AP76" s="9">
        <v>0.29530000000000001</v>
      </c>
      <c r="AQ76" s="5">
        <v>106.9248</v>
      </c>
      <c r="AR76" s="5">
        <v>108.24850000000001</v>
      </c>
      <c r="AS76" s="5">
        <v>-1.3237000000000001</v>
      </c>
      <c r="AT76" s="5">
        <v>-1.2229000000000001</v>
      </c>
      <c r="AU76" s="8">
        <v>1.0798000000000001</v>
      </c>
      <c r="AV76" s="8">
        <v>0.5242</v>
      </c>
      <c r="AW76" s="8">
        <v>0.29530000000000001</v>
      </c>
      <c r="AX76" s="5">
        <v>106.9248</v>
      </c>
      <c r="AY76" s="5">
        <v>-1.2229000000000001</v>
      </c>
      <c r="AZ76" s="7" t="s">
        <v>91</v>
      </c>
    </row>
    <row r="77" spans="1:52" ht="18" customHeight="1" x14ac:dyDescent="0.25">
      <c r="A77" s="10">
        <v>38</v>
      </c>
      <c r="B77" s="10">
        <v>2</v>
      </c>
      <c r="C77" s="10">
        <v>38</v>
      </c>
      <c r="D77" s="86">
        <v>43880</v>
      </c>
      <c r="E77" s="86">
        <v>43887</v>
      </c>
      <c r="F77" s="86">
        <v>43888</v>
      </c>
      <c r="G77" s="11">
        <v>12125.9</v>
      </c>
      <c r="H77" s="11">
        <v>11678.5</v>
      </c>
      <c r="I77" s="12"/>
      <c r="J77" s="12"/>
      <c r="K77" s="91">
        <f t="array" ref="K77">MAX(IF((D77&lt;[1]Nifty_D!$B$2:$B$6600)*(E77&gt;=[1]Nifty_D!$B$2:$B$6600),[1]Nifty_D!$F$2:$F$6600,""))</f>
        <v>12080.85</v>
      </c>
      <c r="L77" s="92">
        <f t="shared" si="7"/>
        <v>-3.7151881509825957E-3</v>
      </c>
      <c r="M77" s="91">
        <f t="shared" si="8"/>
        <v>456.95000000000073</v>
      </c>
      <c r="N77" s="93">
        <f t="array" ref="N77">INDEX([1]Nifty_D!$B$2:$B$6600,MATCH(E77,[1]Nifty_D!$B$2:$B$6600,0)-1)</f>
        <v>43886</v>
      </c>
      <c r="O77" s="89">
        <f>VLOOKUP(N77,[1]Nifty_D!$B$2:$F$6600,5,0)</f>
        <v>11797.9</v>
      </c>
      <c r="P77" s="92">
        <f t="shared" si="9"/>
        <v>-2.704953859094994E-2</v>
      </c>
      <c r="Q77" s="12" t="s">
        <v>40</v>
      </c>
      <c r="R77" s="10">
        <v>12000</v>
      </c>
      <c r="S77" s="103">
        <f>MROUND(G77,500)</f>
        <v>12000</v>
      </c>
      <c r="T77" s="103">
        <f>S77-R77</f>
        <v>0</v>
      </c>
      <c r="U77" s="12" t="s">
        <v>92</v>
      </c>
      <c r="V77" s="10">
        <v>65</v>
      </c>
      <c r="W77" s="11">
        <v>34.1</v>
      </c>
      <c r="X77" s="11">
        <v>303.55</v>
      </c>
      <c r="Y77" s="13">
        <v>-9.98E-2</v>
      </c>
      <c r="Z77" s="13">
        <v>2.7317999999999998</v>
      </c>
      <c r="AA77" s="10">
        <v>0</v>
      </c>
      <c r="AB77" s="14">
        <v>0</v>
      </c>
      <c r="AC77" s="11">
        <v>269.45</v>
      </c>
      <c r="AD77" s="14">
        <v>2.2221031016254458E-2</v>
      </c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 t="s">
        <v>91</v>
      </c>
    </row>
    <row r="78" spans="1:52" ht="18" hidden="1" customHeight="1" x14ac:dyDescent="0.25">
      <c r="A78" s="4">
        <v>39</v>
      </c>
      <c r="B78" s="4">
        <v>1</v>
      </c>
      <c r="C78" s="4">
        <v>39</v>
      </c>
      <c r="D78" s="85">
        <v>43887</v>
      </c>
      <c r="E78" s="85">
        <v>43889</v>
      </c>
      <c r="F78" s="85">
        <v>43895</v>
      </c>
      <c r="G78" s="5">
        <v>11678.5</v>
      </c>
      <c r="H78" s="5">
        <v>11201.75</v>
      </c>
      <c r="I78" s="5">
        <v>-476.75</v>
      </c>
      <c r="J78" s="6">
        <v>-4.0822879650640062E-2</v>
      </c>
      <c r="K78" s="91">
        <f t="array" ref="K78">MAX(IF((D78&lt;[1]Nifty_D!$B$2:$B$6600)*(E78&gt;=[1]Nifty_D!$B$2:$B$6600),[1]Nifty_D!$F$2:$F$6600,""))</f>
        <v>11633.3</v>
      </c>
      <c r="L78" s="92">
        <f t="shared" si="7"/>
        <v>-3.8703600633643864E-3</v>
      </c>
      <c r="M78" s="91">
        <f t="shared" si="8"/>
        <v>9.3999999999996362</v>
      </c>
      <c r="N78" s="93">
        <f t="array" ref="N78">INDEX([1]Nifty_D!$B$2:$B$6600,MATCH(E78,[1]Nifty_D!$B$2:$B$6600,0)-1)</f>
        <v>43888</v>
      </c>
      <c r="O78" s="89">
        <f>VLOOKUP(N78,[1]Nifty_D!$B$2:$F$6600,5,0)</f>
        <v>11633.3</v>
      </c>
      <c r="P78" s="92">
        <f t="shared" si="9"/>
        <v>-3.8703600633643864E-3</v>
      </c>
      <c r="Q78" s="7" t="s">
        <v>28</v>
      </c>
      <c r="R78" s="4">
        <v>11700</v>
      </c>
      <c r="S78" s="102"/>
      <c r="T78" s="102"/>
      <c r="U78" s="7" t="s">
        <v>90</v>
      </c>
      <c r="V78" s="4">
        <v>65</v>
      </c>
      <c r="W78" s="5">
        <v>122.3</v>
      </c>
      <c r="X78" s="5">
        <v>11.3</v>
      </c>
      <c r="Y78" s="8">
        <v>0.14940000000000001</v>
      </c>
      <c r="Z78" s="8">
        <v>0.97870000000000001</v>
      </c>
      <c r="AA78" s="4">
        <v>111</v>
      </c>
      <c r="AB78" s="6">
        <v>9.5046452883503878E-3</v>
      </c>
      <c r="AC78" s="4">
        <v>0</v>
      </c>
      <c r="AD78" s="6">
        <v>0</v>
      </c>
      <c r="AE78" s="5">
        <v>17512.45</v>
      </c>
      <c r="AF78" s="5">
        <v>16786.349999999999</v>
      </c>
      <c r="AG78" s="5">
        <v>-726.1</v>
      </c>
      <c r="AH78" s="5">
        <v>-4.1462000000000003</v>
      </c>
      <c r="AI78" s="4">
        <v>2</v>
      </c>
      <c r="AJ78" s="5">
        <v>-3.3333000000000002E-2</v>
      </c>
      <c r="AK78" s="5">
        <v>-731.9375</v>
      </c>
      <c r="AL78" s="5">
        <v>-4.1795</v>
      </c>
      <c r="AM78" s="8">
        <v>-4.8962000000000003</v>
      </c>
      <c r="AN78" s="8">
        <v>2.7300000000000001E-2</v>
      </c>
      <c r="AO78" s="9">
        <v>-298.33749999999998</v>
      </c>
      <c r="AP78" s="9">
        <v>-0.4667</v>
      </c>
      <c r="AQ78" s="5">
        <v>106.4258</v>
      </c>
      <c r="AR78" s="5">
        <v>108.24850000000001</v>
      </c>
      <c r="AS78" s="5">
        <v>-1.8227</v>
      </c>
      <c r="AT78" s="5">
        <v>-1.6839</v>
      </c>
      <c r="AU78" s="8">
        <v>0.2422</v>
      </c>
      <c r="AV78" s="8">
        <v>-0.9728</v>
      </c>
      <c r="AW78" s="8">
        <v>-0.9728</v>
      </c>
      <c r="AX78" s="5">
        <v>105.88460000000001</v>
      </c>
      <c r="AY78" s="5">
        <v>-2.1838000000000002</v>
      </c>
      <c r="AZ78" s="7" t="s">
        <v>94</v>
      </c>
    </row>
    <row r="79" spans="1:52" ht="18" customHeight="1" x14ac:dyDescent="0.25">
      <c r="A79" s="10">
        <v>39</v>
      </c>
      <c r="B79" s="10">
        <v>2</v>
      </c>
      <c r="C79" s="10">
        <v>39</v>
      </c>
      <c r="D79" s="86">
        <v>43887</v>
      </c>
      <c r="E79" s="86">
        <v>43889</v>
      </c>
      <c r="F79" s="86">
        <v>43916</v>
      </c>
      <c r="G79" s="11">
        <v>11678.5</v>
      </c>
      <c r="H79" s="11">
        <v>11201.75</v>
      </c>
      <c r="I79" s="12"/>
      <c r="J79" s="12"/>
      <c r="K79" s="91">
        <f t="array" ref="K79">MAX(IF((D79&lt;[1]Nifty_D!$B$2:$B$6600)*(E79&gt;=[1]Nifty_D!$B$2:$B$6600),[1]Nifty_D!$F$2:$F$6600,""))</f>
        <v>11633.3</v>
      </c>
      <c r="L79" s="92">
        <f t="shared" si="7"/>
        <v>-3.8703600633643864E-3</v>
      </c>
      <c r="M79" s="91">
        <f t="shared" si="8"/>
        <v>9.3999999999996362</v>
      </c>
      <c r="N79" s="93">
        <f t="array" ref="N79">INDEX([1]Nifty_D!$B$2:$B$6600,MATCH(E79,[1]Nifty_D!$B$2:$B$6600,0)-1)</f>
        <v>43888</v>
      </c>
      <c r="O79" s="89">
        <f>VLOOKUP(N79,[1]Nifty_D!$B$2:$F$6600,5,0)</f>
        <v>11633.3</v>
      </c>
      <c r="P79" s="92">
        <f t="shared" si="9"/>
        <v>-3.8703600633643864E-3</v>
      </c>
      <c r="Q79" s="12" t="s">
        <v>40</v>
      </c>
      <c r="R79" s="10">
        <v>11500</v>
      </c>
      <c r="S79" s="103">
        <f>MROUND(G79,500)</f>
        <v>11500</v>
      </c>
      <c r="T79" s="103">
        <f>S79-R79</f>
        <v>0</v>
      </c>
      <c r="U79" s="12" t="s">
        <v>92</v>
      </c>
      <c r="V79" s="10">
        <v>65</v>
      </c>
      <c r="W79" s="11">
        <v>147.05000000000001</v>
      </c>
      <c r="X79" s="11">
        <v>469.65</v>
      </c>
      <c r="Y79" s="13">
        <v>6.5500000000000003E-2</v>
      </c>
      <c r="Z79" s="13">
        <v>2.9447000000000001</v>
      </c>
      <c r="AA79" s="10">
        <v>0</v>
      </c>
      <c r="AB79" s="14">
        <v>0</v>
      </c>
      <c r="AC79" s="11">
        <v>322.60000000000002</v>
      </c>
      <c r="AD79" s="14">
        <v>2.7623410540737251E-2</v>
      </c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 t="s">
        <v>94</v>
      </c>
    </row>
    <row r="80" spans="1:52" ht="18" hidden="1" customHeight="1" x14ac:dyDescent="0.25">
      <c r="A80" s="4">
        <v>40</v>
      </c>
      <c r="B80" s="4">
        <v>1</v>
      </c>
      <c r="C80" s="4">
        <v>40</v>
      </c>
      <c r="D80" s="85">
        <v>44771</v>
      </c>
      <c r="E80" s="85">
        <v>44774</v>
      </c>
      <c r="F80" s="85">
        <v>44777</v>
      </c>
      <c r="G80" s="5">
        <v>17158.25</v>
      </c>
      <c r="H80" s="5">
        <v>17340.05</v>
      </c>
      <c r="I80" s="5">
        <v>181.8</v>
      </c>
      <c r="J80" s="6">
        <v>1.0595486136406689E-2</v>
      </c>
      <c r="K80" s="91">
        <f t="array" ref="K80">MAX(IF((D80&lt;[1]Nifty_D!$B$2:$B$6600)*(E80&gt;=[1]Nifty_D!$B$2:$B$6600),[1]Nifty_D!$F$2:$F$6600,""))</f>
        <v>17340.05</v>
      </c>
      <c r="L80" s="92">
        <f t="shared" si="7"/>
        <v>1.0595486136406596E-2</v>
      </c>
      <c r="M80" s="91">
        <f t="shared" si="8"/>
        <v>5716.15</v>
      </c>
      <c r="N80" s="93">
        <f t="array" ref="N80">INDEX([1]Nifty_D!$B$2:$B$6600,MATCH(E80,[1]Nifty_D!$B$2:$B$6600,0)-1)</f>
        <v>44771</v>
      </c>
      <c r="O80" s="89">
        <f>VLOOKUP(N80,[1]Nifty_D!$B$2:$F$6600,5,0)</f>
        <v>17158.25</v>
      </c>
      <c r="P80" s="92">
        <f t="shared" si="9"/>
        <v>0</v>
      </c>
      <c r="Q80" s="7" t="s">
        <v>28</v>
      </c>
      <c r="R80" s="4">
        <v>17200</v>
      </c>
      <c r="S80" s="102"/>
      <c r="T80" s="102"/>
      <c r="U80" s="7" t="s">
        <v>90</v>
      </c>
      <c r="V80" s="4">
        <v>65</v>
      </c>
      <c r="W80" s="5">
        <v>109.6</v>
      </c>
      <c r="X80" s="5">
        <v>198.4</v>
      </c>
      <c r="Y80" s="8">
        <v>-0.58630000000000004</v>
      </c>
      <c r="Z80" s="8">
        <v>4.4900000000000002E-2</v>
      </c>
      <c r="AA80" s="5">
        <v>-88.8</v>
      </c>
      <c r="AB80" s="6">
        <v>-5.1753529643174569E-3</v>
      </c>
      <c r="AC80" s="4">
        <v>0</v>
      </c>
      <c r="AD80" s="6">
        <v>0</v>
      </c>
      <c r="AE80" s="5">
        <v>29634.25</v>
      </c>
      <c r="AF80" s="4">
        <v>30128</v>
      </c>
      <c r="AG80" s="5">
        <v>493.75</v>
      </c>
      <c r="AH80" s="5">
        <v>1.6660999999999999</v>
      </c>
      <c r="AI80" s="4">
        <v>3</v>
      </c>
      <c r="AJ80" s="5">
        <v>-0.05</v>
      </c>
      <c r="AK80" s="5">
        <v>478.93290000000002</v>
      </c>
      <c r="AL80" s="5">
        <v>1.6161000000000001</v>
      </c>
      <c r="AM80" s="8">
        <v>-2.7199999999999998E-2</v>
      </c>
      <c r="AN80" s="8">
        <v>1.7093</v>
      </c>
      <c r="AO80" s="15">
        <v>336.23289999999997</v>
      </c>
      <c r="AP80" s="15">
        <v>0.78439999999999999</v>
      </c>
      <c r="AQ80" s="5">
        <v>100.78440000000001</v>
      </c>
      <c r="AR80" s="5">
        <v>100.78440000000001</v>
      </c>
      <c r="AS80" s="4">
        <v>0</v>
      </c>
      <c r="AT80" s="4">
        <v>0</v>
      </c>
      <c r="AU80" s="8">
        <v>0.78180000000000005</v>
      </c>
      <c r="AV80" s="8">
        <v>0.28460000000000002</v>
      </c>
      <c r="AW80" s="8">
        <v>0.28460000000000002</v>
      </c>
      <c r="AX80" s="5">
        <v>100.2846</v>
      </c>
      <c r="AY80" s="5">
        <v>0.28460000000000002</v>
      </c>
      <c r="AZ80" s="7" t="s">
        <v>97</v>
      </c>
    </row>
    <row r="81" spans="1:52" ht="18" customHeight="1" x14ac:dyDescent="0.25">
      <c r="A81" s="10">
        <v>40</v>
      </c>
      <c r="B81" s="10">
        <v>2</v>
      </c>
      <c r="C81" s="10">
        <v>40</v>
      </c>
      <c r="D81" s="86">
        <v>44771</v>
      </c>
      <c r="E81" s="86">
        <v>44774</v>
      </c>
      <c r="F81" s="86">
        <v>44798</v>
      </c>
      <c r="G81" s="11">
        <v>17158.25</v>
      </c>
      <c r="H81" s="11">
        <v>17340.05</v>
      </c>
      <c r="I81" s="12"/>
      <c r="J81" s="12"/>
      <c r="K81" s="91">
        <f t="array" ref="K81">MAX(IF((D81&lt;[1]Nifty_D!$B$2:$B$6600)*(E81&gt;=[1]Nifty_D!$B$2:$B$6600),[1]Nifty_D!$F$2:$F$6600,""))</f>
        <v>17340.05</v>
      </c>
      <c r="L81" s="92">
        <f t="shared" si="7"/>
        <v>1.0595486136406596E-2</v>
      </c>
      <c r="M81" s="91">
        <f t="shared" si="8"/>
        <v>5716.15</v>
      </c>
      <c r="N81" s="93">
        <f t="array" ref="N81">INDEX([1]Nifty_D!$B$2:$B$6600,MATCH(E81,[1]Nifty_D!$B$2:$B$6600,0)-1)</f>
        <v>44771</v>
      </c>
      <c r="O81" s="89">
        <f>VLOOKUP(N81,[1]Nifty_D!$B$2:$F$6600,5,0)</f>
        <v>17158.25</v>
      </c>
      <c r="P81" s="92">
        <f t="shared" si="9"/>
        <v>0</v>
      </c>
      <c r="Q81" s="12" t="s">
        <v>40</v>
      </c>
      <c r="R81" s="10">
        <v>17000</v>
      </c>
      <c r="S81" s="103">
        <f>MROUND(G81,500)</f>
        <v>17000</v>
      </c>
      <c r="T81" s="103">
        <f>S81-R81</f>
        <v>0</v>
      </c>
      <c r="U81" s="12" t="s">
        <v>92</v>
      </c>
      <c r="V81" s="10">
        <v>65</v>
      </c>
      <c r="W81" s="11">
        <v>204.15</v>
      </c>
      <c r="X81" s="11">
        <v>150.25</v>
      </c>
      <c r="Y81" s="13">
        <v>-0.3412</v>
      </c>
      <c r="Z81" s="13">
        <v>0.26690000000000003</v>
      </c>
      <c r="AA81" s="10">
        <v>0</v>
      </c>
      <c r="AB81" s="14">
        <v>0</v>
      </c>
      <c r="AC81" s="11">
        <v>-53.9</v>
      </c>
      <c r="AD81" s="14">
        <v>-3.141345999737736E-3</v>
      </c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 t="s">
        <v>97</v>
      </c>
    </row>
    <row r="82" spans="1:52" ht="18" hidden="1" customHeight="1" x14ac:dyDescent="0.25">
      <c r="A82" s="4">
        <v>41</v>
      </c>
      <c r="B82" s="4">
        <v>1</v>
      </c>
      <c r="C82" s="4">
        <v>41</v>
      </c>
      <c r="D82" s="85">
        <v>44774</v>
      </c>
      <c r="E82" s="85">
        <v>44776</v>
      </c>
      <c r="F82" s="85">
        <v>44777</v>
      </c>
      <c r="G82" s="5">
        <v>17340.05</v>
      </c>
      <c r="H82" s="5">
        <v>17388.150000000001</v>
      </c>
      <c r="I82" s="5">
        <v>48.1</v>
      </c>
      <c r="J82" s="6">
        <v>2.773925104022191E-3</v>
      </c>
      <c r="K82" s="91">
        <f t="array" ref="K82">MAX(IF((D82&lt;[1]Nifty_D!$B$2:$B$6600)*(E82&gt;=[1]Nifty_D!$B$2:$B$6600),[1]Nifty_D!$F$2:$F$6600,""))</f>
        <v>17388.150000000001</v>
      </c>
      <c r="L82" s="92">
        <f t="shared" si="7"/>
        <v>2.7739251040224122E-3</v>
      </c>
      <c r="M82" s="91">
        <f t="shared" si="8"/>
        <v>5764.2500000000018</v>
      </c>
      <c r="N82" s="93">
        <f t="array" ref="N82">INDEX([1]Nifty_D!$B$2:$B$6600,MATCH(E82,[1]Nifty_D!$B$2:$B$6600,0)-1)</f>
        <v>44775</v>
      </c>
      <c r="O82" s="89">
        <f>VLOOKUP(N82,[1]Nifty_D!$B$2:$F$6600,5,0)</f>
        <v>17345.45</v>
      </c>
      <c r="P82" s="92">
        <f t="shared" si="9"/>
        <v>3.1141778714594004E-4</v>
      </c>
      <c r="Q82" s="7" t="s">
        <v>28</v>
      </c>
      <c r="R82" s="4">
        <v>17300</v>
      </c>
      <c r="S82" s="102"/>
      <c r="T82" s="102"/>
      <c r="U82" s="7" t="s">
        <v>90</v>
      </c>
      <c r="V82" s="4">
        <v>65</v>
      </c>
      <c r="W82" s="5">
        <v>131.65</v>
      </c>
      <c r="X82" s="5">
        <v>119.2</v>
      </c>
      <c r="Y82" s="8">
        <v>-0.10150000000000001</v>
      </c>
      <c r="Z82" s="8">
        <v>0.47089999999999999</v>
      </c>
      <c r="AA82" s="5">
        <v>12.45</v>
      </c>
      <c r="AB82" s="6">
        <v>7.179910092531452E-4</v>
      </c>
      <c r="AC82" s="4">
        <v>0</v>
      </c>
      <c r="AD82" s="6">
        <v>0</v>
      </c>
      <c r="AE82" s="4">
        <v>30128</v>
      </c>
      <c r="AF82" s="5">
        <v>30017.65</v>
      </c>
      <c r="AG82" s="5">
        <v>-110.35</v>
      </c>
      <c r="AH82" s="5">
        <v>-0.36630000000000001</v>
      </c>
      <c r="AI82" s="4">
        <v>2</v>
      </c>
      <c r="AJ82" s="5">
        <v>-3.3333000000000002E-2</v>
      </c>
      <c r="AK82" s="5">
        <v>-120.3927</v>
      </c>
      <c r="AL82" s="5">
        <v>-0.39960000000000001</v>
      </c>
      <c r="AM82" s="8">
        <v>-1.258</v>
      </c>
      <c r="AN82" s="8">
        <v>0.5151</v>
      </c>
      <c r="AO82" s="9">
        <v>-118.34269999999999</v>
      </c>
      <c r="AP82" s="9">
        <v>-0.38779999999999998</v>
      </c>
      <c r="AQ82" s="5">
        <v>100.39360000000001</v>
      </c>
      <c r="AR82" s="5">
        <v>100.78440000000001</v>
      </c>
      <c r="AS82" s="5">
        <v>-0.39079999999999998</v>
      </c>
      <c r="AT82" s="5">
        <v>-0.38779999999999998</v>
      </c>
      <c r="AU82" s="8">
        <v>0.1694</v>
      </c>
      <c r="AV82" s="8">
        <v>-0.26750000000000002</v>
      </c>
      <c r="AW82" s="8">
        <v>-0.38779999999999998</v>
      </c>
      <c r="AX82" s="5">
        <v>100.39360000000001</v>
      </c>
      <c r="AY82" s="5">
        <v>-0.38779999999999998</v>
      </c>
      <c r="AZ82" s="7" t="s">
        <v>91</v>
      </c>
    </row>
    <row r="83" spans="1:52" ht="18" customHeight="1" x14ac:dyDescent="0.25">
      <c r="A83" s="10">
        <v>41</v>
      </c>
      <c r="B83" s="10">
        <v>2</v>
      </c>
      <c r="C83" s="10">
        <v>41</v>
      </c>
      <c r="D83" s="86">
        <v>44774</v>
      </c>
      <c r="E83" s="86">
        <v>44776</v>
      </c>
      <c r="F83" s="86">
        <v>44798</v>
      </c>
      <c r="G83" s="11">
        <v>17340.05</v>
      </c>
      <c r="H83" s="11">
        <v>17388.150000000001</v>
      </c>
      <c r="I83" s="12"/>
      <c r="J83" s="12"/>
      <c r="K83" s="91">
        <f t="array" ref="K83">MAX(IF((D83&lt;[1]Nifty_D!$B$2:$B$6600)*(E83&gt;=[1]Nifty_D!$B$2:$B$6600),[1]Nifty_D!$F$2:$F$6600,""))</f>
        <v>17388.150000000001</v>
      </c>
      <c r="L83" s="92">
        <f t="shared" si="7"/>
        <v>2.7739251040224122E-3</v>
      </c>
      <c r="M83" s="91">
        <f t="shared" si="8"/>
        <v>5764.2500000000018</v>
      </c>
      <c r="N83" s="93">
        <f t="array" ref="N83">INDEX([1]Nifty_D!$B$2:$B$6600,MATCH(E83,[1]Nifty_D!$B$2:$B$6600,0)-1)</f>
        <v>44775</v>
      </c>
      <c r="O83" s="89">
        <f>VLOOKUP(N83,[1]Nifty_D!$B$2:$F$6600,5,0)</f>
        <v>17345.45</v>
      </c>
      <c r="P83" s="92">
        <f t="shared" si="9"/>
        <v>3.1141778714594004E-4</v>
      </c>
      <c r="Q83" s="12" t="s">
        <v>40</v>
      </c>
      <c r="R83" s="10">
        <v>17500</v>
      </c>
      <c r="S83" s="103">
        <f>MROUND(G83,500)</f>
        <v>17500</v>
      </c>
      <c r="T83" s="103">
        <f>S83-R83</f>
        <v>0</v>
      </c>
      <c r="U83" s="12" t="s">
        <v>92</v>
      </c>
      <c r="V83" s="10">
        <v>65</v>
      </c>
      <c r="W83" s="11">
        <v>341.35</v>
      </c>
      <c r="X83" s="11">
        <v>330.95</v>
      </c>
      <c r="Y83" s="13">
        <v>-0.2442</v>
      </c>
      <c r="Z83" s="13">
        <v>0.51959999999999995</v>
      </c>
      <c r="AA83" s="10">
        <v>0</v>
      </c>
      <c r="AB83" s="14">
        <v>0</v>
      </c>
      <c r="AC83" s="11">
        <v>-10.4</v>
      </c>
      <c r="AD83" s="14">
        <v>-5.9976759005885222E-4</v>
      </c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 t="s">
        <v>91</v>
      </c>
    </row>
    <row r="84" spans="1:52" ht="18" hidden="1" customHeight="1" x14ac:dyDescent="0.25">
      <c r="A84" s="4">
        <v>42</v>
      </c>
      <c r="B84" s="4">
        <v>1</v>
      </c>
      <c r="C84" s="4">
        <v>42</v>
      </c>
      <c r="D84" s="85">
        <v>44776</v>
      </c>
      <c r="E84" s="85">
        <v>44781</v>
      </c>
      <c r="F84" s="85">
        <v>44784</v>
      </c>
      <c r="G84" s="5">
        <v>17388.150000000001</v>
      </c>
      <c r="H84" s="5">
        <v>17525.099999999999</v>
      </c>
      <c r="I84" s="5">
        <v>136.94999999999999</v>
      </c>
      <c r="J84" s="6">
        <v>7.8760535192070446E-3</v>
      </c>
      <c r="K84" s="91">
        <f t="array" ref="K84">MAX(IF((D84&lt;[1]Nifty_D!$B$2:$B$6600)*(E84&gt;=[1]Nifty_D!$B$2:$B$6600),[1]Nifty_D!$F$2:$F$6600,""))</f>
        <v>17525.099999999999</v>
      </c>
      <c r="L84" s="92">
        <f t="shared" si="7"/>
        <v>7.8760535192068382E-3</v>
      </c>
      <c r="M84" s="91">
        <f t="shared" si="8"/>
        <v>5901.1999999999989</v>
      </c>
      <c r="N84" s="93">
        <f t="array" ref="N84">INDEX([1]Nifty_D!$B$2:$B$6600,MATCH(E84,[1]Nifty_D!$B$2:$B$6600,0)-1)</f>
        <v>44778</v>
      </c>
      <c r="O84" s="89">
        <f>VLOOKUP(N84,[1]Nifty_D!$B$2:$F$6600,5,0)</f>
        <v>17397.5</v>
      </c>
      <c r="P84" s="92">
        <f t="shared" si="9"/>
        <v>5.377225294236343E-4</v>
      </c>
      <c r="Q84" s="7" t="s">
        <v>28</v>
      </c>
      <c r="R84" s="4">
        <v>17400</v>
      </c>
      <c r="S84" s="102"/>
      <c r="T84" s="102"/>
      <c r="U84" s="7" t="s">
        <v>90</v>
      </c>
      <c r="V84" s="4">
        <v>65</v>
      </c>
      <c r="W84" s="5">
        <v>176.2</v>
      </c>
      <c r="X84" s="4">
        <v>193</v>
      </c>
      <c r="Y84" s="8">
        <v>-0.26740000000000003</v>
      </c>
      <c r="Z84" s="8">
        <v>0.3977</v>
      </c>
      <c r="AA84" s="5">
        <v>-16.8</v>
      </c>
      <c r="AB84" s="6">
        <v>-9.6617524003416117E-4</v>
      </c>
      <c r="AC84" s="4">
        <v>0</v>
      </c>
      <c r="AD84" s="6">
        <v>0</v>
      </c>
      <c r="AE84" s="5">
        <v>30017.65</v>
      </c>
      <c r="AF84" s="5">
        <v>30366.05</v>
      </c>
      <c r="AG84" s="5">
        <v>348.4</v>
      </c>
      <c r="AH84" s="5">
        <v>1.1607000000000001</v>
      </c>
      <c r="AI84" s="4">
        <v>5</v>
      </c>
      <c r="AJ84" s="5">
        <v>-8.3333000000000004E-2</v>
      </c>
      <c r="AK84" s="5">
        <v>323.38529999999997</v>
      </c>
      <c r="AL84" s="5">
        <v>1.0772999999999999</v>
      </c>
      <c r="AM84" s="8">
        <v>-1.2114</v>
      </c>
      <c r="AN84" s="8">
        <v>1.4595</v>
      </c>
      <c r="AO84" s="15">
        <v>199.8853</v>
      </c>
      <c r="AP84" s="15">
        <v>0.36699999999999999</v>
      </c>
      <c r="AQ84" s="5">
        <v>100.762</v>
      </c>
      <c r="AR84" s="5">
        <v>100.78440000000001</v>
      </c>
      <c r="AS84" s="5">
        <v>-2.24E-2</v>
      </c>
      <c r="AT84" s="5">
        <v>-2.2200000000000001E-2</v>
      </c>
      <c r="AU84" s="8">
        <v>0.52529999999999999</v>
      </c>
      <c r="AV84" s="8">
        <v>0.1065</v>
      </c>
      <c r="AW84" s="8">
        <v>0.1065</v>
      </c>
      <c r="AX84" s="5">
        <v>100.5005</v>
      </c>
      <c r="AY84" s="5">
        <v>-0.28170000000000001</v>
      </c>
      <c r="AZ84" s="7" t="s">
        <v>96</v>
      </c>
    </row>
    <row r="85" spans="1:52" ht="18" customHeight="1" x14ac:dyDescent="0.25">
      <c r="A85" s="10">
        <v>42</v>
      </c>
      <c r="B85" s="10">
        <v>2</v>
      </c>
      <c r="C85" s="10">
        <v>42</v>
      </c>
      <c r="D85" s="86">
        <v>44776</v>
      </c>
      <c r="E85" s="86">
        <v>44781</v>
      </c>
      <c r="F85" s="86">
        <v>44798</v>
      </c>
      <c r="G85" s="11">
        <v>17388.150000000001</v>
      </c>
      <c r="H85" s="11">
        <v>17525.099999999999</v>
      </c>
      <c r="I85" s="12"/>
      <c r="J85" s="12"/>
      <c r="K85" s="91">
        <f t="array" ref="K85">MAX(IF((D85&lt;[1]Nifty_D!$B$2:$B$6600)*(E85&gt;=[1]Nifty_D!$B$2:$B$6600),[1]Nifty_D!$F$2:$F$6600,""))</f>
        <v>17525.099999999999</v>
      </c>
      <c r="L85" s="92">
        <f t="shared" si="7"/>
        <v>7.8760535192068382E-3</v>
      </c>
      <c r="M85" s="91">
        <f t="shared" si="8"/>
        <v>5901.1999999999989</v>
      </c>
      <c r="N85" s="93">
        <f t="array" ref="N85">INDEX([1]Nifty_D!$B$2:$B$6600,MATCH(E85,[1]Nifty_D!$B$2:$B$6600,0)-1)</f>
        <v>44778</v>
      </c>
      <c r="O85" s="89">
        <f>VLOOKUP(N85,[1]Nifty_D!$B$2:$F$6600,5,0)</f>
        <v>17397.5</v>
      </c>
      <c r="P85" s="92">
        <f t="shared" si="9"/>
        <v>5.377225294236343E-4</v>
      </c>
      <c r="Q85" s="12" t="s">
        <v>40</v>
      </c>
      <c r="R85" s="10">
        <v>17500</v>
      </c>
      <c r="S85" s="103">
        <f>MROUND(G85,500)</f>
        <v>17500</v>
      </c>
      <c r="T85" s="103">
        <f>S85-R85</f>
        <v>0</v>
      </c>
      <c r="U85" s="12" t="s">
        <v>92</v>
      </c>
      <c r="V85" s="10">
        <v>65</v>
      </c>
      <c r="W85" s="11">
        <v>330.95</v>
      </c>
      <c r="X85" s="11">
        <v>224.25</v>
      </c>
      <c r="Y85" s="13">
        <v>-0.66679999999999995</v>
      </c>
      <c r="Z85" s="13">
        <v>0.92020000000000002</v>
      </c>
      <c r="AA85" s="10">
        <v>0</v>
      </c>
      <c r="AB85" s="14">
        <v>0</v>
      </c>
      <c r="AC85" s="11">
        <v>-106.7</v>
      </c>
      <c r="AD85" s="14">
        <v>-6.1363629828360116E-3</v>
      </c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 t="s">
        <v>96</v>
      </c>
    </row>
    <row r="86" spans="1:52" ht="18" hidden="1" customHeight="1" x14ac:dyDescent="0.25">
      <c r="A86" s="4">
        <v>43</v>
      </c>
      <c r="B86" s="4">
        <v>1</v>
      </c>
      <c r="C86" s="4">
        <v>43</v>
      </c>
      <c r="D86" s="85">
        <v>44781</v>
      </c>
      <c r="E86" s="85">
        <v>44783</v>
      </c>
      <c r="F86" s="85">
        <v>44784</v>
      </c>
      <c r="G86" s="5">
        <v>17525.099999999999</v>
      </c>
      <c r="H86" s="5">
        <v>17534.75</v>
      </c>
      <c r="I86" s="5">
        <v>9.65</v>
      </c>
      <c r="J86" s="6">
        <v>5.5063879806677282E-4</v>
      </c>
      <c r="K86" s="91">
        <f t="array" ref="K86">MAX(IF((D86&lt;[1]Nifty_D!$B$2:$B$6600)*(E86&gt;=[1]Nifty_D!$B$2:$B$6600),[1]Nifty_D!$F$2:$F$6600,""))</f>
        <v>17534.75</v>
      </c>
      <c r="L86" s="92">
        <f t="shared" si="7"/>
        <v>5.5063879806693805E-4</v>
      </c>
      <c r="M86" s="91">
        <f t="shared" si="8"/>
        <v>5910.85</v>
      </c>
      <c r="N86" s="93">
        <f t="array" ref="N86">INDEX([1]Nifty_D!$B$2:$B$6600,MATCH(E86,[1]Nifty_D!$B$2:$B$6600,0)-1)</f>
        <v>44781</v>
      </c>
      <c r="O86" s="89">
        <f>VLOOKUP(N86,[1]Nifty_D!$B$2:$F$6600,5,0)</f>
        <v>17525.099999999999</v>
      </c>
      <c r="P86" s="92">
        <f t="shared" si="9"/>
        <v>0</v>
      </c>
      <c r="Q86" s="7" t="s">
        <v>28</v>
      </c>
      <c r="R86" s="4">
        <v>17500</v>
      </c>
      <c r="S86" s="102"/>
      <c r="T86" s="102"/>
      <c r="U86" s="7" t="s">
        <v>90</v>
      </c>
      <c r="V86" s="4">
        <v>65</v>
      </c>
      <c r="W86" s="5">
        <v>126.45</v>
      </c>
      <c r="X86" s="5">
        <v>100.15</v>
      </c>
      <c r="Y86" s="8">
        <v>-7.5300000000000006E-2</v>
      </c>
      <c r="Z86" s="8">
        <v>0.34350000000000003</v>
      </c>
      <c r="AA86" s="5">
        <v>26.3</v>
      </c>
      <c r="AB86" s="6">
        <v>1.5007047035394949E-3</v>
      </c>
      <c r="AC86" s="4">
        <v>0</v>
      </c>
      <c r="AD86" s="6">
        <v>0</v>
      </c>
      <c r="AE86" s="5">
        <v>30366.05</v>
      </c>
      <c r="AF86" s="5">
        <v>30318.9</v>
      </c>
      <c r="AG86" s="5">
        <v>-47.15</v>
      </c>
      <c r="AH86" s="5">
        <v>-0.15529999999999999</v>
      </c>
      <c r="AI86" s="4">
        <v>2</v>
      </c>
      <c r="AJ86" s="5">
        <v>-3.3333000000000002E-2</v>
      </c>
      <c r="AK86" s="5">
        <v>-57.271999999999998</v>
      </c>
      <c r="AL86" s="5">
        <v>-0.18859999999999999</v>
      </c>
      <c r="AM86" s="8">
        <v>-0.6119</v>
      </c>
      <c r="AN86" s="8">
        <v>0.38919999999999999</v>
      </c>
      <c r="AO86" s="9">
        <v>-39.972000000000001</v>
      </c>
      <c r="AP86" s="9">
        <v>-8.9899999999999994E-2</v>
      </c>
      <c r="AQ86" s="5">
        <v>100.67140000000001</v>
      </c>
      <c r="AR86" s="5">
        <v>100.78440000000001</v>
      </c>
      <c r="AS86" s="5">
        <v>-0.113</v>
      </c>
      <c r="AT86" s="5">
        <v>-0.11210000000000001</v>
      </c>
      <c r="AU86" s="8">
        <v>0.19409999999999999</v>
      </c>
      <c r="AV86" s="8">
        <v>1.18E-2</v>
      </c>
      <c r="AW86" s="8">
        <v>-8.9899999999999994E-2</v>
      </c>
      <c r="AX86" s="5">
        <v>100.67140000000001</v>
      </c>
      <c r="AY86" s="5">
        <v>-0.11210000000000001</v>
      </c>
      <c r="AZ86" s="7" t="s">
        <v>91</v>
      </c>
    </row>
    <row r="87" spans="1:52" ht="18" customHeight="1" x14ac:dyDescent="0.25">
      <c r="A87" s="10">
        <v>43</v>
      </c>
      <c r="B87" s="10">
        <v>2</v>
      </c>
      <c r="C87" s="10">
        <v>43</v>
      </c>
      <c r="D87" s="86">
        <v>44781</v>
      </c>
      <c r="E87" s="86">
        <v>44783</v>
      </c>
      <c r="F87" s="86">
        <v>44798</v>
      </c>
      <c r="G87" s="11">
        <v>17525.099999999999</v>
      </c>
      <c r="H87" s="11">
        <v>17534.75</v>
      </c>
      <c r="I87" s="12"/>
      <c r="J87" s="12"/>
      <c r="K87" s="91">
        <f t="array" ref="K87">MAX(IF((D87&lt;[1]Nifty_D!$B$2:$B$6600)*(E87&gt;=[1]Nifty_D!$B$2:$B$6600),[1]Nifty_D!$F$2:$F$6600,""))</f>
        <v>17534.75</v>
      </c>
      <c r="L87" s="92">
        <f t="shared" si="7"/>
        <v>5.5063879806693805E-4</v>
      </c>
      <c r="M87" s="91">
        <f t="shared" si="8"/>
        <v>5910.85</v>
      </c>
      <c r="N87" s="93">
        <f t="array" ref="N87">INDEX([1]Nifty_D!$B$2:$B$6600,MATCH(E87,[1]Nifty_D!$B$2:$B$6600,0)-1)</f>
        <v>44781</v>
      </c>
      <c r="O87" s="89">
        <f>VLOOKUP(N87,[1]Nifty_D!$B$2:$F$6600,5,0)</f>
        <v>17525.099999999999</v>
      </c>
      <c r="P87" s="92">
        <f t="shared" si="9"/>
        <v>0</v>
      </c>
      <c r="Q87" s="12" t="s">
        <v>40</v>
      </c>
      <c r="R87" s="10">
        <v>17500</v>
      </c>
      <c r="S87" s="103">
        <f>MROUND(G87,500)</f>
        <v>17500</v>
      </c>
      <c r="T87" s="103">
        <f>S87-R87</f>
        <v>0</v>
      </c>
      <c r="U87" s="12" t="s">
        <v>92</v>
      </c>
      <c r="V87" s="10">
        <v>65</v>
      </c>
      <c r="W87" s="11">
        <v>224.25</v>
      </c>
      <c r="X87" s="11">
        <v>215.25</v>
      </c>
      <c r="Y87" s="13">
        <v>-0.1198</v>
      </c>
      <c r="Z87" s="13">
        <v>0.2802</v>
      </c>
      <c r="AA87" s="10">
        <v>0</v>
      </c>
      <c r="AB87" s="14">
        <v>0</v>
      </c>
      <c r="AC87" s="10">
        <v>-9</v>
      </c>
      <c r="AD87" s="14">
        <v>-5.1354913809336332E-4</v>
      </c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 t="s">
        <v>91</v>
      </c>
    </row>
    <row r="88" spans="1:52" ht="18" hidden="1" customHeight="1" x14ac:dyDescent="0.25">
      <c r="A88" s="4">
        <v>44</v>
      </c>
      <c r="B88" s="4">
        <v>1</v>
      </c>
      <c r="C88" s="4">
        <v>44</v>
      </c>
      <c r="D88" s="85">
        <v>44783</v>
      </c>
      <c r="E88" s="85">
        <v>44789</v>
      </c>
      <c r="F88" s="85">
        <v>44791</v>
      </c>
      <c r="G88" s="5">
        <v>17534.75</v>
      </c>
      <c r="H88" s="5">
        <v>17825.25</v>
      </c>
      <c r="I88" s="5">
        <v>290.5</v>
      </c>
      <c r="J88" s="6">
        <v>1.656710246795649E-2</v>
      </c>
      <c r="K88" s="91">
        <f t="array" ref="K88">MAX(IF((D88&lt;[1]Nifty_D!$B$2:$B$6600)*(E88&gt;=[1]Nifty_D!$B$2:$B$6600),[1]Nifty_D!$F$2:$F$6600,""))</f>
        <v>17825.25</v>
      </c>
      <c r="L88" s="92">
        <f t="shared" si="7"/>
        <v>1.6567102467956563E-2</v>
      </c>
      <c r="M88" s="91">
        <f t="shared" si="8"/>
        <v>6201.35</v>
      </c>
      <c r="N88" s="93">
        <f t="array" ref="N88">INDEX([1]Nifty_D!$B$2:$B$6600,MATCH(E88,[1]Nifty_D!$B$2:$B$6600,0)-1)</f>
        <v>44785</v>
      </c>
      <c r="O88" s="89">
        <f>VLOOKUP(N88,[1]Nifty_D!$B$2:$F$6600,5,0)</f>
        <v>17698.150000000001</v>
      </c>
      <c r="P88" s="92">
        <f t="shared" si="9"/>
        <v>9.3186387031467532E-3</v>
      </c>
      <c r="Q88" s="7" t="s">
        <v>28</v>
      </c>
      <c r="R88" s="4">
        <v>17500</v>
      </c>
      <c r="S88" s="102"/>
      <c r="T88" s="102"/>
      <c r="U88" s="7" t="s">
        <v>90</v>
      </c>
      <c r="V88" s="4">
        <v>65</v>
      </c>
      <c r="W88" s="5">
        <v>194.6</v>
      </c>
      <c r="X88" s="5">
        <v>332.5</v>
      </c>
      <c r="Y88" s="8">
        <v>-0.89019999999999999</v>
      </c>
      <c r="Z88" s="8">
        <v>6.5600000000000006E-2</v>
      </c>
      <c r="AA88" s="5">
        <v>-137.9</v>
      </c>
      <c r="AB88" s="6">
        <v>-7.864383581174526E-3</v>
      </c>
      <c r="AC88" s="4">
        <v>0</v>
      </c>
      <c r="AD88" s="6">
        <v>0</v>
      </c>
      <c r="AE88" s="5">
        <v>30318.9</v>
      </c>
      <c r="AF88" s="5">
        <v>31254.55</v>
      </c>
      <c r="AG88" s="5">
        <v>935.65</v>
      </c>
      <c r="AH88" s="5">
        <v>3.0859999999999999</v>
      </c>
      <c r="AI88" s="4">
        <v>6</v>
      </c>
      <c r="AJ88" s="5">
        <v>-0.1</v>
      </c>
      <c r="AK88" s="5">
        <v>905.33109999999999</v>
      </c>
      <c r="AL88" s="5">
        <v>2.9860000000000002</v>
      </c>
      <c r="AM88" s="8">
        <v>0.64419999999999999</v>
      </c>
      <c r="AN88" s="8">
        <v>3.0409000000000002</v>
      </c>
      <c r="AO88" s="15">
        <v>605.28110000000004</v>
      </c>
      <c r="AP88" s="15">
        <v>1.2747999999999999</v>
      </c>
      <c r="AQ88" s="5">
        <v>101.95480000000001</v>
      </c>
      <c r="AR88" s="5">
        <v>101.95480000000001</v>
      </c>
      <c r="AS88" s="4">
        <v>0</v>
      </c>
      <c r="AT88" s="4">
        <v>0</v>
      </c>
      <c r="AU88" s="8">
        <v>1.1972</v>
      </c>
      <c r="AV88" s="8">
        <v>0.45169999999999999</v>
      </c>
      <c r="AW88" s="8">
        <v>0.45169999999999999</v>
      </c>
      <c r="AX88" s="5">
        <v>101.1262</v>
      </c>
      <c r="AY88" s="5">
        <v>0.33910000000000001</v>
      </c>
      <c r="AZ88" s="7" t="s">
        <v>97</v>
      </c>
    </row>
    <row r="89" spans="1:52" ht="18" customHeight="1" x14ac:dyDescent="0.25">
      <c r="A89" s="10">
        <v>44</v>
      </c>
      <c r="B89" s="10">
        <v>2</v>
      </c>
      <c r="C89" s="10">
        <v>44</v>
      </c>
      <c r="D89" s="86">
        <v>44783</v>
      </c>
      <c r="E89" s="86">
        <v>44789</v>
      </c>
      <c r="F89" s="86">
        <v>44798</v>
      </c>
      <c r="G89" s="11">
        <v>17534.75</v>
      </c>
      <c r="H89" s="11">
        <v>17825.25</v>
      </c>
      <c r="I89" s="12"/>
      <c r="J89" s="12"/>
      <c r="K89" s="91">
        <f t="array" ref="K89">MAX(IF((D89&lt;[1]Nifty_D!$B$2:$B$6600)*(E89&gt;=[1]Nifty_D!$B$2:$B$6600),[1]Nifty_D!$F$2:$F$6600,""))</f>
        <v>17825.25</v>
      </c>
      <c r="L89" s="92">
        <f t="shared" si="7"/>
        <v>1.6567102467956563E-2</v>
      </c>
      <c r="M89" s="91">
        <f t="shared" si="8"/>
        <v>6201.35</v>
      </c>
      <c r="N89" s="93">
        <f t="array" ref="N89">INDEX([1]Nifty_D!$B$2:$B$6600,MATCH(E89,[1]Nifty_D!$B$2:$B$6600,0)-1)</f>
        <v>44785</v>
      </c>
      <c r="O89" s="89">
        <f>VLOOKUP(N89,[1]Nifty_D!$B$2:$F$6600,5,0)</f>
        <v>17698.150000000001</v>
      </c>
      <c r="P89" s="92">
        <f t="shared" si="9"/>
        <v>9.3186387031467532E-3</v>
      </c>
      <c r="Q89" s="12" t="s">
        <v>40</v>
      </c>
      <c r="R89" s="10">
        <v>17500</v>
      </c>
      <c r="S89" s="103">
        <f>MROUND(G89,500)</f>
        <v>17500</v>
      </c>
      <c r="T89" s="103">
        <f>S89-R89</f>
        <v>0</v>
      </c>
      <c r="U89" s="12" t="s">
        <v>92</v>
      </c>
      <c r="V89" s="10">
        <v>65</v>
      </c>
      <c r="W89" s="11">
        <v>215.25</v>
      </c>
      <c r="X89" s="11">
        <v>53.1</v>
      </c>
      <c r="Y89" s="13">
        <v>-0.95350000000000001</v>
      </c>
      <c r="Z89" s="13">
        <v>-0.2581</v>
      </c>
      <c r="AA89" s="10">
        <v>0</v>
      </c>
      <c r="AB89" s="14">
        <v>0</v>
      </c>
      <c r="AC89" s="11">
        <v>-162.15</v>
      </c>
      <c r="AD89" s="14">
        <v>-9.2473516873636634E-3</v>
      </c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 t="s">
        <v>97</v>
      </c>
    </row>
    <row r="90" spans="1:52" ht="18" hidden="1" customHeight="1" x14ac:dyDescent="0.25">
      <c r="A90" s="4">
        <v>45</v>
      </c>
      <c r="B90" s="4">
        <v>1</v>
      </c>
      <c r="C90" s="4">
        <v>45</v>
      </c>
      <c r="D90" s="85">
        <v>44789</v>
      </c>
      <c r="E90" s="85">
        <v>44790</v>
      </c>
      <c r="F90" s="85">
        <v>44791</v>
      </c>
      <c r="G90" s="5">
        <v>17825.25</v>
      </c>
      <c r="H90" s="5">
        <v>17944.25</v>
      </c>
      <c r="I90" s="4">
        <v>119</v>
      </c>
      <c r="J90" s="6">
        <v>6.675923198833116E-3</v>
      </c>
      <c r="K90" s="91">
        <f t="array" ref="K90">MAX(IF((D90&lt;[1]Nifty_D!$B$2:$B$6600)*(E90&gt;=[1]Nifty_D!$B$2:$B$6600),[1]Nifty_D!$F$2:$F$6600,""))</f>
        <v>17944.25</v>
      </c>
      <c r="L90" s="92">
        <f t="shared" si="7"/>
        <v>6.6759231988331447E-3</v>
      </c>
      <c r="M90" s="91">
        <f t="shared" si="8"/>
        <v>6320.35</v>
      </c>
      <c r="N90" s="93">
        <f t="array" ref="N90">INDEX([1]Nifty_D!$B$2:$B$6600,MATCH(E90,[1]Nifty_D!$B$2:$B$6600,0)-1)</f>
        <v>44789</v>
      </c>
      <c r="O90" s="89">
        <f>VLOOKUP(N90,[1]Nifty_D!$B$2:$F$6600,5,0)</f>
        <v>17825.25</v>
      </c>
      <c r="P90" s="92">
        <f t="shared" si="9"/>
        <v>0</v>
      </c>
      <c r="Q90" s="7" t="s">
        <v>28</v>
      </c>
      <c r="R90" s="4">
        <v>17800</v>
      </c>
      <c r="S90" s="102"/>
      <c r="T90" s="102"/>
      <c r="U90" s="7" t="s">
        <v>90</v>
      </c>
      <c r="V90" s="4">
        <v>65</v>
      </c>
      <c r="W90" s="5">
        <v>91.15</v>
      </c>
      <c r="X90" s="5">
        <v>173.85</v>
      </c>
      <c r="Y90" s="8">
        <v>-0.54220000000000002</v>
      </c>
      <c r="Z90" s="8">
        <v>-3.8399999999999997E-2</v>
      </c>
      <c r="AA90" s="5">
        <v>-82.7</v>
      </c>
      <c r="AB90" s="6">
        <v>-4.6394861222142751E-3</v>
      </c>
      <c r="AC90" s="4">
        <v>0</v>
      </c>
      <c r="AD90" s="6">
        <v>0</v>
      </c>
      <c r="AE90" s="5">
        <v>31254.55</v>
      </c>
      <c r="AF90" s="5">
        <v>31401.4</v>
      </c>
      <c r="AG90" s="5">
        <v>146.85</v>
      </c>
      <c r="AH90" s="5">
        <v>0.46989999999999998</v>
      </c>
      <c r="AI90" s="4">
        <v>1</v>
      </c>
      <c r="AJ90" s="5">
        <v>-1.6667000000000001E-2</v>
      </c>
      <c r="AK90" s="5">
        <v>141.64089999999999</v>
      </c>
      <c r="AL90" s="5">
        <v>0.45319999999999999</v>
      </c>
      <c r="AM90" s="8">
        <v>0.25640000000000002</v>
      </c>
      <c r="AN90" s="8">
        <v>0.74119999999999997</v>
      </c>
      <c r="AO90" s="9">
        <v>-21.059100000000001</v>
      </c>
      <c r="AP90" s="9">
        <v>-0.45960000000000001</v>
      </c>
      <c r="AQ90" s="5">
        <v>101.4862</v>
      </c>
      <c r="AR90" s="5">
        <v>101.95480000000001</v>
      </c>
      <c r="AS90" s="5">
        <v>-0.46860000000000002</v>
      </c>
      <c r="AT90" s="5">
        <v>-0.45960000000000001</v>
      </c>
      <c r="AU90" s="8">
        <v>-0.30559999999999998</v>
      </c>
      <c r="AV90" s="8">
        <v>0.1381</v>
      </c>
      <c r="AW90" s="8">
        <v>-0.45960000000000001</v>
      </c>
      <c r="AX90" s="5">
        <v>101.4862</v>
      </c>
      <c r="AY90" s="5">
        <v>-0.45960000000000001</v>
      </c>
      <c r="AZ90" s="7" t="s">
        <v>91</v>
      </c>
    </row>
    <row r="91" spans="1:52" ht="18" customHeight="1" x14ac:dyDescent="0.25">
      <c r="A91" s="10">
        <v>45</v>
      </c>
      <c r="B91" s="10">
        <v>2</v>
      </c>
      <c r="C91" s="10">
        <v>45</v>
      </c>
      <c r="D91" s="86">
        <v>44789</v>
      </c>
      <c r="E91" s="86">
        <v>44790</v>
      </c>
      <c r="F91" s="86">
        <v>44798</v>
      </c>
      <c r="G91" s="11">
        <v>17825.25</v>
      </c>
      <c r="H91" s="11">
        <v>17944.25</v>
      </c>
      <c r="I91" s="12"/>
      <c r="J91" s="12"/>
      <c r="K91" s="91">
        <f t="array" ref="K91">MAX(IF((D91&lt;[1]Nifty_D!$B$2:$B$6600)*(E91&gt;=[1]Nifty_D!$B$2:$B$6600),[1]Nifty_D!$F$2:$F$6600,""))</f>
        <v>17944.25</v>
      </c>
      <c r="L91" s="92">
        <f t="shared" si="7"/>
        <v>6.6759231988331447E-3</v>
      </c>
      <c r="M91" s="91">
        <f t="shared" si="8"/>
        <v>6320.35</v>
      </c>
      <c r="N91" s="93">
        <f t="array" ref="N91">INDEX([1]Nifty_D!$B$2:$B$6600,MATCH(E91,[1]Nifty_D!$B$2:$B$6600,0)-1)</f>
        <v>44789</v>
      </c>
      <c r="O91" s="89">
        <f>VLOOKUP(N91,[1]Nifty_D!$B$2:$F$6600,5,0)</f>
        <v>17825.25</v>
      </c>
      <c r="P91" s="92">
        <f t="shared" si="9"/>
        <v>0</v>
      </c>
      <c r="Q91" s="12" t="s">
        <v>40</v>
      </c>
      <c r="R91" s="10">
        <v>18000</v>
      </c>
      <c r="S91" s="103">
        <f>MROUND(G91,500)</f>
        <v>18000</v>
      </c>
      <c r="T91" s="103">
        <f>S91-R91</f>
        <v>0</v>
      </c>
      <c r="U91" s="12" t="s">
        <v>92</v>
      </c>
      <c r="V91" s="10">
        <v>65</v>
      </c>
      <c r="W91" s="11">
        <v>235.95</v>
      </c>
      <c r="X91" s="11">
        <v>155.94999999999999</v>
      </c>
      <c r="Y91" s="13">
        <v>-0.50460000000000005</v>
      </c>
      <c r="Z91" s="13">
        <v>-7.9899999999999999E-2</v>
      </c>
      <c r="AA91" s="10">
        <v>0</v>
      </c>
      <c r="AB91" s="14">
        <v>0</v>
      </c>
      <c r="AC91" s="10">
        <v>-80</v>
      </c>
      <c r="AD91" s="14">
        <v>-4.4880155958541964E-3</v>
      </c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 t="s">
        <v>91</v>
      </c>
    </row>
    <row r="92" spans="1:52" ht="18" hidden="1" customHeight="1" x14ac:dyDescent="0.25">
      <c r="A92" s="4">
        <v>46</v>
      </c>
      <c r="B92" s="4">
        <v>1</v>
      </c>
      <c r="C92" s="4">
        <v>46</v>
      </c>
      <c r="D92" s="85">
        <v>44790</v>
      </c>
      <c r="E92" s="85">
        <v>44797</v>
      </c>
      <c r="F92" s="85">
        <v>44798</v>
      </c>
      <c r="G92" s="5">
        <v>17944.25</v>
      </c>
      <c r="H92" s="5">
        <v>17604.95</v>
      </c>
      <c r="I92" s="5">
        <v>-339.3</v>
      </c>
      <c r="J92" s="6">
        <v>-1.8908564024687571E-2</v>
      </c>
      <c r="K92" s="91">
        <f t="array" ref="K92">MAX(IF((D92&lt;[1]Nifty_D!$B$2:$B$6600)*(E92&gt;=[1]Nifty_D!$B$2:$B$6600),[1]Nifty_D!$F$2:$F$6600,""))</f>
        <v>17956.5</v>
      </c>
      <c r="L92" s="92">
        <f t="shared" si="7"/>
        <v>6.826699360520383E-4</v>
      </c>
      <c r="M92" s="91">
        <f t="shared" si="8"/>
        <v>6332.6</v>
      </c>
      <c r="N92" s="93">
        <f t="array" ref="N92">INDEX([1]Nifty_D!$B$2:$B$6600,MATCH(E92,[1]Nifty_D!$B$2:$B$6600,0)-1)</f>
        <v>44796</v>
      </c>
      <c r="O92" s="89">
        <f>VLOOKUP(N92,[1]Nifty_D!$B$2:$F$6600,5,0)</f>
        <v>17577.5</v>
      </c>
      <c r="P92" s="92">
        <f t="shared" si="9"/>
        <v>-2.0438301963024319E-2</v>
      </c>
      <c r="Q92" s="7" t="s">
        <v>28</v>
      </c>
      <c r="R92" s="4">
        <v>17900</v>
      </c>
      <c r="S92" s="102"/>
      <c r="T92" s="102"/>
      <c r="U92" s="7" t="s">
        <v>90</v>
      </c>
      <c r="V92" s="4">
        <v>65</v>
      </c>
      <c r="W92" s="5">
        <v>192.05</v>
      </c>
      <c r="X92" s="5">
        <v>3.5</v>
      </c>
      <c r="Y92" s="8">
        <v>5.8999999999999999E-3</v>
      </c>
      <c r="Z92" s="8">
        <v>1.0558000000000001</v>
      </c>
      <c r="AA92" s="5">
        <v>188.55</v>
      </c>
      <c r="AB92" s="6">
        <v>1.050754419939535E-2</v>
      </c>
      <c r="AC92" s="4">
        <v>0</v>
      </c>
      <c r="AD92" s="6">
        <v>0</v>
      </c>
      <c r="AE92" s="5">
        <v>31401.4</v>
      </c>
      <c r="AF92" s="5">
        <v>30960.9</v>
      </c>
      <c r="AG92" s="5">
        <v>-440.5</v>
      </c>
      <c r="AH92" s="5">
        <v>-1.4028</v>
      </c>
      <c r="AI92" s="4">
        <v>7</v>
      </c>
      <c r="AJ92" s="5">
        <v>-0.11666700000000001</v>
      </c>
      <c r="AK92" s="5">
        <v>-477.13499999999999</v>
      </c>
      <c r="AL92" s="5">
        <v>-1.5195000000000001</v>
      </c>
      <c r="AM92" s="8">
        <v>-4.2449000000000003</v>
      </c>
      <c r="AN92" s="8">
        <v>0.57669999999999999</v>
      </c>
      <c r="AO92" s="9">
        <v>-58.634999999999998</v>
      </c>
      <c r="AP92" s="9">
        <v>0.81269999999999998</v>
      </c>
      <c r="AQ92" s="5">
        <v>102.31100000000001</v>
      </c>
      <c r="AR92" s="5">
        <v>102.31100000000001</v>
      </c>
      <c r="AS92" s="4">
        <v>0</v>
      </c>
      <c r="AT92" s="4">
        <v>0</v>
      </c>
      <c r="AU92" s="8">
        <v>0.39340000000000003</v>
      </c>
      <c r="AV92" s="8">
        <v>-0.5958</v>
      </c>
      <c r="AW92" s="8">
        <v>-0.5958</v>
      </c>
      <c r="AX92" s="5">
        <v>100.8815</v>
      </c>
      <c r="AY92" s="5">
        <v>-1.0527</v>
      </c>
      <c r="AZ92" s="7" t="s">
        <v>91</v>
      </c>
    </row>
    <row r="93" spans="1:52" ht="18" customHeight="1" x14ac:dyDescent="0.25">
      <c r="A93" s="10">
        <v>46</v>
      </c>
      <c r="B93" s="10">
        <v>2</v>
      </c>
      <c r="C93" s="10">
        <v>46</v>
      </c>
      <c r="D93" s="86">
        <v>44790</v>
      </c>
      <c r="E93" s="86">
        <v>44797</v>
      </c>
      <c r="F93" s="86">
        <v>44798</v>
      </c>
      <c r="G93" s="11">
        <v>17944.25</v>
      </c>
      <c r="H93" s="11">
        <v>17604.95</v>
      </c>
      <c r="I93" s="12"/>
      <c r="J93" s="12"/>
      <c r="K93" s="91">
        <f t="array" ref="K93">MAX(IF((D93&lt;[1]Nifty_D!$B$2:$B$6600)*(E93&gt;=[1]Nifty_D!$B$2:$B$6600),[1]Nifty_D!$F$2:$F$6600,""))</f>
        <v>17956.5</v>
      </c>
      <c r="L93" s="92">
        <f t="shared" si="7"/>
        <v>6.826699360520383E-4</v>
      </c>
      <c r="M93" s="91">
        <f t="shared" si="8"/>
        <v>6332.6</v>
      </c>
      <c r="N93" s="93">
        <f t="array" ref="N93">INDEX([1]Nifty_D!$B$2:$B$6600,MATCH(E93,[1]Nifty_D!$B$2:$B$6600,0)-1)</f>
        <v>44796</v>
      </c>
      <c r="O93" s="89">
        <f>VLOOKUP(N93,[1]Nifty_D!$B$2:$F$6600,5,0)</f>
        <v>17577.5</v>
      </c>
      <c r="P93" s="92">
        <f t="shared" si="9"/>
        <v>-2.0438301963024319E-2</v>
      </c>
      <c r="Q93" s="12" t="s">
        <v>40</v>
      </c>
      <c r="R93" s="10">
        <v>18000</v>
      </c>
      <c r="S93" s="103">
        <f>MROUND(G93,500)</f>
        <v>18000</v>
      </c>
      <c r="T93" s="103">
        <f>S93-R93</f>
        <v>0</v>
      </c>
      <c r="U93" s="12" t="s">
        <v>92</v>
      </c>
      <c r="V93" s="10">
        <v>65</v>
      </c>
      <c r="W93" s="11">
        <v>155.94999999999999</v>
      </c>
      <c r="X93" s="11">
        <v>385.9</v>
      </c>
      <c r="Y93" s="13">
        <v>-0.18920000000000001</v>
      </c>
      <c r="Z93" s="13">
        <v>2.5933000000000002</v>
      </c>
      <c r="AA93" s="10">
        <v>0</v>
      </c>
      <c r="AB93" s="14">
        <v>0</v>
      </c>
      <c r="AC93" s="11">
        <v>229.95</v>
      </c>
      <c r="AD93" s="14">
        <v>1.281468994246068E-2</v>
      </c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 t="s">
        <v>91</v>
      </c>
    </row>
    <row r="94" spans="1:52" ht="18" hidden="1" customHeight="1" x14ac:dyDescent="0.25">
      <c r="A94" s="4">
        <v>47</v>
      </c>
      <c r="B94" s="4">
        <v>1</v>
      </c>
      <c r="C94" s="4">
        <v>47</v>
      </c>
      <c r="D94" s="85">
        <v>44797</v>
      </c>
      <c r="E94" s="85">
        <v>44803</v>
      </c>
      <c r="F94" s="85">
        <v>44805</v>
      </c>
      <c r="G94" s="5">
        <v>17604.95</v>
      </c>
      <c r="H94" s="5">
        <v>17759.3</v>
      </c>
      <c r="I94" s="5">
        <v>154.35</v>
      </c>
      <c r="J94" s="6">
        <v>8.7674205266132527E-3</v>
      </c>
      <c r="K94" s="91">
        <f t="array" ref="K94">MAX(IF((D94&lt;[1]Nifty_D!$B$2:$B$6600)*(E94&gt;=[1]Nifty_D!$B$2:$B$6600),[1]Nifty_D!$F$2:$F$6600,""))</f>
        <v>17759.3</v>
      </c>
      <c r="L94" s="92">
        <f t="shared" si="7"/>
        <v>8.7674205266132788E-3</v>
      </c>
      <c r="M94" s="91">
        <f t="shared" si="8"/>
        <v>6135.4</v>
      </c>
      <c r="N94" s="93">
        <f t="array" ref="N94">INDEX([1]Nifty_D!$B$2:$B$6600,MATCH(E94,[1]Nifty_D!$B$2:$B$6600,0)-1)</f>
        <v>44802</v>
      </c>
      <c r="O94" s="89">
        <f>VLOOKUP(N94,[1]Nifty_D!$B$2:$F$6600,5,0)</f>
        <v>17312.900000000001</v>
      </c>
      <c r="P94" s="92">
        <f t="shared" si="9"/>
        <v>-1.6589084320034919E-2</v>
      </c>
      <c r="Q94" s="7" t="s">
        <v>28</v>
      </c>
      <c r="R94" s="4">
        <v>17600</v>
      </c>
      <c r="S94" s="102"/>
      <c r="T94" s="102"/>
      <c r="U94" s="7" t="s">
        <v>90</v>
      </c>
      <c r="V94" s="4">
        <v>65</v>
      </c>
      <c r="W94" s="5">
        <v>182.5</v>
      </c>
      <c r="X94" s="5">
        <v>199.75</v>
      </c>
      <c r="Y94" s="8">
        <v>-0.35189999999999999</v>
      </c>
      <c r="Z94" s="8">
        <v>0.95599999999999996</v>
      </c>
      <c r="AA94" s="5">
        <v>-17.25</v>
      </c>
      <c r="AB94" s="6">
        <v>-9.7983805691013027E-4</v>
      </c>
      <c r="AC94" s="4">
        <v>0</v>
      </c>
      <c r="AD94" s="6">
        <v>0</v>
      </c>
      <c r="AE94" s="5">
        <v>30960.9</v>
      </c>
      <c r="AF94" s="5">
        <v>31481.7</v>
      </c>
      <c r="AG94" s="5">
        <v>520.79999999999995</v>
      </c>
      <c r="AH94" s="5">
        <v>1.6820999999999999</v>
      </c>
      <c r="AI94" s="4">
        <v>6</v>
      </c>
      <c r="AJ94" s="5">
        <v>-0.1</v>
      </c>
      <c r="AK94" s="5">
        <v>489.83909999999997</v>
      </c>
      <c r="AL94" s="5">
        <v>1.5821000000000001</v>
      </c>
      <c r="AM94" s="8">
        <v>-2.3875000000000002</v>
      </c>
      <c r="AN94" s="8">
        <v>1.7021999999999999</v>
      </c>
      <c r="AO94" s="15">
        <v>399.28910000000002</v>
      </c>
      <c r="AP94" s="15">
        <v>1.0678000000000001</v>
      </c>
      <c r="AQ94" s="5">
        <v>103.4034</v>
      </c>
      <c r="AR94" s="5">
        <v>103.4034</v>
      </c>
      <c r="AS94" s="4">
        <v>0</v>
      </c>
      <c r="AT94" s="4">
        <v>0</v>
      </c>
      <c r="AU94" s="8">
        <v>0.89049999999999996</v>
      </c>
      <c r="AV94" s="8">
        <v>-0.23069999999999999</v>
      </c>
      <c r="AW94" s="8">
        <v>-0.23069999999999999</v>
      </c>
      <c r="AX94" s="5">
        <v>102.0749</v>
      </c>
      <c r="AY94" s="5">
        <v>-0.23069999999999999</v>
      </c>
      <c r="AZ94" s="7" t="s">
        <v>91</v>
      </c>
    </row>
    <row r="95" spans="1:52" ht="18" customHeight="1" x14ac:dyDescent="0.25">
      <c r="A95" s="10">
        <v>47</v>
      </c>
      <c r="B95" s="10">
        <v>2</v>
      </c>
      <c r="C95" s="10">
        <v>47</v>
      </c>
      <c r="D95" s="86">
        <v>44797</v>
      </c>
      <c r="E95" s="86">
        <v>44803</v>
      </c>
      <c r="F95" s="86">
        <v>44833</v>
      </c>
      <c r="G95" s="11">
        <v>17604.95</v>
      </c>
      <c r="H95" s="11">
        <v>17759.3</v>
      </c>
      <c r="I95" s="12"/>
      <c r="J95" s="12"/>
      <c r="K95" s="91">
        <f t="array" ref="K95">MAX(IF((D95&lt;[1]Nifty_D!$B$2:$B$6600)*(E95&gt;=[1]Nifty_D!$B$2:$B$6600),[1]Nifty_D!$F$2:$F$6600,""))</f>
        <v>17759.3</v>
      </c>
      <c r="L95" s="92">
        <f t="shared" si="7"/>
        <v>8.7674205266132788E-3</v>
      </c>
      <c r="M95" s="91">
        <f t="shared" si="8"/>
        <v>6135.4</v>
      </c>
      <c r="N95" s="93">
        <f t="array" ref="N95">INDEX([1]Nifty_D!$B$2:$B$6600,MATCH(E95,[1]Nifty_D!$B$2:$B$6600,0)-1)</f>
        <v>44802</v>
      </c>
      <c r="O95" s="89">
        <f>VLOOKUP(N95,[1]Nifty_D!$B$2:$F$6600,5,0)</f>
        <v>17312.900000000001</v>
      </c>
      <c r="P95" s="92">
        <f t="shared" si="9"/>
        <v>-1.6589084320034919E-2</v>
      </c>
      <c r="Q95" s="12" t="s">
        <v>40</v>
      </c>
      <c r="R95" s="10">
        <v>17500</v>
      </c>
      <c r="S95" s="103">
        <f>MROUND(G95,500)</f>
        <v>17500</v>
      </c>
      <c r="T95" s="103">
        <f>S95-R95</f>
        <v>0</v>
      </c>
      <c r="U95" s="12" t="s">
        <v>92</v>
      </c>
      <c r="V95" s="10">
        <v>65</v>
      </c>
      <c r="W95" s="11">
        <v>276.55</v>
      </c>
      <c r="X95" s="11">
        <v>203.25</v>
      </c>
      <c r="Y95" s="13">
        <v>-0.45979999999999999</v>
      </c>
      <c r="Z95" s="13">
        <v>1.2008000000000001</v>
      </c>
      <c r="AA95" s="10">
        <v>0</v>
      </c>
      <c r="AB95" s="14">
        <v>0</v>
      </c>
      <c r="AC95" s="11">
        <v>-73.3</v>
      </c>
      <c r="AD95" s="14">
        <v>-4.1636017142905827E-3</v>
      </c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 t="s">
        <v>91</v>
      </c>
    </row>
    <row r="96" spans="1:52" ht="18" hidden="1" customHeight="1" x14ac:dyDescent="0.25">
      <c r="A96" s="4">
        <v>48</v>
      </c>
      <c r="B96" s="4">
        <v>1</v>
      </c>
      <c r="C96" s="4">
        <v>48</v>
      </c>
      <c r="D96" s="85">
        <v>44803</v>
      </c>
      <c r="E96" s="85">
        <v>44811</v>
      </c>
      <c r="F96" s="85">
        <v>44812</v>
      </c>
      <c r="G96" s="5">
        <v>17759.3</v>
      </c>
      <c r="H96" s="5">
        <v>17624.400000000001</v>
      </c>
      <c r="I96" s="5">
        <v>-134.9</v>
      </c>
      <c r="J96" s="6">
        <v>-7.5960201134053712E-3</v>
      </c>
      <c r="K96" s="91">
        <f t="array" ref="K96">MAX(IF((D96&lt;[1]Nifty_D!$B$2:$B$6600)*(E96&gt;=[1]Nifty_D!$B$2:$B$6600),[1]Nifty_D!$F$2:$F$6600,""))</f>
        <v>17665.8</v>
      </c>
      <c r="L96" s="92">
        <f t="shared" si="7"/>
        <v>-5.2648471505070127E-3</v>
      </c>
      <c r="M96" s="91">
        <f t="shared" si="8"/>
        <v>6041.9</v>
      </c>
      <c r="N96" s="93">
        <f t="array" ref="N96">INDEX([1]Nifty_D!$B$2:$B$6600,MATCH(E96,[1]Nifty_D!$B$2:$B$6600,0)-1)</f>
        <v>44810</v>
      </c>
      <c r="O96" s="89">
        <f>VLOOKUP(N96,[1]Nifty_D!$B$2:$F$6600,5,0)</f>
        <v>17655.599999999999</v>
      </c>
      <c r="P96" s="92">
        <f t="shared" si="9"/>
        <v>-5.8391941123805413E-3</v>
      </c>
      <c r="Q96" s="7" t="s">
        <v>28</v>
      </c>
      <c r="R96" s="4">
        <v>17800</v>
      </c>
      <c r="S96" s="102"/>
      <c r="T96" s="102"/>
      <c r="U96" s="7" t="s">
        <v>90</v>
      </c>
      <c r="V96" s="4">
        <v>65</v>
      </c>
      <c r="W96" s="5">
        <v>169.25</v>
      </c>
      <c r="X96" s="5">
        <v>18.649999999999999</v>
      </c>
      <c r="Y96" s="8">
        <v>0.19120000000000001</v>
      </c>
      <c r="Z96" s="8">
        <v>0.88380000000000003</v>
      </c>
      <c r="AA96" s="5">
        <v>150.6</v>
      </c>
      <c r="AB96" s="6">
        <v>8.4800639664851657E-3</v>
      </c>
      <c r="AC96" s="4">
        <v>0</v>
      </c>
      <c r="AD96" s="6">
        <v>0</v>
      </c>
      <c r="AE96" s="5">
        <v>31481.7</v>
      </c>
      <c r="AF96" s="5">
        <v>31865.55</v>
      </c>
      <c r="AG96" s="5">
        <v>383.85</v>
      </c>
      <c r="AH96" s="5">
        <v>1.2193000000000001</v>
      </c>
      <c r="AI96" s="4">
        <v>8</v>
      </c>
      <c r="AJ96" s="5">
        <v>-0.13333300000000001</v>
      </c>
      <c r="AK96" s="5">
        <v>341.87439999999998</v>
      </c>
      <c r="AL96" s="5">
        <v>1.0859000000000001</v>
      </c>
      <c r="AM96" s="8">
        <v>-0.85670000000000002</v>
      </c>
      <c r="AN96" s="8">
        <v>1.1739999999999999</v>
      </c>
      <c r="AO96" s="15">
        <v>533.12440000000004</v>
      </c>
      <c r="AP96" s="15">
        <v>2.1627999999999998</v>
      </c>
      <c r="AQ96" s="5">
        <v>105.6399</v>
      </c>
      <c r="AR96" s="5">
        <v>105.6399</v>
      </c>
      <c r="AS96" s="4">
        <v>0</v>
      </c>
      <c r="AT96" s="4">
        <v>0</v>
      </c>
      <c r="AU96" s="8">
        <v>1.3767</v>
      </c>
      <c r="AV96" s="8">
        <v>0.96489999999999998</v>
      </c>
      <c r="AW96" s="8">
        <v>0.96489999999999998</v>
      </c>
      <c r="AX96" s="5">
        <v>104.4012</v>
      </c>
      <c r="AY96" s="5">
        <v>0.96489999999999998</v>
      </c>
      <c r="AZ96" s="7" t="s">
        <v>91</v>
      </c>
    </row>
    <row r="97" spans="1:52" ht="18" customHeight="1" x14ac:dyDescent="0.25">
      <c r="A97" s="10">
        <v>48</v>
      </c>
      <c r="B97" s="10">
        <v>2</v>
      </c>
      <c r="C97" s="10">
        <v>48</v>
      </c>
      <c r="D97" s="86">
        <v>44803</v>
      </c>
      <c r="E97" s="86">
        <v>44811</v>
      </c>
      <c r="F97" s="86">
        <v>44833</v>
      </c>
      <c r="G97" s="11">
        <v>17759.3</v>
      </c>
      <c r="H97" s="11">
        <v>17624.400000000001</v>
      </c>
      <c r="I97" s="12"/>
      <c r="J97" s="12"/>
      <c r="K97" s="91">
        <f t="array" ref="K97">MAX(IF((D97&lt;[1]Nifty_D!$B$2:$B$6600)*(E97&gt;=[1]Nifty_D!$B$2:$B$6600),[1]Nifty_D!$F$2:$F$6600,""))</f>
        <v>17665.8</v>
      </c>
      <c r="L97" s="92">
        <f t="shared" si="7"/>
        <v>-5.2648471505070127E-3</v>
      </c>
      <c r="M97" s="91">
        <f t="shared" si="8"/>
        <v>6041.9</v>
      </c>
      <c r="N97" s="93">
        <f t="array" ref="N97">INDEX([1]Nifty_D!$B$2:$B$6600,MATCH(E97,[1]Nifty_D!$B$2:$B$6600,0)-1)</f>
        <v>44810</v>
      </c>
      <c r="O97" s="89">
        <f>VLOOKUP(N97,[1]Nifty_D!$B$2:$F$6600,5,0)</f>
        <v>17655.599999999999</v>
      </c>
      <c r="P97" s="92">
        <f t="shared" si="9"/>
        <v>-5.8391941123805413E-3</v>
      </c>
      <c r="Q97" s="12" t="s">
        <v>40</v>
      </c>
      <c r="R97" s="10">
        <v>17500</v>
      </c>
      <c r="S97" s="103">
        <f>MROUND(G97,500)</f>
        <v>18000</v>
      </c>
      <c r="T97" s="103">
        <f>S97-R97</f>
        <v>500</v>
      </c>
      <c r="U97" s="12" t="s">
        <v>92</v>
      </c>
      <c r="V97" s="10">
        <v>65</v>
      </c>
      <c r="W97" s="11">
        <v>203.25</v>
      </c>
      <c r="X97" s="11">
        <v>243.9</v>
      </c>
      <c r="Y97" s="13">
        <v>1.15E-2</v>
      </c>
      <c r="Z97" s="13">
        <v>0.93779999999999997</v>
      </c>
      <c r="AA97" s="10">
        <v>0</v>
      </c>
      <c r="AB97" s="14">
        <v>0</v>
      </c>
      <c r="AC97" s="11">
        <v>40.65</v>
      </c>
      <c r="AD97" s="14">
        <v>2.288941568642908E-3</v>
      </c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 t="s">
        <v>91</v>
      </c>
    </row>
    <row r="98" spans="1:52" ht="18" hidden="1" customHeight="1" x14ac:dyDescent="0.25">
      <c r="A98" s="4">
        <v>49</v>
      </c>
      <c r="B98" s="4">
        <v>1</v>
      </c>
      <c r="C98" s="4">
        <v>49</v>
      </c>
      <c r="D98" s="85">
        <v>44811</v>
      </c>
      <c r="E98" s="85">
        <v>44812</v>
      </c>
      <c r="F98" s="85">
        <v>44819</v>
      </c>
      <c r="G98" s="5">
        <v>17624.400000000001</v>
      </c>
      <c r="H98" s="5">
        <v>17798.75</v>
      </c>
      <c r="I98" s="5">
        <v>174.35</v>
      </c>
      <c r="J98" s="6">
        <v>9.8925353487210894E-3</v>
      </c>
      <c r="K98" s="91">
        <f t="array" ref="K98">MAX(IF((D98&lt;[1]Nifty_D!$B$2:$B$6600)*(E98&gt;=[1]Nifty_D!$B$2:$B$6600),[1]Nifty_D!$F$2:$F$6600,""))</f>
        <v>17798.75</v>
      </c>
      <c r="L98" s="92">
        <f t="shared" si="7"/>
        <v>9.8925353487209211E-3</v>
      </c>
      <c r="M98" s="91">
        <f t="shared" si="8"/>
        <v>6174.85</v>
      </c>
      <c r="N98" s="93">
        <f t="array" ref="N98">INDEX([1]Nifty_D!$B$2:$B$6600,MATCH(E98,[1]Nifty_D!$B$2:$B$6600,0)-1)</f>
        <v>44811</v>
      </c>
      <c r="O98" s="89">
        <f>VLOOKUP(N98,[1]Nifty_D!$B$2:$F$6600,5,0)</f>
        <v>17624.400000000001</v>
      </c>
      <c r="P98" s="92">
        <f t="shared" si="9"/>
        <v>0</v>
      </c>
      <c r="Q98" s="7" t="s">
        <v>28</v>
      </c>
      <c r="R98" s="4">
        <v>17600</v>
      </c>
      <c r="S98" s="102"/>
      <c r="T98" s="102"/>
      <c r="U98" s="7" t="s">
        <v>90</v>
      </c>
      <c r="V98" s="4">
        <v>65</v>
      </c>
      <c r="W98" s="5">
        <v>201.95</v>
      </c>
      <c r="X98" s="5">
        <v>284.39999999999998</v>
      </c>
      <c r="Y98" s="8">
        <v>-0.51659999999999995</v>
      </c>
      <c r="Z98" s="8">
        <v>-8.3099999999999993E-2</v>
      </c>
      <c r="AA98" s="5">
        <v>-82.45</v>
      </c>
      <c r="AB98" s="6">
        <v>-4.6781734413653799E-3</v>
      </c>
      <c r="AC98" s="4">
        <v>0</v>
      </c>
      <c r="AD98" s="6">
        <v>0</v>
      </c>
      <c r="AE98" s="5">
        <v>31865.55</v>
      </c>
      <c r="AF98" s="5">
        <v>31923.05</v>
      </c>
      <c r="AG98" s="5">
        <v>57.5</v>
      </c>
      <c r="AH98" s="5">
        <v>0.1804</v>
      </c>
      <c r="AI98" s="4">
        <v>1</v>
      </c>
      <c r="AJ98" s="5">
        <v>-1.6667000000000001E-2</v>
      </c>
      <c r="AK98" s="5">
        <v>52.189100000000003</v>
      </c>
      <c r="AL98" s="5">
        <v>0.1638</v>
      </c>
      <c r="AM98" s="8">
        <v>-4.82E-2</v>
      </c>
      <c r="AN98" s="8">
        <v>0.90239999999999998</v>
      </c>
      <c r="AO98" s="9">
        <v>-112.3609</v>
      </c>
      <c r="AP98" s="9">
        <v>-0.76980000000000004</v>
      </c>
      <c r="AQ98" s="5">
        <v>104.8266</v>
      </c>
      <c r="AR98" s="5">
        <v>105.6399</v>
      </c>
      <c r="AS98" s="5">
        <v>-0.81320000000000003</v>
      </c>
      <c r="AT98" s="5">
        <v>-0.76980000000000004</v>
      </c>
      <c r="AU98" s="8">
        <v>-0.1016</v>
      </c>
      <c r="AV98" s="8">
        <v>-0.2888</v>
      </c>
      <c r="AW98" s="8">
        <v>-0.76980000000000004</v>
      </c>
      <c r="AX98" s="5">
        <v>104.8266</v>
      </c>
      <c r="AY98" s="5">
        <v>-0.76980000000000004</v>
      </c>
      <c r="AZ98" s="7" t="s">
        <v>96</v>
      </c>
    </row>
    <row r="99" spans="1:52" ht="18" customHeight="1" x14ac:dyDescent="0.25">
      <c r="A99" s="10">
        <v>49</v>
      </c>
      <c r="B99" s="10">
        <v>2</v>
      </c>
      <c r="C99" s="10">
        <v>49</v>
      </c>
      <c r="D99" s="86">
        <v>44811</v>
      </c>
      <c r="E99" s="86">
        <v>44812</v>
      </c>
      <c r="F99" s="86">
        <v>44833</v>
      </c>
      <c r="G99" s="11">
        <v>17624.400000000001</v>
      </c>
      <c r="H99" s="11">
        <v>17798.75</v>
      </c>
      <c r="I99" s="12"/>
      <c r="J99" s="12"/>
      <c r="K99" s="91">
        <f t="array" ref="K99">MAX(IF((D99&lt;[1]Nifty_D!$B$2:$B$6600)*(E99&gt;=[1]Nifty_D!$B$2:$B$6600),[1]Nifty_D!$F$2:$F$6600,""))</f>
        <v>17798.75</v>
      </c>
      <c r="L99" s="92">
        <f t="shared" si="7"/>
        <v>9.8925353487209211E-3</v>
      </c>
      <c r="M99" s="91">
        <f t="shared" si="8"/>
        <v>6174.85</v>
      </c>
      <c r="N99" s="93">
        <f t="array" ref="N99">INDEX([1]Nifty_D!$B$2:$B$6600,MATCH(E99,[1]Nifty_D!$B$2:$B$6600,0)-1)</f>
        <v>44811</v>
      </c>
      <c r="O99" s="89">
        <f>VLOOKUP(N99,[1]Nifty_D!$B$2:$F$6600,5,0)</f>
        <v>17624.400000000001</v>
      </c>
      <c r="P99" s="92">
        <f t="shared" si="9"/>
        <v>0</v>
      </c>
      <c r="Q99" s="12" t="s">
        <v>40</v>
      </c>
      <c r="R99" s="10">
        <v>17500</v>
      </c>
      <c r="S99" s="103">
        <f>MROUND(G99,500)</f>
        <v>17500</v>
      </c>
      <c r="T99" s="103">
        <f>S99-R99</f>
        <v>0</v>
      </c>
      <c r="U99" s="12" t="s">
        <v>92</v>
      </c>
      <c r="V99" s="10">
        <v>65</v>
      </c>
      <c r="W99" s="11">
        <v>243.9</v>
      </c>
      <c r="X99" s="11">
        <v>161.80000000000001</v>
      </c>
      <c r="Y99" s="13">
        <v>-0.4874</v>
      </c>
      <c r="Z99" s="13">
        <v>-0.1575</v>
      </c>
      <c r="AA99" s="10">
        <v>0</v>
      </c>
      <c r="AB99" s="14">
        <v>0</v>
      </c>
      <c r="AC99" s="11">
        <v>-82.1</v>
      </c>
      <c r="AD99" s="14">
        <v>-4.6583146092916633E-3</v>
      </c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 t="s">
        <v>96</v>
      </c>
    </row>
    <row r="100" spans="1:52" ht="18" hidden="1" customHeight="1" x14ac:dyDescent="0.25">
      <c r="A100" s="4">
        <v>50</v>
      </c>
      <c r="B100" s="4">
        <v>1</v>
      </c>
      <c r="C100" s="4">
        <v>50</v>
      </c>
      <c r="D100" s="85">
        <v>44812</v>
      </c>
      <c r="E100" s="85">
        <v>44817</v>
      </c>
      <c r="F100" s="85">
        <v>44819</v>
      </c>
      <c r="G100" s="5">
        <v>17798.75</v>
      </c>
      <c r="H100" s="5">
        <v>18070.05</v>
      </c>
      <c r="I100" s="5">
        <v>271.3</v>
      </c>
      <c r="J100" s="6">
        <v>1.5242643444062081E-2</v>
      </c>
      <c r="K100" s="91">
        <f t="array" ref="K100">MAX(IF((D100&lt;[1]Nifty_D!$B$2:$B$6600)*(E100&gt;=[1]Nifty_D!$B$2:$B$6600),[1]Nifty_D!$F$2:$F$6600,""))</f>
        <v>18070.05</v>
      </c>
      <c r="L100" s="92">
        <f t="shared" si="7"/>
        <v>1.524264344406201E-2</v>
      </c>
      <c r="M100" s="91">
        <f t="shared" si="8"/>
        <v>6446.15</v>
      </c>
      <c r="N100" s="93">
        <f t="array" ref="N100">INDEX([1]Nifty_D!$B$2:$B$6600,MATCH(E100,[1]Nifty_D!$B$2:$B$6600,0)-1)</f>
        <v>44816</v>
      </c>
      <c r="O100" s="89">
        <f>VLOOKUP(N100,[1]Nifty_D!$B$2:$F$6600,5,0)</f>
        <v>17936.349999999999</v>
      </c>
      <c r="P100" s="92">
        <f t="shared" si="9"/>
        <v>7.730879977526417E-3</v>
      </c>
      <c r="Q100" s="7" t="s">
        <v>28</v>
      </c>
      <c r="R100" s="4">
        <v>17800</v>
      </c>
      <c r="S100" s="102"/>
      <c r="T100" s="102"/>
      <c r="U100" s="7" t="s">
        <v>90</v>
      </c>
      <c r="V100" s="4">
        <v>65</v>
      </c>
      <c r="W100" s="5">
        <v>157.75</v>
      </c>
      <c r="X100" s="4">
        <v>303</v>
      </c>
      <c r="Y100" s="8">
        <v>-0.87960000000000005</v>
      </c>
      <c r="Z100" s="8">
        <v>9.4100000000000003E-2</v>
      </c>
      <c r="AA100" s="5">
        <v>-145.25</v>
      </c>
      <c r="AB100" s="6">
        <v>-8.1606854413933567E-3</v>
      </c>
      <c r="AC100" s="4">
        <v>0</v>
      </c>
      <c r="AD100" s="6">
        <v>0</v>
      </c>
      <c r="AE100" s="5">
        <v>31923.05</v>
      </c>
      <c r="AF100" s="5">
        <v>32398.75</v>
      </c>
      <c r="AG100" s="5">
        <v>475.7</v>
      </c>
      <c r="AH100" s="5">
        <v>1.4901</v>
      </c>
      <c r="AI100" s="4">
        <v>5</v>
      </c>
      <c r="AJ100" s="5">
        <v>-8.3333000000000004E-2</v>
      </c>
      <c r="AK100" s="5">
        <v>449.09750000000003</v>
      </c>
      <c r="AL100" s="5">
        <v>1.4068000000000001</v>
      </c>
      <c r="AM100" s="8">
        <v>-3.8E-3</v>
      </c>
      <c r="AN100" s="8">
        <v>2.0457000000000001</v>
      </c>
      <c r="AO100" s="15">
        <v>130.8475</v>
      </c>
      <c r="AP100" s="15">
        <v>-0.38119999999999998</v>
      </c>
      <c r="AQ100" s="5">
        <v>104.42700000000001</v>
      </c>
      <c r="AR100" s="5">
        <v>105.6399</v>
      </c>
      <c r="AS100" s="5">
        <v>-1.2128000000000001</v>
      </c>
      <c r="AT100" s="5">
        <v>-1.1480999999999999</v>
      </c>
      <c r="AU100" s="8">
        <v>0.1646</v>
      </c>
      <c r="AV100" s="8">
        <v>0.1285</v>
      </c>
      <c r="AW100" s="8">
        <v>-0.38119999999999998</v>
      </c>
      <c r="AX100" s="5">
        <v>104.42700000000001</v>
      </c>
      <c r="AY100" s="5">
        <v>-1.1480999999999999</v>
      </c>
      <c r="AZ100" s="7" t="s">
        <v>97</v>
      </c>
    </row>
    <row r="101" spans="1:52" ht="18" customHeight="1" x14ac:dyDescent="0.25">
      <c r="A101" s="10">
        <v>50</v>
      </c>
      <c r="B101" s="10">
        <v>2</v>
      </c>
      <c r="C101" s="10">
        <v>50</v>
      </c>
      <c r="D101" s="86">
        <v>44812</v>
      </c>
      <c r="E101" s="86">
        <v>44817</v>
      </c>
      <c r="F101" s="86">
        <v>44833</v>
      </c>
      <c r="G101" s="11">
        <v>17798.75</v>
      </c>
      <c r="H101" s="11">
        <v>18070.05</v>
      </c>
      <c r="I101" s="12"/>
      <c r="J101" s="12"/>
      <c r="K101" s="91">
        <f t="array" ref="K101">MAX(IF((D101&lt;[1]Nifty_D!$B$2:$B$6600)*(E101&gt;=[1]Nifty_D!$B$2:$B$6600),[1]Nifty_D!$F$2:$F$6600,""))</f>
        <v>18070.05</v>
      </c>
      <c r="L101" s="92">
        <f t="shared" si="7"/>
        <v>1.524264344406201E-2</v>
      </c>
      <c r="M101" s="91">
        <f t="shared" si="8"/>
        <v>6446.15</v>
      </c>
      <c r="N101" s="93">
        <f t="array" ref="N101">INDEX([1]Nifty_D!$B$2:$B$6600,MATCH(E101,[1]Nifty_D!$B$2:$B$6600,0)-1)</f>
        <v>44816</v>
      </c>
      <c r="O101" s="89">
        <f>VLOOKUP(N101,[1]Nifty_D!$B$2:$F$6600,5,0)</f>
        <v>17936.349999999999</v>
      </c>
      <c r="P101" s="92">
        <f t="shared" si="9"/>
        <v>7.730879977526417E-3</v>
      </c>
      <c r="Q101" s="12" t="s">
        <v>40</v>
      </c>
      <c r="R101" s="10">
        <v>18000</v>
      </c>
      <c r="S101" s="103">
        <f>MROUND(G101,500)</f>
        <v>18000</v>
      </c>
      <c r="T101" s="103">
        <f>S101-R101</f>
        <v>0</v>
      </c>
      <c r="U101" s="12" t="s">
        <v>92</v>
      </c>
      <c r="V101" s="10">
        <v>65</v>
      </c>
      <c r="W101" s="11">
        <v>366.25</v>
      </c>
      <c r="X101" s="11">
        <v>193.25</v>
      </c>
      <c r="Y101" s="13">
        <v>-1.0015000000000001</v>
      </c>
      <c r="Z101" s="13">
        <v>3.8199999999999998E-2</v>
      </c>
      <c r="AA101" s="10">
        <v>0</v>
      </c>
      <c r="AB101" s="14">
        <v>0</v>
      </c>
      <c r="AC101" s="10">
        <v>-173</v>
      </c>
      <c r="AD101" s="14">
        <v>-9.7197836926750467E-3</v>
      </c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 t="s">
        <v>97</v>
      </c>
    </row>
    <row r="102" spans="1:52" ht="18" hidden="1" customHeight="1" x14ac:dyDescent="0.25">
      <c r="A102" s="4">
        <v>51</v>
      </c>
      <c r="B102" s="4">
        <v>1</v>
      </c>
      <c r="C102" s="4">
        <v>51</v>
      </c>
      <c r="D102" s="85">
        <v>44817</v>
      </c>
      <c r="E102" s="85">
        <v>44818</v>
      </c>
      <c r="F102" s="85">
        <v>44819</v>
      </c>
      <c r="G102" s="5">
        <v>18070.05</v>
      </c>
      <c r="H102" s="5">
        <v>18003.75</v>
      </c>
      <c r="I102" s="5">
        <v>-66.3</v>
      </c>
      <c r="J102" s="6">
        <v>-3.669054595864427E-3</v>
      </c>
      <c r="K102" s="91">
        <f t="array" ref="K102">MAX(IF((D102&lt;[1]Nifty_D!$B$2:$B$6600)*(E102&gt;=[1]Nifty_D!$B$2:$B$6600),[1]Nifty_D!$F$2:$F$6600,""))</f>
        <v>18003.75</v>
      </c>
      <c r="L102" s="92">
        <f t="shared" si="7"/>
        <v>-3.6690545958644183E-3</v>
      </c>
      <c r="M102" s="91">
        <f t="shared" si="8"/>
        <v>6379.85</v>
      </c>
      <c r="N102" s="93">
        <f t="array" ref="N102">INDEX([1]Nifty_D!$B$2:$B$6600,MATCH(E102,[1]Nifty_D!$B$2:$B$6600,0)-1)</f>
        <v>44817</v>
      </c>
      <c r="O102" s="89">
        <f>VLOOKUP(N102,[1]Nifty_D!$B$2:$F$6600,5,0)</f>
        <v>18070.05</v>
      </c>
      <c r="P102" s="92">
        <f t="shared" si="9"/>
        <v>0</v>
      </c>
      <c r="Q102" s="7" t="s">
        <v>28</v>
      </c>
      <c r="R102" s="4">
        <v>18100</v>
      </c>
      <c r="S102" s="102"/>
      <c r="T102" s="102"/>
      <c r="U102" s="7" t="s">
        <v>90</v>
      </c>
      <c r="V102" s="4">
        <v>65</v>
      </c>
      <c r="W102" s="5">
        <v>84.45</v>
      </c>
      <c r="X102" s="5">
        <v>41.2</v>
      </c>
      <c r="Y102" s="8">
        <v>6.6699999999999995E-2</v>
      </c>
      <c r="Z102" s="8">
        <v>0.42530000000000001</v>
      </c>
      <c r="AA102" s="5">
        <v>43.25</v>
      </c>
      <c r="AB102" s="6">
        <v>2.3934632167592232E-3</v>
      </c>
      <c r="AC102" s="4">
        <v>0</v>
      </c>
      <c r="AD102" s="6">
        <v>0</v>
      </c>
      <c r="AE102" s="5">
        <v>32398.75</v>
      </c>
      <c r="AF102" s="5">
        <v>32291.75</v>
      </c>
      <c r="AG102" s="4">
        <v>-107</v>
      </c>
      <c r="AH102" s="5">
        <v>-0.33029999999999998</v>
      </c>
      <c r="AI102" s="4">
        <v>1</v>
      </c>
      <c r="AJ102" s="5">
        <v>-1.6667000000000001E-2</v>
      </c>
      <c r="AK102" s="5">
        <v>-112.3998</v>
      </c>
      <c r="AL102" s="5">
        <v>-0.34689999999999999</v>
      </c>
      <c r="AM102" s="8">
        <v>-1.4676</v>
      </c>
      <c r="AN102" s="8">
        <v>-5.3900000000000003E-2</v>
      </c>
      <c r="AO102" s="9">
        <v>-24.849799999999998</v>
      </c>
      <c r="AP102" s="9">
        <v>0.1376</v>
      </c>
      <c r="AQ102" s="5">
        <v>104.5707</v>
      </c>
      <c r="AR102" s="5">
        <v>105.6399</v>
      </c>
      <c r="AS102" s="5">
        <v>-1.0690999999999999</v>
      </c>
      <c r="AT102" s="5">
        <v>-1.012</v>
      </c>
      <c r="AU102" s="8">
        <v>3.3599999999999998E-2</v>
      </c>
      <c r="AV102" s="8">
        <v>-0.18179999999999999</v>
      </c>
      <c r="AW102" s="8">
        <v>-0.18179999999999999</v>
      </c>
      <c r="AX102" s="5">
        <v>104.2372</v>
      </c>
      <c r="AY102" s="5">
        <v>-1.3278000000000001</v>
      </c>
      <c r="AZ102" s="7" t="s">
        <v>91</v>
      </c>
    </row>
    <row r="103" spans="1:52" ht="18" customHeight="1" x14ac:dyDescent="0.25">
      <c r="A103" s="10">
        <v>51</v>
      </c>
      <c r="B103" s="10">
        <v>2</v>
      </c>
      <c r="C103" s="10">
        <v>51</v>
      </c>
      <c r="D103" s="86">
        <v>44817</v>
      </c>
      <c r="E103" s="86">
        <v>44818</v>
      </c>
      <c r="F103" s="86">
        <v>44833</v>
      </c>
      <c r="G103" s="11">
        <v>18070.05</v>
      </c>
      <c r="H103" s="11">
        <v>18003.75</v>
      </c>
      <c r="I103" s="12"/>
      <c r="J103" s="12"/>
      <c r="K103" s="91">
        <f t="array" ref="K103">MAX(IF((D103&lt;[1]Nifty_D!$B$2:$B$6600)*(E103&gt;=[1]Nifty_D!$B$2:$B$6600),[1]Nifty_D!$F$2:$F$6600,""))</f>
        <v>18003.75</v>
      </c>
      <c r="L103" s="92">
        <f t="shared" si="7"/>
        <v>-3.6690545958644183E-3</v>
      </c>
      <c r="M103" s="91">
        <f t="shared" si="8"/>
        <v>6379.85</v>
      </c>
      <c r="N103" s="93">
        <f t="array" ref="N103">INDEX([1]Nifty_D!$B$2:$B$6600,MATCH(E103,[1]Nifty_D!$B$2:$B$6600,0)-1)</f>
        <v>44817</v>
      </c>
      <c r="O103" s="89">
        <f>VLOOKUP(N103,[1]Nifty_D!$B$2:$F$6600,5,0)</f>
        <v>18070.05</v>
      </c>
      <c r="P103" s="92">
        <f t="shared" si="9"/>
        <v>0</v>
      </c>
      <c r="Q103" s="12" t="s">
        <v>40</v>
      </c>
      <c r="R103" s="10">
        <v>18000</v>
      </c>
      <c r="S103" s="103">
        <f>MROUND(G103,500)</f>
        <v>18000</v>
      </c>
      <c r="T103" s="103">
        <f>S103-R103</f>
        <v>0</v>
      </c>
      <c r="U103" s="12" t="s">
        <v>92</v>
      </c>
      <c r="V103" s="10">
        <v>65</v>
      </c>
      <c r="W103" s="11">
        <v>193.25</v>
      </c>
      <c r="X103" s="11">
        <v>237.55</v>
      </c>
      <c r="Y103" s="13">
        <v>2.0799999999999999E-2</v>
      </c>
      <c r="Z103" s="13">
        <v>0.86050000000000004</v>
      </c>
      <c r="AA103" s="10">
        <v>0</v>
      </c>
      <c r="AB103" s="14">
        <v>0</v>
      </c>
      <c r="AC103" s="11">
        <v>44.3</v>
      </c>
      <c r="AD103" s="14">
        <v>2.4515704162412391E-3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 t="s">
        <v>91</v>
      </c>
    </row>
    <row r="104" spans="1:52" ht="18" hidden="1" customHeight="1" x14ac:dyDescent="0.25">
      <c r="A104" s="4">
        <v>52</v>
      </c>
      <c r="B104" s="4">
        <v>1</v>
      </c>
      <c r="C104" s="4">
        <v>52</v>
      </c>
      <c r="D104" s="85">
        <v>44818</v>
      </c>
      <c r="E104" s="85">
        <v>44825</v>
      </c>
      <c r="F104" s="85">
        <v>44826</v>
      </c>
      <c r="G104" s="5">
        <v>18003.75</v>
      </c>
      <c r="H104" s="5">
        <v>17718.349999999999</v>
      </c>
      <c r="I104" s="5">
        <v>-285.39999999999998</v>
      </c>
      <c r="J104" s="6">
        <v>-1.5852253002846629E-2</v>
      </c>
      <c r="K104" s="91">
        <f t="array" ref="K104">MAX(IF((D104&lt;[1]Nifty_D!$B$2:$B$6600)*(E104&gt;=[1]Nifty_D!$B$2:$B$6600),[1]Nifty_D!$F$2:$F$6600,""))</f>
        <v>17877.400000000001</v>
      </c>
      <c r="L104" s="92">
        <f t="shared" si="7"/>
        <v>-7.0179823647850137E-3</v>
      </c>
      <c r="M104" s="91">
        <f t="shared" si="8"/>
        <v>6253.5000000000018</v>
      </c>
      <c r="N104" s="93">
        <f t="array" ref="N104">INDEX([1]Nifty_D!$B$2:$B$6600,MATCH(E104,[1]Nifty_D!$B$2:$B$6600,0)-1)</f>
        <v>44824</v>
      </c>
      <c r="O104" s="89">
        <f>VLOOKUP(N104,[1]Nifty_D!$B$2:$F$6600,5,0)</f>
        <v>17816.25</v>
      </c>
      <c r="P104" s="92">
        <f t="shared" si="9"/>
        <v>-1.0414496979795906E-2</v>
      </c>
      <c r="Q104" s="7" t="s">
        <v>28</v>
      </c>
      <c r="R104" s="4">
        <v>18000</v>
      </c>
      <c r="S104" s="102"/>
      <c r="T104" s="102"/>
      <c r="U104" s="7" t="s">
        <v>90</v>
      </c>
      <c r="V104" s="4">
        <v>65</v>
      </c>
      <c r="W104" s="5">
        <v>195.3</v>
      </c>
      <c r="X104" s="5">
        <v>21.45</v>
      </c>
      <c r="Y104" s="8">
        <v>-0.16</v>
      </c>
      <c r="Z104" s="8">
        <v>0.98809999999999998</v>
      </c>
      <c r="AA104" s="5">
        <v>173.85</v>
      </c>
      <c r="AB104" s="6">
        <v>9.6563215996667354E-3</v>
      </c>
      <c r="AC104" s="4">
        <v>0</v>
      </c>
      <c r="AD104" s="6">
        <v>0</v>
      </c>
      <c r="AE104" s="5">
        <v>32291.75</v>
      </c>
      <c r="AF104" s="5">
        <v>31718.7</v>
      </c>
      <c r="AG104" s="5">
        <v>-573.04999999999995</v>
      </c>
      <c r="AH104" s="5">
        <v>-1.7746</v>
      </c>
      <c r="AI104" s="4">
        <v>7</v>
      </c>
      <c r="AJ104" s="5">
        <v>-0.11666700000000001</v>
      </c>
      <c r="AK104" s="5">
        <v>-610.72370000000001</v>
      </c>
      <c r="AL104" s="5">
        <v>-1.8913</v>
      </c>
      <c r="AM104" s="8">
        <v>-3.5091000000000001</v>
      </c>
      <c r="AN104" s="8">
        <v>0.84260000000000002</v>
      </c>
      <c r="AO104" s="9">
        <v>-309.47370000000001</v>
      </c>
      <c r="AP104" s="9">
        <v>-0.218</v>
      </c>
      <c r="AQ104" s="5">
        <v>104.3428</v>
      </c>
      <c r="AR104" s="5">
        <v>105.6399</v>
      </c>
      <c r="AS104" s="5">
        <v>-1.2970999999999999</v>
      </c>
      <c r="AT104" s="5">
        <v>-1.2278</v>
      </c>
      <c r="AU104" s="8">
        <v>0.44629999999999997</v>
      </c>
      <c r="AV104" s="8">
        <v>-0.44950000000000001</v>
      </c>
      <c r="AW104" s="8">
        <v>-0.44950000000000001</v>
      </c>
      <c r="AX104" s="5">
        <v>104.1007</v>
      </c>
      <c r="AY104" s="5">
        <v>-1.4570000000000001</v>
      </c>
      <c r="AZ104" s="7" t="s">
        <v>91</v>
      </c>
    </row>
    <row r="105" spans="1:52" ht="18" customHeight="1" x14ac:dyDescent="0.25">
      <c r="A105" s="10">
        <v>52</v>
      </c>
      <c r="B105" s="10">
        <v>2</v>
      </c>
      <c r="C105" s="10">
        <v>52</v>
      </c>
      <c r="D105" s="86">
        <v>44818</v>
      </c>
      <c r="E105" s="86">
        <v>44825</v>
      </c>
      <c r="F105" s="86">
        <v>44833</v>
      </c>
      <c r="G105" s="11">
        <v>18003.75</v>
      </c>
      <c r="H105" s="11">
        <v>17718.349999999999</v>
      </c>
      <c r="I105" s="12"/>
      <c r="J105" s="12"/>
      <c r="K105" s="91">
        <f t="array" ref="K105">MAX(IF((D105&lt;[1]Nifty_D!$B$2:$B$6600)*(E105&gt;=[1]Nifty_D!$B$2:$B$6600),[1]Nifty_D!$F$2:$F$6600,""))</f>
        <v>17877.400000000001</v>
      </c>
      <c r="L105" s="92">
        <f t="shared" si="7"/>
        <v>-7.0179823647850137E-3</v>
      </c>
      <c r="M105" s="91">
        <f t="shared" si="8"/>
        <v>6253.5000000000018</v>
      </c>
      <c r="N105" s="93">
        <f t="array" ref="N105">INDEX([1]Nifty_D!$B$2:$B$6600,MATCH(E105,[1]Nifty_D!$B$2:$B$6600,0)-1)</f>
        <v>44824</v>
      </c>
      <c r="O105" s="89">
        <f>VLOOKUP(N105,[1]Nifty_D!$B$2:$F$6600,5,0)</f>
        <v>17816.25</v>
      </c>
      <c r="P105" s="92">
        <f t="shared" si="9"/>
        <v>-1.0414496979795906E-2</v>
      </c>
      <c r="Q105" s="12" t="s">
        <v>40</v>
      </c>
      <c r="R105" s="10">
        <v>18000</v>
      </c>
      <c r="S105" s="103">
        <f>MROUND(G105,500)</f>
        <v>18000</v>
      </c>
      <c r="T105" s="103">
        <f>S105-R105</f>
        <v>0</v>
      </c>
      <c r="U105" s="12" t="s">
        <v>92</v>
      </c>
      <c r="V105" s="10">
        <v>65</v>
      </c>
      <c r="W105" s="11">
        <v>237.55</v>
      </c>
      <c r="X105" s="11">
        <v>364.95</v>
      </c>
      <c r="Y105" s="13">
        <v>-0.23630000000000001</v>
      </c>
      <c r="Z105" s="13">
        <v>2.0714999999999999</v>
      </c>
      <c r="AA105" s="10">
        <v>0</v>
      </c>
      <c r="AB105" s="14">
        <v>0</v>
      </c>
      <c r="AC105" s="11">
        <v>127.4</v>
      </c>
      <c r="AD105" s="14">
        <v>7.0763035478719717E-3</v>
      </c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 t="s">
        <v>91</v>
      </c>
    </row>
    <row r="106" spans="1:52" ht="18" hidden="1" customHeight="1" x14ac:dyDescent="0.25">
      <c r="A106" s="4">
        <v>53</v>
      </c>
      <c r="B106" s="4">
        <v>1</v>
      </c>
      <c r="C106" s="4">
        <v>53</v>
      </c>
      <c r="D106" s="85">
        <v>44825</v>
      </c>
      <c r="E106" s="85">
        <v>44832</v>
      </c>
      <c r="F106" s="85">
        <v>44833</v>
      </c>
      <c r="G106" s="5">
        <v>17718.349999999999</v>
      </c>
      <c r="H106" s="5">
        <v>16858.599999999999</v>
      </c>
      <c r="I106" s="5">
        <v>-859.75</v>
      </c>
      <c r="J106" s="6">
        <v>-4.8523141263153741E-2</v>
      </c>
      <c r="K106" s="91">
        <f t="array" ref="K106">MAX(IF((D106&lt;[1]Nifty_D!$B$2:$B$6600)*(E106&gt;=[1]Nifty_D!$B$2:$B$6600),[1]Nifty_D!$F$2:$F$6600,""))</f>
        <v>17629.8</v>
      </c>
      <c r="L106" s="92">
        <f t="shared" si="7"/>
        <v>-4.9976436857833706E-3</v>
      </c>
      <c r="M106" s="91">
        <f t="shared" si="8"/>
        <v>6005.9</v>
      </c>
      <c r="N106" s="93">
        <f t="array" ref="N106">INDEX([1]Nifty_D!$B$2:$B$6600,MATCH(E106,[1]Nifty_D!$B$2:$B$6600,0)-1)</f>
        <v>44831</v>
      </c>
      <c r="O106" s="89">
        <f>VLOOKUP(N106,[1]Nifty_D!$B$2:$F$6600,5,0)</f>
        <v>17007.400000000001</v>
      </c>
      <c r="P106" s="92">
        <f t="shared" si="9"/>
        <v>-4.0125068079138182E-2</v>
      </c>
      <c r="Q106" s="7" t="s">
        <v>28</v>
      </c>
      <c r="R106" s="4">
        <v>17700</v>
      </c>
      <c r="S106" s="102"/>
      <c r="T106" s="102"/>
      <c r="U106" s="7" t="s">
        <v>90</v>
      </c>
      <c r="V106" s="4">
        <v>65</v>
      </c>
      <c r="W106" s="5">
        <v>230.25</v>
      </c>
      <c r="X106" s="4">
        <v>2</v>
      </c>
      <c r="Y106" s="8">
        <v>0.14080000000000001</v>
      </c>
      <c r="Z106" s="8">
        <v>1.2907999999999999</v>
      </c>
      <c r="AA106" s="5">
        <v>228.25</v>
      </c>
      <c r="AB106" s="6">
        <v>1.288212502857207E-2</v>
      </c>
      <c r="AC106" s="4">
        <v>0</v>
      </c>
      <c r="AD106" s="6">
        <v>0</v>
      </c>
      <c r="AE106" s="5">
        <v>31718.7</v>
      </c>
      <c r="AF106" s="5">
        <v>30066.15</v>
      </c>
      <c r="AG106" s="5">
        <v>-1652.55</v>
      </c>
      <c r="AH106" s="5">
        <v>-5.21</v>
      </c>
      <c r="AI106" s="4">
        <v>7</v>
      </c>
      <c r="AJ106" s="5">
        <v>-0.11666700000000001</v>
      </c>
      <c r="AK106" s="5">
        <v>-1689.5551</v>
      </c>
      <c r="AL106" s="5">
        <v>-5.3266999999999998</v>
      </c>
      <c r="AM106" s="8">
        <v>-5.8926999999999996</v>
      </c>
      <c r="AN106" s="8">
        <v>0.59279999999999999</v>
      </c>
      <c r="AO106" s="9">
        <v>-680.40509999999995</v>
      </c>
      <c r="AP106" s="9">
        <v>0.36880000000000002</v>
      </c>
      <c r="AQ106" s="5">
        <v>104.7276</v>
      </c>
      <c r="AR106" s="5">
        <v>105.6399</v>
      </c>
      <c r="AS106" s="5">
        <v>-0.9123</v>
      </c>
      <c r="AT106" s="5">
        <v>-0.86360000000000003</v>
      </c>
      <c r="AU106" s="8">
        <v>0.52480000000000004</v>
      </c>
      <c r="AV106" s="8">
        <v>-7.2700000000000001E-2</v>
      </c>
      <c r="AW106" s="8">
        <v>-7.2700000000000001E-2</v>
      </c>
      <c r="AX106" s="5">
        <v>104.26690000000001</v>
      </c>
      <c r="AY106" s="5">
        <v>-1.2996000000000001</v>
      </c>
      <c r="AZ106" s="7" t="s">
        <v>91</v>
      </c>
    </row>
    <row r="107" spans="1:52" ht="18" customHeight="1" x14ac:dyDescent="0.25">
      <c r="A107" s="10">
        <v>53</v>
      </c>
      <c r="B107" s="10">
        <v>2</v>
      </c>
      <c r="C107" s="10">
        <v>53</v>
      </c>
      <c r="D107" s="86">
        <v>44825</v>
      </c>
      <c r="E107" s="86">
        <v>44832</v>
      </c>
      <c r="F107" s="86">
        <v>44833</v>
      </c>
      <c r="G107" s="11">
        <v>17718.349999999999</v>
      </c>
      <c r="H107" s="11">
        <v>16858.599999999999</v>
      </c>
      <c r="I107" s="12"/>
      <c r="J107" s="12"/>
      <c r="K107" s="91">
        <f t="array" ref="K107">MAX(IF((D107&lt;[1]Nifty_D!$B$2:$B$6600)*(E107&gt;=[1]Nifty_D!$B$2:$B$6600),[1]Nifty_D!$F$2:$F$6600,""))</f>
        <v>17629.8</v>
      </c>
      <c r="L107" s="92">
        <f t="shared" si="7"/>
        <v>-4.9976436857833706E-3</v>
      </c>
      <c r="M107" s="91">
        <f t="shared" si="8"/>
        <v>6005.9</v>
      </c>
      <c r="N107" s="93">
        <f t="array" ref="N107">INDEX([1]Nifty_D!$B$2:$B$6600,MATCH(E107,[1]Nifty_D!$B$2:$B$6600,0)-1)</f>
        <v>44831</v>
      </c>
      <c r="O107" s="89">
        <f>VLOOKUP(N107,[1]Nifty_D!$B$2:$F$6600,5,0)</f>
        <v>17007.400000000001</v>
      </c>
      <c r="P107" s="92">
        <f t="shared" si="9"/>
        <v>-4.0125068079138182E-2</v>
      </c>
      <c r="Q107" s="12" t="s">
        <v>40</v>
      </c>
      <c r="R107" s="10">
        <v>18000</v>
      </c>
      <c r="S107" s="103">
        <f>MROUND(G107,500)</f>
        <v>17500</v>
      </c>
      <c r="T107" s="103">
        <f>S107-R107</f>
        <v>-500</v>
      </c>
      <c r="U107" s="12" t="s">
        <v>92</v>
      </c>
      <c r="V107" s="10">
        <v>65</v>
      </c>
      <c r="W107" s="11">
        <v>364.95</v>
      </c>
      <c r="X107" s="11">
        <v>1145.8499999999999</v>
      </c>
      <c r="Y107" s="13">
        <v>-0.20880000000000001</v>
      </c>
      <c r="Z107" s="13">
        <v>4.5292000000000003</v>
      </c>
      <c r="AA107" s="10">
        <v>0</v>
      </c>
      <c r="AB107" s="14">
        <v>0</v>
      </c>
      <c r="AC107" s="11">
        <v>780.9</v>
      </c>
      <c r="AD107" s="14">
        <v>4.407295261691975E-2</v>
      </c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 t="s">
        <v>91</v>
      </c>
    </row>
    <row r="108" spans="1:52" ht="18" hidden="1" customHeight="1" x14ac:dyDescent="0.25">
      <c r="A108" s="4">
        <v>54</v>
      </c>
      <c r="B108" s="4">
        <v>1</v>
      </c>
      <c r="C108" s="4">
        <v>54</v>
      </c>
      <c r="D108" s="85">
        <v>44832</v>
      </c>
      <c r="E108" s="85">
        <v>44834</v>
      </c>
      <c r="F108" s="85">
        <v>44840</v>
      </c>
      <c r="G108" s="5">
        <v>16858.599999999999</v>
      </c>
      <c r="H108" s="5">
        <v>17094.349999999999</v>
      </c>
      <c r="I108" s="5">
        <v>235.75</v>
      </c>
      <c r="J108" s="6">
        <v>1.398396070848113E-2</v>
      </c>
      <c r="K108" s="91">
        <f t="array" ref="K108">MAX(IF((D108&lt;[1]Nifty_D!$B$2:$B$6600)*(E108&gt;=[1]Nifty_D!$B$2:$B$6600),[1]Nifty_D!$F$2:$F$6600,""))</f>
        <v>17094.349999999999</v>
      </c>
      <c r="L108" s="92">
        <f t="shared" si="7"/>
        <v>1.3983960708481069E-2</v>
      </c>
      <c r="M108" s="91">
        <f t="shared" si="8"/>
        <v>5470.4499999999989</v>
      </c>
      <c r="N108" s="93">
        <f t="array" ref="N108">INDEX([1]Nifty_D!$B$2:$B$6600,MATCH(E108,[1]Nifty_D!$B$2:$B$6600,0)-1)</f>
        <v>44833</v>
      </c>
      <c r="O108" s="89">
        <f>VLOOKUP(N108,[1]Nifty_D!$B$2:$F$6600,5,0)</f>
        <v>16818.099999999999</v>
      </c>
      <c r="P108" s="92">
        <f t="shared" si="9"/>
        <v>-2.4023347134399797E-3</v>
      </c>
      <c r="Q108" s="7" t="s">
        <v>28</v>
      </c>
      <c r="R108" s="4">
        <v>16900</v>
      </c>
      <c r="S108" s="102"/>
      <c r="T108" s="102"/>
      <c r="U108" s="7" t="s">
        <v>90</v>
      </c>
      <c r="V108" s="4">
        <v>65</v>
      </c>
      <c r="W108" s="4">
        <v>195</v>
      </c>
      <c r="X108" s="5">
        <v>272.25</v>
      </c>
      <c r="Y108" s="8">
        <v>-0.92300000000000004</v>
      </c>
      <c r="Z108" s="8">
        <v>0.58069999999999999</v>
      </c>
      <c r="AA108" s="5">
        <v>-77.25</v>
      </c>
      <c r="AB108" s="6">
        <v>-4.582231027487455E-3</v>
      </c>
      <c r="AC108" s="4">
        <v>0</v>
      </c>
      <c r="AD108" s="6">
        <v>0</v>
      </c>
      <c r="AE108" s="5">
        <v>30066.15</v>
      </c>
      <c r="AF108" s="5">
        <v>30668.3</v>
      </c>
      <c r="AG108" s="5">
        <v>602.15</v>
      </c>
      <c r="AH108" s="5">
        <v>2.0028000000000001</v>
      </c>
      <c r="AI108" s="4">
        <v>2</v>
      </c>
      <c r="AJ108" s="5">
        <v>-3.3333000000000002E-2</v>
      </c>
      <c r="AK108" s="5">
        <v>592.12789999999995</v>
      </c>
      <c r="AL108" s="5">
        <v>1.9694</v>
      </c>
      <c r="AM108" s="8">
        <v>-0.65569999999999995</v>
      </c>
      <c r="AN108" s="8">
        <v>2.1785999999999999</v>
      </c>
      <c r="AO108" s="15">
        <v>364.62790000000001</v>
      </c>
      <c r="AP108" s="15">
        <v>0.61990000000000001</v>
      </c>
      <c r="AQ108" s="5">
        <v>105.3768</v>
      </c>
      <c r="AR108" s="5">
        <v>105.6399</v>
      </c>
      <c r="AS108" s="5">
        <v>-0.2631</v>
      </c>
      <c r="AT108" s="5">
        <v>-0.249</v>
      </c>
      <c r="AU108" s="8">
        <v>0.1149</v>
      </c>
      <c r="AV108" s="8">
        <v>0.67330000000000001</v>
      </c>
      <c r="AW108" s="8">
        <v>0.1149</v>
      </c>
      <c r="AX108" s="5">
        <v>104.8479</v>
      </c>
      <c r="AY108" s="5">
        <v>-0.74970000000000003</v>
      </c>
      <c r="AZ108" s="7" t="s">
        <v>97</v>
      </c>
    </row>
    <row r="109" spans="1:52" ht="18" customHeight="1" x14ac:dyDescent="0.25">
      <c r="A109" s="10">
        <v>54</v>
      </c>
      <c r="B109" s="10">
        <v>2</v>
      </c>
      <c r="C109" s="10">
        <v>54</v>
      </c>
      <c r="D109" s="86">
        <v>44832</v>
      </c>
      <c r="E109" s="86">
        <v>44834</v>
      </c>
      <c r="F109" s="86">
        <v>44861</v>
      </c>
      <c r="G109" s="11">
        <v>16858.599999999999</v>
      </c>
      <c r="H109" s="11">
        <v>17094.349999999999</v>
      </c>
      <c r="I109" s="12"/>
      <c r="J109" s="12"/>
      <c r="K109" s="91">
        <f t="array" ref="K109">MAX(IF((D109&lt;[1]Nifty_D!$B$2:$B$6600)*(E109&gt;=[1]Nifty_D!$B$2:$B$6600),[1]Nifty_D!$F$2:$F$6600,""))</f>
        <v>17094.349999999999</v>
      </c>
      <c r="L109" s="92">
        <f t="shared" si="7"/>
        <v>1.3983960708481069E-2</v>
      </c>
      <c r="M109" s="91">
        <f t="shared" si="8"/>
        <v>5470.4499999999989</v>
      </c>
      <c r="N109" s="93">
        <f t="array" ref="N109">INDEX([1]Nifty_D!$B$2:$B$6600,MATCH(E109,[1]Nifty_D!$B$2:$B$6600,0)-1)</f>
        <v>44833</v>
      </c>
      <c r="O109" s="89">
        <f>VLOOKUP(N109,[1]Nifty_D!$B$2:$F$6600,5,0)</f>
        <v>16818.099999999999</v>
      </c>
      <c r="P109" s="92">
        <f t="shared" si="9"/>
        <v>-2.4023347134399797E-3</v>
      </c>
      <c r="Q109" s="12" t="s">
        <v>40</v>
      </c>
      <c r="R109" s="10">
        <v>17000</v>
      </c>
      <c r="S109" s="103">
        <f>MROUND(G109,500)</f>
        <v>17000</v>
      </c>
      <c r="T109" s="103">
        <f>S109-R109</f>
        <v>0</v>
      </c>
      <c r="U109" s="12" t="s">
        <v>92</v>
      </c>
      <c r="V109" s="10">
        <v>65</v>
      </c>
      <c r="W109" s="11">
        <v>455.8</v>
      </c>
      <c r="X109" s="11">
        <v>305.55</v>
      </c>
      <c r="Y109" s="13">
        <v>-1.1407</v>
      </c>
      <c r="Z109" s="13">
        <v>0.74829999999999997</v>
      </c>
      <c r="AA109" s="10">
        <v>0</v>
      </c>
      <c r="AB109" s="14">
        <v>0</v>
      </c>
      <c r="AC109" s="11">
        <v>-150.25</v>
      </c>
      <c r="AD109" s="14">
        <v>-8.912365202329969E-3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 t="s">
        <v>97</v>
      </c>
    </row>
    <row r="110" spans="1:52" ht="18" hidden="1" customHeight="1" x14ac:dyDescent="0.25">
      <c r="A110" s="4">
        <v>55</v>
      </c>
      <c r="B110" s="4">
        <v>1</v>
      </c>
      <c r="C110" s="4">
        <v>55</v>
      </c>
      <c r="D110" s="85">
        <v>44834</v>
      </c>
      <c r="E110" s="85">
        <v>44838</v>
      </c>
      <c r="F110" s="85">
        <v>44840</v>
      </c>
      <c r="G110" s="5">
        <v>17094.349999999999</v>
      </c>
      <c r="H110" s="5">
        <v>17274.3</v>
      </c>
      <c r="I110" s="5">
        <v>179.95</v>
      </c>
      <c r="J110" s="6">
        <v>1.0526869989206961E-2</v>
      </c>
      <c r="K110" s="91">
        <f t="array" ref="K110">MAX(IF((D110&lt;[1]Nifty_D!$B$2:$B$6600)*(E110&gt;=[1]Nifty_D!$B$2:$B$6600),[1]Nifty_D!$F$2:$F$6600,""))</f>
        <v>17274.3</v>
      </c>
      <c r="L110" s="92">
        <f t="shared" si="7"/>
        <v>1.0526869989206933E-2</v>
      </c>
      <c r="M110" s="91">
        <f t="shared" si="8"/>
        <v>5650.4</v>
      </c>
      <c r="N110" s="93">
        <f t="array" ref="N110">INDEX([1]Nifty_D!$B$2:$B$6600,MATCH(E110,[1]Nifty_D!$B$2:$B$6600,0)-1)</f>
        <v>44837</v>
      </c>
      <c r="O110" s="89">
        <f>VLOOKUP(N110,[1]Nifty_D!$B$2:$F$6600,5,0)</f>
        <v>16887.349999999999</v>
      </c>
      <c r="P110" s="92">
        <f t="shared" si="9"/>
        <v>-1.2109264172080247E-2</v>
      </c>
      <c r="Q110" s="7" t="s">
        <v>28</v>
      </c>
      <c r="R110" s="4">
        <v>17100</v>
      </c>
      <c r="S110" s="102"/>
      <c r="T110" s="102"/>
      <c r="U110" s="7" t="s">
        <v>90</v>
      </c>
      <c r="V110" s="4">
        <v>65</v>
      </c>
      <c r="W110" s="5">
        <v>144.30000000000001</v>
      </c>
      <c r="X110" s="5">
        <v>203.85</v>
      </c>
      <c r="Y110" s="8">
        <v>-0.41360000000000002</v>
      </c>
      <c r="Z110" s="8">
        <v>0.60050000000000003</v>
      </c>
      <c r="AA110" s="5">
        <v>-59.55</v>
      </c>
      <c r="AB110" s="6">
        <v>-3.483607156750623E-3</v>
      </c>
      <c r="AC110" s="4">
        <v>0</v>
      </c>
      <c r="AD110" s="6">
        <v>0</v>
      </c>
      <c r="AE110" s="5">
        <v>30668.3</v>
      </c>
      <c r="AF110" s="5">
        <v>31090.6</v>
      </c>
      <c r="AG110" s="5">
        <v>422.3</v>
      </c>
      <c r="AH110" s="5">
        <v>1.377</v>
      </c>
      <c r="AI110" s="4">
        <v>4</v>
      </c>
      <c r="AJ110" s="5">
        <v>-6.6667000000000004E-2</v>
      </c>
      <c r="AK110" s="5">
        <v>401.85449999999997</v>
      </c>
      <c r="AL110" s="5">
        <v>1.3103</v>
      </c>
      <c r="AM110" s="8">
        <v>-1.6811</v>
      </c>
      <c r="AN110" s="8">
        <v>1.4036</v>
      </c>
      <c r="AO110" s="15">
        <v>243.2045</v>
      </c>
      <c r="AP110" s="15">
        <v>0.38219999999999998</v>
      </c>
      <c r="AQ110" s="5">
        <v>105.7795</v>
      </c>
      <c r="AR110" s="5">
        <v>105.7795</v>
      </c>
      <c r="AS110" s="4">
        <v>0</v>
      </c>
      <c r="AT110" s="4">
        <v>0</v>
      </c>
      <c r="AU110" s="8">
        <v>0.379</v>
      </c>
      <c r="AV110" s="8">
        <v>-0.33529999999999999</v>
      </c>
      <c r="AW110" s="8">
        <v>-0.33529999999999999</v>
      </c>
      <c r="AX110" s="5">
        <v>105.0235</v>
      </c>
      <c r="AY110" s="5">
        <v>-0.58350000000000002</v>
      </c>
      <c r="AZ110" s="7" t="s">
        <v>91</v>
      </c>
    </row>
    <row r="111" spans="1:52" ht="18" customHeight="1" x14ac:dyDescent="0.25">
      <c r="A111" s="10">
        <v>55</v>
      </c>
      <c r="B111" s="10">
        <v>2</v>
      </c>
      <c r="C111" s="10">
        <v>55</v>
      </c>
      <c r="D111" s="86">
        <v>44834</v>
      </c>
      <c r="E111" s="86">
        <v>44838</v>
      </c>
      <c r="F111" s="86">
        <v>44861</v>
      </c>
      <c r="G111" s="11">
        <v>17094.349999999999</v>
      </c>
      <c r="H111" s="11">
        <v>17274.3</v>
      </c>
      <c r="I111" s="12"/>
      <c r="J111" s="12"/>
      <c r="K111" s="91">
        <f t="array" ref="K111">MAX(IF((D111&lt;[1]Nifty_D!$B$2:$B$6600)*(E111&gt;=[1]Nifty_D!$B$2:$B$6600),[1]Nifty_D!$F$2:$F$6600,""))</f>
        <v>17274.3</v>
      </c>
      <c r="L111" s="92">
        <f t="shared" si="7"/>
        <v>1.0526869989206933E-2</v>
      </c>
      <c r="M111" s="91">
        <f t="shared" si="8"/>
        <v>5650.4</v>
      </c>
      <c r="N111" s="93">
        <f t="array" ref="N111">INDEX([1]Nifty_D!$B$2:$B$6600,MATCH(E111,[1]Nifty_D!$B$2:$B$6600,0)-1)</f>
        <v>44837</v>
      </c>
      <c r="O111" s="89">
        <f>VLOOKUP(N111,[1]Nifty_D!$B$2:$F$6600,5,0)</f>
        <v>16887.349999999999</v>
      </c>
      <c r="P111" s="92">
        <f t="shared" si="9"/>
        <v>-1.2109264172080247E-2</v>
      </c>
      <c r="Q111" s="12" t="s">
        <v>40</v>
      </c>
      <c r="R111" s="10">
        <v>17000</v>
      </c>
      <c r="S111" s="103">
        <f>MROUND(G111,500)</f>
        <v>17000</v>
      </c>
      <c r="T111" s="103">
        <f>S111-R111</f>
        <v>0</v>
      </c>
      <c r="U111" s="12" t="s">
        <v>92</v>
      </c>
      <c r="V111" s="10">
        <v>65</v>
      </c>
      <c r="W111" s="11">
        <v>305.55</v>
      </c>
      <c r="X111" s="11">
        <v>206.45</v>
      </c>
      <c r="Y111" s="13">
        <v>-0.61099999999999999</v>
      </c>
      <c r="Z111" s="13">
        <v>0.74529999999999996</v>
      </c>
      <c r="AA111" s="10">
        <v>0</v>
      </c>
      <c r="AB111" s="14">
        <v>0</v>
      </c>
      <c r="AC111" s="11">
        <v>-99.1</v>
      </c>
      <c r="AD111" s="14">
        <v>-5.7972370988075006E-3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 t="s">
        <v>91</v>
      </c>
    </row>
    <row r="112" spans="1:52" ht="18" hidden="1" customHeight="1" x14ac:dyDescent="0.25">
      <c r="A112" s="4">
        <v>56</v>
      </c>
      <c r="B112" s="4">
        <v>1</v>
      </c>
      <c r="C112" s="4">
        <v>56</v>
      </c>
      <c r="D112" s="85">
        <v>44838</v>
      </c>
      <c r="E112" s="85">
        <v>44846</v>
      </c>
      <c r="F112" s="85">
        <v>44847</v>
      </c>
      <c r="G112" s="5">
        <v>17274.3</v>
      </c>
      <c r="H112" s="5">
        <v>17123.599999999999</v>
      </c>
      <c r="I112" s="5">
        <v>-150.69999999999999</v>
      </c>
      <c r="J112" s="6">
        <v>-8.7239425041825136E-3</v>
      </c>
      <c r="K112" s="91">
        <f t="array" ref="K112">MAX(IF((D112&lt;[1]Nifty_D!$B$2:$B$6600)*(E112&gt;=[1]Nifty_D!$B$2:$B$6600),[1]Nifty_D!$F$2:$F$6600,""))</f>
        <v>17331.8</v>
      </c>
      <c r="L112" s="92">
        <f t="shared" si="7"/>
        <v>3.3286442865991805E-3</v>
      </c>
      <c r="M112" s="91">
        <f t="shared" si="8"/>
        <v>5707.9</v>
      </c>
      <c r="N112" s="93">
        <f t="array" ref="N112">INDEX([1]Nifty_D!$B$2:$B$6600,MATCH(E112,[1]Nifty_D!$B$2:$B$6600,0)-1)</f>
        <v>44845</v>
      </c>
      <c r="O112" s="89">
        <f>VLOOKUP(N112,[1]Nifty_D!$B$2:$F$6600,5,0)</f>
        <v>16983.55</v>
      </c>
      <c r="P112" s="92">
        <f t="shared" si="9"/>
        <v>-1.6831362197020971E-2</v>
      </c>
      <c r="Q112" s="7" t="s">
        <v>28</v>
      </c>
      <c r="R112" s="4">
        <v>17300</v>
      </c>
      <c r="S112" s="102"/>
      <c r="T112" s="102"/>
      <c r="U112" s="7" t="s">
        <v>90</v>
      </c>
      <c r="V112" s="4">
        <v>65</v>
      </c>
      <c r="W112" s="5">
        <v>180.3</v>
      </c>
      <c r="X112" s="5">
        <v>18.95</v>
      </c>
      <c r="Y112" s="8">
        <v>-0.40350000000000003</v>
      </c>
      <c r="Z112" s="8">
        <v>0.98350000000000004</v>
      </c>
      <c r="AA112" s="5">
        <v>161.35</v>
      </c>
      <c r="AB112" s="6">
        <v>9.3404653155265329E-3</v>
      </c>
      <c r="AC112" s="4">
        <v>0</v>
      </c>
      <c r="AD112" s="6">
        <v>0</v>
      </c>
      <c r="AE112" s="5">
        <v>31090.6</v>
      </c>
      <c r="AF112" s="5">
        <v>30756.55</v>
      </c>
      <c r="AG112" s="5">
        <v>-334.05</v>
      </c>
      <c r="AH112" s="5">
        <v>-1.0744</v>
      </c>
      <c r="AI112" s="4">
        <v>8</v>
      </c>
      <c r="AJ112" s="5">
        <v>-0.13333300000000001</v>
      </c>
      <c r="AK112" s="5">
        <v>-375.50409999999999</v>
      </c>
      <c r="AL112" s="5">
        <v>-1.2078</v>
      </c>
      <c r="AM112" s="8">
        <v>-2.5238999999999998</v>
      </c>
      <c r="AN112" s="8">
        <v>1.4975000000000001</v>
      </c>
      <c r="AO112" s="9">
        <v>-138.00409999999999</v>
      </c>
      <c r="AP112" s="9">
        <v>0.1671</v>
      </c>
      <c r="AQ112" s="5">
        <v>105.9563</v>
      </c>
      <c r="AR112" s="5">
        <v>105.9563</v>
      </c>
      <c r="AS112" s="4">
        <v>0</v>
      </c>
      <c r="AT112" s="4">
        <v>0</v>
      </c>
      <c r="AU112" s="8">
        <v>0.58109999999999995</v>
      </c>
      <c r="AV112" s="8">
        <v>-0.32150000000000001</v>
      </c>
      <c r="AW112" s="8">
        <v>-0.32150000000000001</v>
      </c>
      <c r="AX112" s="5">
        <v>105.4395</v>
      </c>
      <c r="AY112" s="5">
        <v>-0.32150000000000001</v>
      </c>
      <c r="AZ112" s="7" t="s">
        <v>91</v>
      </c>
    </row>
    <row r="113" spans="1:52" ht="18" customHeight="1" x14ac:dyDescent="0.25">
      <c r="A113" s="10">
        <v>56</v>
      </c>
      <c r="B113" s="10">
        <v>2</v>
      </c>
      <c r="C113" s="10">
        <v>56</v>
      </c>
      <c r="D113" s="86">
        <v>44838</v>
      </c>
      <c r="E113" s="86">
        <v>44846</v>
      </c>
      <c r="F113" s="86">
        <v>44861</v>
      </c>
      <c r="G113" s="11">
        <v>17274.3</v>
      </c>
      <c r="H113" s="11">
        <v>17123.599999999999</v>
      </c>
      <c r="I113" s="12"/>
      <c r="J113" s="12"/>
      <c r="K113" s="91">
        <f t="array" ref="K113">MAX(IF((D113&lt;[1]Nifty_D!$B$2:$B$6600)*(E113&gt;=[1]Nifty_D!$B$2:$B$6600),[1]Nifty_D!$F$2:$F$6600,""))</f>
        <v>17331.8</v>
      </c>
      <c r="L113" s="92">
        <f t="shared" si="7"/>
        <v>3.3286442865991805E-3</v>
      </c>
      <c r="M113" s="91">
        <f t="shared" si="8"/>
        <v>5707.9</v>
      </c>
      <c r="N113" s="93">
        <f t="array" ref="N113">INDEX([1]Nifty_D!$B$2:$B$6600,MATCH(E113,[1]Nifty_D!$B$2:$B$6600,0)-1)</f>
        <v>44845</v>
      </c>
      <c r="O113" s="89">
        <f>VLOOKUP(N113,[1]Nifty_D!$B$2:$F$6600,5,0)</f>
        <v>16983.55</v>
      </c>
      <c r="P113" s="92">
        <f t="shared" si="9"/>
        <v>-1.6831362197020971E-2</v>
      </c>
      <c r="Q113" s="12" t="s">
        <v>40</v>
      </c>
      <c r="R113" s="10">
        <v>17500</v>
      </c>
      <c r="S113" s="103">
        <f>MROUND(G113,500)</f>
        <v>17500</v>
      </c>
      <c r="T113" s="103">
        <f>S113-R113</f>
        <v>0</v>
      </c>
      <c r="U113" s="12" t="s">
        <v>92</v>
      </c>
      <c r="V113" s="10">
        <v>65</v>
      </c>
      <c r="W113" s="11">
        <v>423.65</v>
      </c>
      <c r="X113" s="11">
        <v>499.8</v>
      </c>
      <c r="Y113" s="13">
        <v>-0.51290000000000002</v>
      </c>
      <c r="Z113" s="13">
        <v>1.2189000000000001</v>
      </c>
      <c r="AA113" s="10">
        <v>0</v>
      </c>
      <c r="AB113" s="14">
        <v>0</v>
      </c>
      <c r="AC113" s="11">
        <v>76.150000000000006</v>
      </c>
      <c r="AD113" s="14">
        <v>4.4082828247743767E-3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 t="s">
        <v>91</v>
      </c>
    </row>
    <row r="114" spans="1:52" ht="18" hidden="1" customHeight="1" x14ac:dyDescent="0.25">
      <c r="A114" s="4">
        <v>57</v>
      </c>
      <c r="B114" s="4">
        <v>1</v>
      </c>
      <c r="C114" s="4">
        <v>57</v>
      </c>
      <c r="D114" s="85">
        <v>44846</v>
      </c>
      <c r="E114" s="85">
        <v>44851</v>
      </c>
      <c r="F114" s="85">
        <v>44854</v>
      </c>
      <c r="G114" s="5">
        <v>17123.599999999999</v>
      </c>
      <c r="H114" s="5">
        <v>17311.8</v>
      </c>
      <c r="I114" s="5">
        <v>188.2</v>
      </c>
      <c r="J114" s="6">
        <v>1.0990679530005369E-2</v>
      </c>
      <c r="K114" s="91">
        <f t="array" ref="K114">MAX(IF((D114&lt;[1]Nifty_D!$B$2:$B$6600)*(E114&gt;=[1]Nifty_D!$B$2:$B$6600),[1]Nifty_D!$F$2:$F$6600,""))</f>
        <v>17311.8</v>
      </c>
      <c r="L114" s="92">
        <f t="shared" si="7"/>
        <v>1.0990679530005432E-2</v>
      </c>
      <c r="M114" s="91">
        <f t="shared" si="8"/>
        <v>5687.9</v>
      </c>
      <c r="N114" s="93">
        <f t="array" ref="N114">INDEX([1]Nifty_D!$B$2:$B$6600,MATCH(E114,[1]Nifty_D!$B$2:$B$6600,0)-1)</f>
        <v>44848</v>
      </c>
      <c r="O114" s="89">
        <f>VLOOKUP(N114,[1]Nifty_D!$B$2:$F$6600,5,0)</f>
        <v>17185.7</v>
      </c>
      <c r="P114" s="92">
        <f t="shared" si="9"/>
        <v>3.6265738512930579E-3</v>
      </c>
      <c r="Q114" s="7" t="s">
        <v>28</v>
      </c>
      <c r="R114" s="4">
        <v>17100</v>
      </c>
      <c r="S114" s="102"/>
      <c r="T114" s="102"/>
      <c r="U114" s="7" t="s">
        <v>90</v>
      </c>
      <c r="V114" s="4">
        <v>65</v>
      </c>
      <c r="W114" s="5">
        <v>205.75</v>
      </c>
      <c r="X114" s="5">
        <v>256.8</v>
      </c>
      <c r="Y114" s="8">
        <v>-0.63800000000000001</v>
      </c>
      <c r="Z114" s="8">
        <v>0.47299999999999998</v>
      </c>
      <c r="AA114" s="5">
        <v>-51.05</v>
      </c>
      <c r="AB114" s="6">
        <v>-2.9812656217150599E-3</v>
      </c>
      <c r="AC114" s="4">
        <v>0</v>
      </c>
      <c r="AD114" s="6">
        <v>0</v>
      </c>
      <c r="AE114" s="5">
        <v>30756.55</v>
      </c>
      <c r="AF114" s="5">
        <v>30572.65</v>
      </c>
      <c r="AG114" s="5">
        <v>-183.9</v>
      </c>
      <c r="AH114" s="5">
        <v>-0.59789999999999999</v>
      </c>
      <c r="AI114" s="4">
        <v>5</v>
      </c>
      <c r="AJ114" s="5">
        <v>-8.3333000000000004E-2</v>
      </c>
      <c r="AK114" s="5">
        <v>-209.53049999999999</v>
      </c>
      <c r="AL114" s="5">
        <v>-0.68130000000000002</v>
      </c>
      <c r="AM114" s="8">
        <v>-1.9683999999999999</v>
      </c>
      <c r="AN114" s="8">
        <v>0.89459999999999995</v>
      </c>
      <c r="AO114" s="9">
        <v>-446.68049999999999</v>
      </c>
      <c r="AP114" s="9">
        <v>-2.0661999999999998</v>
      </c>
      <c r="AQ114" s="5">
        <v>103.767</v>
      </c>
      <c r="AR114" s="5">
        <v>105.9563</v>
      </c>
      <c r="AS114" s="5">
        <v>-2.1892999999999998</v>
      </c>
      <c r="AT114" s="5">
        <v>-2.0661999999999998</v>
      </c>
      <c r="AU114" s="8">
        <v>-0.96860000000000002</v>
      </c>
      <c r="AV114" s="8">
        <v>-0.63690000000000002</v>
      </c>
      <c r="AW114" s="8">
        <v>-2.0661999999999998</v>
      </c>
      <c r="AX114" s="5">
        <v>103.767</v>
      </c>
      <c r="AY114" s="5">
        <v>-2.0661999999999998</v>
      </c>
      <c r="AZ114" s="7" t="s">
        <v>95</v>
      </c>
    </row>
    <row r="115" spans="1:52" ht="18" customHeight="1" x14ac:dyDescent="0.25">
      <c r="A115" s="10">
        <v>57</v>
      </c>
      <c r="B115" s="10">
        <v>2</v>
      </c>
      <c r="C115" s="10">
        <v>57</v>
      </c>
      <c r="D115" s="86">
        <v>44846</v>
      </c>
      <c r="E115" s="86">
        <v>44851</v>
      </c>
      <c r="F115" s="86">
        <v>44861</v>
      </c>
      <c r="G115" s="11">
        <v>17123.599999999999</v>
      </c>
      <c r="H115" s="11">
        <v>17311.8</v>
      </c>
      <c r="I115" s="12"/>
      <c r="J115" s="12"/>
      <c r="K115" s="91">
        <f t="array" ref="K115">MAX(IF((D115&lt;[1]Nifty_D!$B$2:$B$6600)*(E115&gt;=[1]Nifty_D!$B$2:$B$6600),[1]Nifty_D!$F$2:$F$6600,""))</f>
        <v>17311.8</v>
      </c>
      <c r="L115" s="92">
        <f t="shared" si="7"/>
        <v>1.0990679530005432E-2</v>
      </c>
      <c r="M115" s="91">
        <f t="shared" si="8"/>
        <v>5687.9</v>
      </c>
      <c r="N115" s="93">
        <f t="array" ref="N115">INDEX([1]Nifty_D!$B$2:$B$6600,MATCH(E115,[1]Nifty_D!$B$2:$B$6600,0)-1)</f>
        <v>44848</v>
      </c>
      <c r="O115" s="89">
        <f>VLOOKUP(N115,[1]Nifty_D!$B$2:$F$6600,5,0)</f>
        <v>17185.7</v>
      </c>
      <c r="P115" s="92">
        <f t="shared" si="9"/>
        <v>3.6265738512930579E-3</v>
      </c>
      <c r="Q115" s="12" t="s">
        <v>40</v>
      </c>
      <c r="R115" s="10">
        <v>17500</v>
      </c>
      <c r="S115" s="103">
        <f>MROUND(G115,500)</f>
        <v>17000</v>
      </c>
      <c r="T115" s="103">
        <f>S115-R115</f>
        <v>-500</v>
      </c>
      <c r="U115" s="12" t="s">
        <v>92</v>
      </c>
      <c r="V115" s="10">
        <v>65</v>
      </c>
      <c r="W115" s="11">
        <v>499.8</v>
      </c>
      <c r="X115" s="11">
        <v>313.7</v>
      </c>
      <c r="Y115" s="13">
        <v>-1.2252000000000001</v>
      </c>
      <c r="Z115" s="13">
        <v>0.85850000000000004</v>
      </c>
      <c r="AA115" s="10">
        <v>0</v>
      </c>
      <c r="AB115" s="14">
        <v>0</v>
      </c>
      <c r="AC115" s="11">
        <v>-186.1</v>
      </c>
      <c r="AD115" s="14">
        <v>-1.086804176691817E-2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 t="s">
        <v>95</v>
      </c>
    </row>
    <row r="116" spans="1:52" ht="18" hidden="1" customHeight="1" x14ac:dyDescent="0.25">
      <c r="A116" s="4">
        <v>58</v>
      </c>
      <c r="B116" s="4">
        <v>1</v>
      </c>
      <c r="C116" s="4">
        <v>58</v>
      </c>
      <c r="D116" s="85">
        <v>44851</v>
      </c>
      <c r="E116" s="85">
        <v>44852</v>
      </c>
      <c r="F116" s="85">
        <v>44854</v>
      </c>
      <c r="G116" s="5">
        <v>17311.8</v>
      </c>
      <c r="H116" s="5">
        <v>17486.95</v>
      </c>
      <c r="I116" s="5">
        <v>175.15</v>
      </c>
      <c r="J116" s="6">
        <v>1.0117376587067781E-2</v>
      </c>
      <c r="K116" s="91">
        <f t="array" ref="K116">MAX(IF((D116&lt;[1]Nifty_D!$B$2:$B$6600)*(E116&gt;=[1]Nifty_D!$B$2:$B$6600),[1]Nifty_D!$F$2:$F$6600,""))</f>
        <v>17486.95</v>
      </c>
      <c r="L116" s="92">
        <f t="shared" si="7"/>
        <v>1.0117376587067906E-2</v>
      </c>
      <c r="M116" s="91">
        <f t="shared" si="8"/>
        <v>5863.0500000000011</v>
      </c>
      <c r="N116" s="93">
        <f t="array" ref="N116">INDEX([1]Nifty_D!$B$2:$B$6600,MATCH(E116,[1]Nifty_D!$B$2:$B$6600,0)-1)</f>
        <v>44851</v>
      </c>
      <c r="O116" s="89">
        <f>VLOOKUP(N116,[1]Nifty_D!$B$2:$F$6600,5,0)</f>
        <v>17311.8</v>
      </c>
      <c r="P116" s="92">
        <f t="shared" si="9"/>
        <v>0</v>
      </c>
      <c r="Q116" s="7" t="s">
        <v>28</v>
      </c>
      <c r="R116" s="4">
        <v>17300</v>
      </c>
      <c r="S116" s="102"/>
      <c r="T116" s="102"/>
      <c r="U116" s="7" t="s">
        <v>90</v>
      </c>
      <c r="V116" s="4">
        <v>65</v>
      </c>
      <c r="W116" s="4">
        <v>123</v>
      </c>
      <c r="X116" s="5">
        <v>222.85</v>
      </c>
      <c r="Y116" s="8">
        <v>-0.81269999999999998</v>
      </c>
      <c r="Z116" s="8">
        <v>-0.3604</v>
      </c>
      <c r="AA116" s="5">
        <v>-99.85</v>
      </c>
      <c r="AB116" s="6">
        <v>-5.7677422336209986E-3</v>
      </c>
      <c r="AC116" s="4">
        <v>0</v>
      </c>
      <c r="AD116" s="6">
        <v>0</v>
      </c>
      <c r="AE116" s="5">
        <v>30572.65</v>
      </c>
      <c r="AF116" s="4">
        <v>30908</v>
      </c>
      <c r="AG116" s="5">
        <v>335.35</v>
      </c>
      <c r="AH116" s="5">
        <v>1.0969</v>
      </c>
      <c r="AI116" s="4">
        <v>1</v>
      </c>
      <c r="AJ116" s="5">
        <v>-1.6667000000000001E-2</v>
      </c>
      <c r="AK116" s="5">
        <v>330.25459999999998</v>
      </c>
      <c r="AL116" s="5">
        <v>1.0802</v>
      </c>
      <c r="AM116" s="8">
        <v>0.28079999999999999</v>
      </c>
      <c r="AN116" s="8">
        <v>1.1566000000000001</v>
      </c>
      <c r="AO116" s="15">
        <v>93.804599999999994</v>
      </c>
      <c r="AP116" s="15">
        <v>-0.28560000000000002</v>
      </c>
      <c r="AQ116" s="5">
        <v>103.47069999999999</v>
      </c>
      <c r="AR116" s="5">
        <v>105.9563</v>
      </c>
      <c r="AS116" s="5">
        <v>-2.4855999999999998</v>
      </c>
      <c r="AT116" s="5">
        <v>-2.3458999999999999</v>
      </c>
      <c r="AU116" s="8">
        <v>-0.50729999999999997</v>
      </c>
      <c r="AV116" s="8">
        <v>-0.55669999999999997</v>
      </c>
      <c r="AW116" s="8">
        <v>-0.55669999999999997</v>
      </c>
      <c r="AX116" s="5">
        <v>103.18940000000001</v>
      </c>
      <c r="AY116" s="5">
        <v>-2.6114000000000002</v>
      </c>
      <c r="AZ116" s="7" t="s">
        <v>97</v>
      </c>
    </row>
    <row r="117" spans="1:52" ht="18" customHeight="1" x14ac:dyDescent="0.25">
      <c r="A117" s="10">
        <v>58</v>
      </c>
      <c r="B117" s="10">
        <v>2</v>
      </c>
      <c r="C117" s="10">
        <v>58</v>
      </c>
      <c r="D117" s="86">
        <v>44851</v>
      </c>
      <c r="E117" s="86">
        <v>44852</v>
      </c>
      <c r="F117" s="86">
        <v>44861</v>
      </c>
      <c r="G117" s="11">
        <v>17311.8</v>
      </c>
      <c r="H117" s="11">
        <v>17486.95</v>
      </c>
      <c r="I117" s="12"/>
      <c r="J117" s="12"/>
      <c r="K117" s="91">
        <f t="array" ref="K117">MAX(IF((D117&lt;[1]Nifty_D!$B$2:$B$6600)*(E117&gt;=[1]Nifty_D!$B$2:$B$6600),[1]Nifty_D!$F$2:$F$6600,""))</f>
        <v>17486.95</v>
      </c>
      <c r="L117" s="92">
        <f t="shared" si="7"/>
        <v>1.0117376587067906E-2</v>
      </c>
      <c r="M117" s="91">
        <f t="shared" si="8"/>
        <v>5863.0500000000011</v>
      </c>
      <c r="N117" s="93">
        <f t="array" ref="N117">INDEX([1]Nifty_D!$B$2:$B$6600,MATCH(E117,[1]Nifty_D!$B$2:$B$6600,0)-1)</f>
        <v>44851</v>
      </c>
      <c r="O117" s="89">
        <f>VLOOKUP(N117,[1]Nifty_D!$B$2:$F$6600,5,0)</f>
        <v>17311.8</v>
      </c>
      <c r="P117" s="92">
        <f t="shared" si="9"/>
        <v>0</v>
      </c>
      <c r="Q117" s="12" t="s">
        <v>40</v>
      </c>
      <c r="R117" s="10">
        <v>17500</v>
      </c>
      <c r="S117" s="103">
        <f>MROUND(G117,500)</f>
        <v>17500</v>
      </c>
      <c r="T117" s="103">
        <f>S117-R117</f>
        <v>0</v>
      </c>
      <c r="U117" s="12" t="s">
        <v>92</v>
      </c>
      <c r="V117" s="10">
        <v>65</v>
      </c>
      <c r="W117" s="11">
        <v>313.7</v>
      </c>
      <c r="X117" s="11">
        <v>177.1</v>
      </c>
      <c r="Y117" s="13">
        <v>-0.85119999999999996</v>
      </c>
      <c r="Z117" s="13">
        <v>-0.47710000000000002</v>
      </c>
      <c r="AA117" s="10">
        <v>0</v>
      </c>
      <c r="AB117" s="14">
        <v>0</v>
      </c>
      <c r="AC117" s="11">
        <v>-136.6</v>
      </c>
      <c r="AD117" s="14">
        <v>-7.8905717487494087E-3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 t="s">
        <v>97</v>
      </c>
    </row>
    <row r="118" spans="1:52" ht="18" hidden="1" customHeight="1" x14ac:dyDescent="0.25">
      <c r="A118" s="4">
        <v>59</v>
      </c>
      <c r="B118" s="4">
        <v>1</v>
      </c>
      <c r="C118" s="4">
        <v>59</v>
      </c>
      <c r="D118" s="85">
        <v>44852</v>
      </c>
      <c r="E118" s="85">
        <v>44853</v>
      </c>
      <c r="F118" s="85">
        <v>44854</v>
      </c>
      <c r="G118" s="5">
        <v>17486.95</v>
      </c>
      <c r="H118" s="5">
        <v>17512.25</v>
      </c>
      <c r="I118" s="5">
        <v>25.3</v>
      </c>
      <c r="J118" s="6">
        <v>1.4467931800571281E-3</v>
      </c>
      <c r="K118" s="91">
        <f t="array" ref="K118">MAX(IF((D118&lt;[1]Nifty_D!$B$2:$B$6600)*(E118&gt;=[1]Nifty_D!$B$2:$B$6600),[1]Nifty_D!$F$2:$F$6600,""))</f>
        <v>17512.25</v>
      </c>
      <c r="L118" s="92">
        <f t="shared" si="7"/>
        <v>1.4467931800570266E-3</v>
      </c>
      <c r="M118" s="91">
        <f t="shared" si="8"/>
        <v>5888.35</v>
      </c>
      <c r="N118" s="93">
        <f t="array" ref="N118">INDEX([1]Nifty_D!$B$2:$B$6600,MATCH(E118,[1]Nifty_D!$B$2:$B$6600,0)-1)</f>
        <v>44852</v>
      </c>
      <c r="O118" s="89">
        <f>VLOOKUP(N118,[1]Nifty_D!$B$2:$F$6600,5,0)</f>
        <v>17486.95</v>
      </c>
      <c r="P118" s="92">
        <f t="shared" si="9"/>
        <v>0</v>
      </c>
      <c r="Q118" s="7" t="s">
        <v>28</v>
      </c>
      <c r="R118" s="4">
        <v>17500</v>
      </c>
      <c r="S118" s="102"/>
      <c r="T118" s="102"/>
      <c r="U118" s="7" t="s">
        <v>90</v>
      </c>
      <c r="V118" s="4">
        <v>65</v>
      </c>
      <c r="W118" s="5">
        <v>85.45</v>
      </c>
      <c r="X118" s="5">
        <v>62.4</v>
      </c>
      <c r="Y118" s="8">
        <v>-0.28339999999999999</v>
      </c>
      <c r="Z118" s="8">
        <v>0.20419999999999999</v>
      </c>
      <c r="AA118" s="5">
        <v>23.05</v>
      </c>
      <c r="AB118" s="6">
        <v>1.318125802384064E-3</v>
      </c>
      <c r="AC118" s="4">
        <v>0</v>
      </c>
      <c r="AD118" s="6">
        <v>0</v>
      </c>
      <c r="AE118" s="4">
        <v>30908</v>
      </c>
      <c r="AF118" s="5">
        <v>30984.45</v>
      </c>
      <c r="AG118" s="5">
        <v>76.45</v>
      </c>
      <c r="AH118" s="5">
        <v>0.24729999999999999</v>
      </c>
      <c r="AI118" s="4">
        <v>1</v>
      </c>
      <c r="AJ118" s="5">
        <v>-1.6667000000000001E-2</v>
      </c>
      <c r="AK118" s="5">
        <v>71.298699999999997</v>
      </c>
      <c r="AL118" s="5">
        <v>0.23069999999999999</v>
      </c>
      <c r="AM118" s="8">
        <v>-3.6200000000000003E-2</v>
      </c>
      <c r="AN118" s="8">
        <v>0.55879999999999996</v>
      </c>
      <c r="AO118" s="15">
        <v>80.198700000000002</v>
      </c>
      <c r="AP118" s="15">
        <v>0.28160000000000002</v>
      </c>
      <c r="AQ118" s="5">
        <v>103.762</v>
      </c>
      <c r="AR118" s="5">
        <v>105.9563</v>
      </c>
      <c r="AS118" s="5">
        <v>-2.1943000000000001</v>
      </c>
      <c r="AT118" s="5">
        <v>-2.0709</v>
      </c>
      <c r="AU118" s="8">
        <v>-2.6800000000000001E-2</v>
      </c>
      <c r="AV118" s="8">
        <v>0.18459999999999999</v>
      </c>
      <c r="AW118" s="8">
        <v>-2.6800000000000001E-2</v>
      </c>
      <c r="AX118" s="5">
        <v>103.44289999999999</v>
      </c>
      <c r="AY118" s="5">
        <v>-2.3721000000000001</v>
      </c>
      <c r="AZ118" s="7" t="s">
        <v>91</v>
      </c>
    </row>
    <row r="119" spans="1:52" ht="18" customHeight="1" x14ac:dyDescent="0.25">
      <c r="A119" s="10">
        <v>59</v>
      </c>
      <c r="B119" s="10">
        <v>2</v>
      </c>
      <c r="C119" s="10">
        <v>59</v>
      </c>
      <c r="D119" s="86">
        <v>44852</v>
      </c>
      <c r="E119" s="86">
        <v>44853</v>
      </c>
      <c r="F119" s="86">
        <v>44861</v>
      </c>
      <c r="G119" s="11">
        <v>17486.95</v>
      </c>
      <c r="H119" s="11">
        <v>17512.25</v>
      </c>
      <c r="I119" s="12"/>
      <c r="J119" s="12"/>
      <c r="K119" s="91">
        <f t="array" ref="K119">MAX(IF((D119&lt;[1]Nifty_D!$B$2:$B$6600)*(E119&gt;=[1]Nifty_D!$B$2:$B$6600),[1]Nifty_D!$F$2:$F$6600,""))</f>
        <v>17512.25</v>
      </c>
      <c r="L119" s="92">
        <f t="shared" si="7"/>
        <v>1.4467931800570266E-3</v>
      </c>
      <c r="M119" s="91">
        <f t="shared" si="8"/>
        <v>5888.35</v>
      </c>
      <c r="N119" s="93">
        <f t="array" ref="N119">INDEX([1]Nifty_D!$B$2:$B$6600,MATCH(E119,[1]Nifty_D!$B$2:$B$6600,0)-1)</f>
        <v>44852</v>
      </c>
      <c r="O119" s="89">
        <f>VLOOKUP(N119,[1]Nifty_D!$B$2:$F$6600,5,0)</f>
        <v>17486.95</v>
      </c>
      <c r="P119" s="92">
        <f t="shared" si="9"/>
        <v>0</v>
      </c>
      <c r="Q119" s="12" t="s">
        <v>40</v>
      </c>
      <c r="R119" s="10">
        <v>17500</v>
      </c>
      <c r="S119" s="103">
        <f>MROUND(G119,500)</f>
        <v>17500</v>
      </c>
      <c r="T119" s="103">
        <f>S119-R119</f>
        <v>0</v>
      </c>
      <c r="U119" s="12" t="s">
        <v>92</v>
      </c>
      <c r="V119" s="10">
        <v>65</v>
      </c>
      <c r="W119" s="11">
        <v>177.1</v>
      </c>
      <c r="X119" s="11">
        <v>162.94999999999999</v>
      </c>
      <c r="Y119" s="13">
        <v>-0.30220000000000002</v>
      </c>
      <c r="Z119" s="13">
        <v>1.66E-2</v>
      </c>
      <c r="AA119" s="10">
        <v>0</v>
      </c>
      <c r="AB119" s="14">
        <v>0</v>
      </c>
      <c r="AC119" s="11">
        <v>-14.15</v>
      </c>
      <c r="AD119" s="14">
        <v>-8.0917484181060729E-4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 t="s">
        <v>91</v>
      </c>
    </row>
    <row r="120" spans="1:52" ht="18" hidden="1" customHeight="1" x14ac:dyDescent="0.25">
      <c r="A120" s="4">
        <v>60</v>
      </c>
      <c r="B120" s="4">
        <v>1</v>
      </c>
      <c r="C120" s="4">
        <v>60</v>
      </c>
      <c r="D120" s="85">
        <v>44853</v>
      </c>
      <c r="E120" s="85">
        <v>44858</v>
      </c>
      <c r="F120" s="85">
        <v>44861</v>
      </c>
      <c r="G120" s="5">
        <v>17512.25</v>
      </c>
      <c r="H120" s="5">
        <v>17730.75</v>
      </c>
      <c r="I120" s="5">
        <v>218.5</v>
      </c>
      <c r="J120" s="6">
        <v>1.247698039943468E-2</v>
      </c>
      <c r="K120" s="91">
        <f t="array" ref="K120">MAX(IF((D120&lt;[1]Nifty_D!$B$2:$B$6600)*(E120&gt;=[1]Nifty_D!$B$2:$B$6600),[1]Nifty_D!$F$2:$F$6600,""))</f>
        <v>17730.75</v>
      </c>
      <c r="L120" s="92">
        <f t="shared" si="7"/>
        <v>1.2476980399434678E-2</v>
      </c>
      <c r="M120" s="91">
        <f t="shared" si="8"/>
        <v>6106.85</v>
      </c>
      <c r="N120" s="93">
        <f t="array" ref="N120">INDEX([1]Nifty_D!$B$2:$B$6600,MATCH(E120,[1]Nifty_D!$B$2:$B$6600,0)-1)</f>
        <v>44855</v>
      </c>
      <c r="O120" s="89">
        <f>VLOOKUP(N120,[1]Nifty_D!$B$2:$F$6600,5,0)</f>
        <v>17576.3</v>
      </c>
      <c r="P120" s="92">
        <f t="shared" si="9"/>
        <v>3.6574397921453894E-3</v>
      </c>
      <c r="Q120" s="7" t="s">
        <v>28</v>
      </c>
      <c r="R120" s="4">
        <v>17500</v>
      </c>
      <c r="S120" s="102"/>
      <c r="T120" s="102"/>
      <c r="U120" s="7" t="s">
        <v>90</v>
      </c>
      <c r="V120" s="4">
        <v>65</v>
      </c>
      <c r="W120" s="5">
        <v>156.30000000000001</v>
      </c>
      <c r="X120" s="5">
        <v>256.05</v>
      </c>
      <c r="Y120" s="8">
        <v>-1.0082</v>
      </c>
      <c r="Z120" s="8">
        <v>0.33489999999999998</v>
      </c>
      <c r="AA120" s="5">
        <v>-99.75</v>
      </c>
      <c r="AB120" s="6">
        <v>-5.6960127910462678E-3</v>
      </c>
      <c r="AC120" s="4">
        <v>0</v>
      </c>
      <c r="AD120" s="6">
        <v>0</v>
      </c>
      <c r="AE120" s="5">
        <v>30984.45</v>
      </c>
      <c r="AF120" s="5">
        <v>30845.200000000001</v>
      </c>
      <c r="AG120" s="5">
        <v>-139.25</v>
      </c>
      <c r="AH120" s="5">
        <v>-0.44940000000000002</v>
      </c>
      <c r="AI120" s="4">
        <v>5</v>
      </c>
      <c r="AJ120" s="5">
        <v>-8.3333000000000004E-2</v>
      </c>
      <c r="AK120" s="5">
        <v>-165.07040000000001</v>
      </c>
      <c r="AL120" s="5">
        <v>-0.53280000000000005</v>
      </c>
      <c r="AM120" s="8">
        <v>-1.2666999999999999</v>
      </c>
      <c r="AN120" s="8">
        <v>0.31259999999999999</v>
      </c>
      <c r="AO120" s="9">
        <v>-406.5204</v>
      </c>
      <c r="AP120" s="9">
        <v>-1.9115</v>
      </c>
      <c r="AQ120" s="5">
        <v>101.7786</v>
      </c>
      <c r="AR120" s="5">
        <v>105.9563</v>
      </c>
      <c r="AS120" s="5">
        <v>-4.1776999999999997</v>
      </c>
      <c r="AT120" s="5">
        <v>-3.9428000000000001</v>
      </c>
      <c r="AU120" s="8">
        <v>-1.5627</v>
      </c>
      <c r="AV120" s="8">
        <v>-0.65539999999999998</v>
      </c>
      <c r="AW120" s="8">
        <v>-1.9115</v>
      </c>
      <c r="AX120" s="5">
        <v>101.7786</v>
      </c>
      <c r="AY120" s="5">
        <v>-3.9428000000000001</v>
      </c>
      <c r="AZ120" s="7" t="s">
        <v>97</v>
      </c>
    </row>
    <row r="121" spans="1:52" ht="18" customHeight="1" x14ac:dyDescent="0.25">
      <c r="A121" s="10">
        <v>60</v>
      </c>
      <c r="B121" s="10">
        <v>2</v>
      </c>
      <c r="C121" s="10">
        <v>60</v>
      </c>
      <c r="D121" s="86">
        <v>44853</v>
      </c>
      <c r="E121" s="86">
        <v>44858</v>
      </c>
      <c r="F121" s="86">
        <v>44861</v>
      </c>
      <c r="G121" s="11">
        <v>17512.25</v>
      </c>
      <c r="H121" s="11">
        <v>17730.75</v>
      </c>
      <c r="I121" s="12"/>
      <c r="J121" s="12"/>
      <c r="K121" s="91">
        <f t="array" ref="K121">MAX(IF((D121&lt;[1]Nifty_D!$B$2:$B$6600)*(E121&gt;=[1]Nifty_D!$B$2:$B$6600),[1]Nifty_D!$F$2:$F$6600,""))</f>
        <v>17730.75</v>
      </c>
      <c r="L121" s="92">
        <f t="shared" si="7"/>
        <v>1.2476980399434678E-2</v>
      </c>
      <c r="M121" s="91">
        <f t="shared" si="8"/>
        <v>6106.85</v>
      </c>
      <c r="N121" s="93">
        <f t="array" ref="N121">INDEX([1]Nifty_D!$B$2:$B$6600,MATCH(E121,[1]Nifty_D!$B$2:$B$6600,0)-1)</f>
        <v>44855</v>
      </c>
      <c r="O121" s="89">
        <f>VLOOKUP(N121,[1]Nifty_D!$B$2:$F$6600,5,0)</f>
        <v>17576.3</v>
      </c>
      <c r="P121" s="92">
        <f t="shared" si="9"/>
        <v>3.6574397921453894E-3</v>
      </c>
      <c r="Q121" s="12" t="s">
        <v>40</v>
      </c>
      <c r="R121" s="10">
        <v>17500</v>
      </c>
      <c r="S121" s="103">
        <f>MROUND(G121,500)</f>
        <v>17500</v>
      </c>
      <c r="T121" s="103">
        <f>S121-R121</f>
        <v>0</v>
      </c>
      <c r="U121" s="12" t="s">
        <v>92</v>
      </c>
      <c r="V121" s="10">
        <v>65</v>
      </c>
      <c r="W121" s="11">
        <v>162.94999999999999</v>
      </c>
      <c r="X121" s="11">
        <v>21.25</v>
      </c>
      <c r="Y121" s="13">
        <v>-0.86709999999999998</v>
      </c>
      <c r="Z121" s="13">
        <v>0.27639999999999998</v>
      </c>
      <c r="AA121" s="10">
        <v>0</v>
      </c>
      <c r="AB121" s="14">
        <v>0</v>
      </c>
      <c r="AC121" s="11">
        <v>-141.69999999999999</v>
      </c>
      <c r="AD121" s="14">
        <v>-8.0914788219674794E-3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 t="s">
        <v>97</v>
      </c>
    </row>
    <row r="122" spans="1:52" ht="18" hidden="1" customHeight="1" x14ac:dyDescent="0.25">
      <c r="A122" s="4">
        <v>61</v>
      </c>
      <c r="B122" s="4">
        <v>1</v>
      </c>
      <c r="C122" s="4">
        <v>61</v>
      </c>
      <c r="D122" s="85">
        <v>44858</v>
      </c>
      <c r="E122" s="85">
        <v>44859</v>
      </c>
      <c r="F122" s="85">
        <v>44861</v>
      </c>
      <c r="G122" s="5">
        <v>17730.75</v>
      </c>
      <c r="H122" s="5">
        <v>17656.349999999999</v>
      </c>
      <c r="I122" s="5">
        <v>-74.400000000000006</v>
      </c>
      <c r="J122" s="6">
        <v>-4.196099995770061E-3</v>
      </c>
      <c r="K122" s="91">
        <f t="array" ref="K122">MAX(IF((D122&lt;[1]Nifty_D!$B$2:$B$6600)*(E122&gt;=[1]Nifty_D!$B$2:$B$6600),[1]Nifty_D!$F$2:$F$6600,""))</f>
        <v>17656.349999999999</v>
      </c>
      <c r="L122" s="92">
        <f t="shared" si="7"/>
        <v>-4.1960999957701972E-3</v>
      </c>
      <c r="M122" s="91">
        <f t="shared" si="8"/>
        <v>6032.4499999999989</v>
      </c>
      <c r="N122" s="93">
        <f t="array" ref="N122">INDEX([1]Nifty_D!$B$2:$B$6600,MATCH(E122,[1]Nifty_D!$B$2:$B$6600,0)-1)</f>
        <v>44858</v>
      </c>
      <c r="O122" s="89">
        <f>VLOOKUP(N122,[1]Nifty_D!$B$2:$F$6600,5,0)</f>
        <v>17730.75</v>
      </c>
      <c r="P122" s="92">
        <f t="shared" si="9"/>
        <v>0</v>
      </c>
      <c r="Q122" s="7" t="s">
        <v>28</v>
      </c>
      <c r="R122" s="4">
        <v>17700</v>
      </c>
      <c r="S122" s="102"/>
      <c r="T122" s="102"/>
      <c r="U122" s="7" t="s">
        <v>90</v>
      </c>
      <c r="V122" s="4">
        <v>65</v>
      </c>
      <c r="W122" s="5">
        <v>105.6</v>
      </c>
      <c r="X122" s="5">
        <v>48.9</v>
      </c>
      <c r="Y122" s="8">
        <v>-0.16020000000000001</v>
      </c>
      <c r="Z122" s="8">
        <v>0.3508</v>
      </c>
      <c r="AA122" s="5">
        <v>56.7</v>
      </c>
      <c r="AB122" s="6">
        <v>3.197834270969925E-3</v>
      </c>
      <c r="AC122" s="4">
        <v>0</v>
      </c>
      <c r="AD122" s="6">
        <v>0</v>
      </c>
      <c r="AE122" s="5">
        <v>30845.200000000001</v>
      </c>
      <c r="AF122" s="5">
        <v>30982.7</v>
      </c>
      <c r="AG122" s="5">
        <v>137.5</v>
      </c>
      <c r="AH122" s="5">
        <v>0.44579999999999997</v>
      </c>
      <c r="AI122" s="4">
        <v>1</v>
      </c>
      <c r="AJ122" s="5">
        <v>-1.6667000000000001E-2</v>
      </c>
      <c r="AK122" s="5">
        <v>132.35910000000001</v>
      </c>
      <c r="AL122" s="5">
        <v>0.42909999999999998</v>
      </c>
      <c r="AM122" s="8">
        <v>-0.56879999999999997</v>
      </c>
      <c r="AN122" s="8">
        <v>0.69869999999999999</v>
      </c>
      <c r="AO122" s="15">
        <v>187.45910000000001</v>
      </c>
      <c r="AP122" s="15">
        <v>0.7399</v>
      </c>
      <c r="AQ122" s="5">
        <v>102.5317</v>
      </c>
      <c r="AR122" s="5">
        <v>105.9563</v>
      </c>
      <c r="AS122" s="5">
        <v>-3.4245999999999999</v>
      </c>
      <c r="AT122" s="5">
        <v>-3.2321</v>
      </c>
      <c r="AU122" s="8">
        <v>0.46460000000000001</v>
      </c>
      <c r="AV122" s="8">
        <v>-0.21290000000000001</v>
      </c>
      <c r="AW122" s="8">
        <v>-0.21290000000000001</v>
      </c>
      <c r="AX122" s="5">
        <v>101.56189999999999</v>
      </c>
      <c r="AY122" s="5">
        <v>-4.1473000000000004</v>
      </c>
      <c r="AZ122" s="7" t="s">
        <v>91</v>
      </c>
    </row>
    <row r="123" spans="1:52" ht="18" customHeight="1" x14ac:dyDescent="0.25">
      <c r="A123" s="10">
        <v>61</v>
      </c>
      <c r="B123" s="10">
        <v>2</v>
      </c>
      <c r="C123" s="10">
        <v>61</v>
      </c>
      <c r="D123" s="86">
        <v>44858</v>
      </c>
      <c r="E123" s="86">
        <v>44859</v>
      </c>
      <c r="F123" s="86">
        <v>44861</v>
      </c>
      <c r="G123" s="11">
        <v>17730.75</v>
      </c>
      <c r="H123" s="11">
        <v>17656.349999999999</v>
      </c>
      <c r="I123" s="12"/>
      <c r="J123" s="12"/>
      <c r="K123" s="91">
        <f t="array" ref="K123">MAX(IF((D123&lt;[1]Nifty_D!$B$2:$B$6600)*(E123&gt;=[1]Nifty_D!$B$2:$B$6600),[1]Nifty_D!$F$2:$F$6600,""))</f>
        <v>17656.349999999999</v>
      </c>
      <c r="L123" s="92">
        <f t="shared" si="7"/>
        <v>-4.1960999957701972E-3</v>
      </c>
      <c r="M123" s="91">
        <f t="shared" si="8"/>
        <v>6032.4499999999989</v>
      </c>
      <c r="N123" s="93">
        <f t="array" ref="N123">INDEX([1]Nifty_D!$B$2:$B$6600,MATCH(E123,[1]Nifty_D!$B$2:$B$6600,0)-1)</f>
        <v>44858</v>
      </c>
      <c r="O123" s="89">
        <f>VLOOKUP(N123,[1]Nifty_D!$B$2:$F$6600,5,0)</f>
        <v>17730.75</v>
      </c>
      <c r="P123" s="92">
        <f t="shared" si="9"/>
        <v>0</v>
      </c>
      <c r="Q123" s="12" t="s">
        <v>40</v>
      </c>
      <c r="R123" s="10">
        <v>17500</v>
      </c>
      <c r="S123" s="103">
        <f>MROUND(G123,500)</f>
        <v>17500</v>
      </c>
      <c r="T123" s="103">
        <f>S123-R123</f>
        <v>0</v>
      </c>
      <c r="U123" s="12" t="s">
        <v>92</v>
      </c>
      <c r="V123" s="10">
        <v>65</v>
      </c>
      <c r="W123" s="11">
        <v>21.25</v>
      </c>
      <c r="X123" s="11">
        <v>19.649999999999999</v>
      </c>
      <c r="Y123" s="13">
        <v>-7.3899999999999993E-2</v>
      </c>
      <c r="Z123" s="13">
        <v>5.1000000000000004E-3</v>
      </c>
      <c r="AA123" s="10">
        <v>0</v>
      </c>
      <c r="AB123" s="14">
        <v>0</v>
      </c>
      <c r="AC123" s="11">
        <v>-1.6</v>
      </c>
      <c r="AD123" s="14">
        <v>-9.0238709586452922E-5</v>
      </c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 t="s">
        <v>91</v>
      </c>
    </row>
    <row r="124" spans="1:52" ht="18" hidden="1" customHeight="1" x14ac:dyDescent="0.25">
      <c r="A124" s="4">
        <v>62</v>
      </c>
      <c r="B124" s="4">
        <v>1</v>
      </c>
      <c r="C124" s="4">
        <v>62</v>
      </c>
      <c r="D124" s="85">
        <v>44859</v>
      </c>
      <c r="E124" s="85">
        <v>44865</v>
      </c>
      <c r="F124" s="85">
        <v>44868</v>
      </c>
      <c r="G124" s="5">
        <v>17656.349999999999</v>
      </c>
      <c r="H124" s="5">
        <v>18012.2</v>
      </c>
      <c r="I124" s="5">
        <v>355.85</v>
      </c>
      <c r="J124" s="6">
        <v>2.0154222135379062E-2</v>
      </c>
      <c r="K124" s="91">
        <f t="array" ref="K124">MAX(IF((D124&lt;[1]Nifty_D!$B$2:$B$6600)*(E124&gt;=[1]Nifty_D!$B$2:$B$6600),[1]Nifty_D!$F$2:$F$6600,""))</f>
        <v>18012.2</v>
      </c>
      <c r="L124" s="92">
        <f t="shared" si="7"/>
        <v>2.0154222135379207E-2</v>
      </c>
      <c r="M124" s="91">
        <f t="shared" si="8"/>
        <v>6388.3000000000011</v>
      </c>
      <c r="N124" s="93">
        <f t="array" ref="N124">INDEX([1]Nifty_D!$B$2:$B$6600,MATCH(E124,[1]Nifty_D!$B$2:$B$6600,0)-1)</f>
        <v>44862</v>
      </c>
      <c r="O124" s="89">
        <f>VLOOKUP(N124,[1]Nifty_D!$B$2:$F$6600,5,0)</f>
        <v>17786.8</v>
      </c>
      <c r="P124" s="92">
        <f t="shared" si="9"/>
        <v>7.388276738963695E-3</v>
      </c>
      <c r="Q124" s="7" t="s">
        <v>28</v>
      </c>
      <c r="R124" s="4">
        <v>17700</v>
      </c>
      <c r="S124" s="102"/>
      <c r="T124" s="102"/>
      <c r="U124" s="7" t="s">
        <v>90</v>
      </c>
      <c r="V124" s="4">
        <v>65</v>
      </c>
      <c r="W124" s="5">
        <v>146.15</v>
      </c>
      <c r="X124" s="5">
        <v>329.6</v>
      </c>
      <c r="Y124" s="8">
        <v>-1.1012999999999999</v>
      </c>
      <c r="Z124" s="8">
        <v>8.4400000000000003E-2</v>
      </c>
      <c r="AA124" s="5">
        <v>-183.45</v>
      </c>
      <c r="AB124" s="6">
        <v>-1.03900296493896E-2</v>
      </c>
      <c r="AC124" s="4">
        <v>0</v>
      </c>
      <c r="AD124" s="6">
        <v>0</v>
      </c>
      <c r="AE124" s="5">
        <v>30982.7</v>
      </c>
      <c r="AF124" s="5">
        <v>31432.3</v>
      </c>
      <c r="AG124" s="5">
        <v>449.6</v>
      </c>
      <c r="AH124" s="5">
        <v>1.4511000000000001</v>
      </c>
      <c r="AI124" s="4">
        <v>6</v>
      </c>
      <c r="AJ124" s="5">
        <v>-0.1</v>
      </c>
      <c r="AK124" s="5">
        <v>418.6173</v>
      </c>
      <c r="AL124" s="5">
        <v>1.3511</v>
      </c>
      <c r="AM124" s="8">
        <v>-0.22900000000000001</v>
      </c>
      <c r="AN124" s="8">
        <v>1.4227000000000001</v>
      </c>
      <c r="AO124" s="15">
        <v>89.517300000000006</v>
      </c>
      <c r="AP124" s="15">
        <v>-0.51280000000000003</v>
      </c>
      <c r="AQ124" s="5">
        <v>102.0059</v>
      </c>
      <c r="AR124" s="5">
        <v>105.9563</v>
      </c>
      <c r="AS124" s="5">
        <v>-3.9504000000000001</v>
      </c>
      <c r="AT124" s="5">
        <v>-3.7282999999999999</v>
      </c>
      <c r="AU124" s="8">
        <v>-0.51739999999999997</v>
      </c>
      <c r="AV124" s="8">
        <v>-0.2301</v>
      </c>
      <c r="AW124" s="8">
        <v>-0.51739999999999997</v>
      </c>
      <c r="AX124" s="5">
        <v>102.0012</v>
      </c>
      <c r="AY124" s="5">
        <v>-3.7328000000000001</v>
      </c>
      <c r="AZ124" s="7" t="s">
        <v>97</v>
      </c>
    </row>
    <row r="125" spans="1:52" ht="18" customHeight="1" x14ac:dyDescent="0.25">
      <c r="A125" s="10">
        <v>62</v>
      </c>
      <c r="B125" s="10">
        <v>2</v>
      </c>
      <c r="C125" s="10">
        <v>62</v>
      </c>
      <c r="D125" s="86">
        <v>44859</v>
      </c>
      <c r="E125" s="86">
        <v>44865</v>
      </c>
      <c r="F125" s="86">
        <v>44889</v>
      </c>
      <c r="G125" s="11">
        <v>17656.349999999999</v>
      </c>
      <c r="H125" s="11">
        <v>18012.2</v>
      </c>
      <c r="I125" s="12"/>
      <c r="J125" s="12"/>
      <c r="K125" s="91">
        <f t="array" ref="K125">MAX(IF((D125&lt;[1]Nifty_D!$B$2:$B$6600)*(E125&gt;=[1]Nifty_D!$B$2:$B$6600),[1]Nifty_D!$F$2:$F$6600,""))</f>
        <v>18012.2</v>
      </c>
      <c r="L125" s="92">
        <f t="shared" si="7"/>
        <v>2.0154222135379207E-2</v>
      </c>
      <c r="M125" s="91">
        <f t="shared" si="8"/>
        <v>6388.3000000000011</v>
      </c>
      <c r="N125" s="93">
        <f t="array" ref="N125">INDEX([1]Nifty_D!$B$2:$B$6600,MATCH(E125,[1]Nifty_D!$B$2:$B$6600,0)-1)</f>
        <v>44862</v>
      </c>
      <c r="O125" s="89">
        <f>VLOOKUP(N125,[1]Nifty_D!$B$2:$F$6600,5,0)</f>
        <v>17786.8</v>
      </c>
      <c r="P125" s="92">
        <f t="shared" si="9"/>
        <v>7.388276738963695E-3</v>
      </c>
      <c r="Q125" s="12" t="s">
        <v>40</v>
      </c>
      <c r="R125" s="10">
        <v>17500</v>
      </c>
      <c r="S125" s="103">
        <f>MROUND(G125,500)</f>
        <v>17500</v>
      </c>
      <c r="T125" s="103">
        <f>S125-R125</f>
        <v>0</v>
      </c>
      <c r="U125" s="12" t="s">
        <v>92</v>
      </c>
      <c r="V125" s="10">
        <v>65</v>
      </c>
      <c r="W125" s="11">
        <v>245.1</v>
      </c>
      <c r="X125" s="11">
        <v>99.45</v>
      </c>
      <c r="Y125" s="13">
        <v>-0.83879999999999999</v>
      </c>
      <c r="Z125" s="13">
        <v>-8.5500000000000007E-2</v>
      </c>
      <c r="AA125" s="10">
        <v>0</v>
      </c>
      <c r="AB125" s="14">
        <v>0</v>
      </c>
      <c r="AC125" s="11">
        <v>-145.65</v>
      </c>
      <c r="AD125" s="14">
        <v>-8.249156818934832E-3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 t="s">
        <v>97</v>
      </c>
    </row>
    <row r="126" spans="1:52" ht="18" hidden="1" customHeight="1" x14ac:dyDescent="0.25">
      <c r="A126" s="4">
        <v>63</v>
      </c>
      <c r="B126" s="4">
        <v>1</v>
      </c>
      <c r="C126" s="4">
        <v>63</v>
      </c>
      <c r="D126" s="85">
        <v>44865</v>
      </c>
      <c r="E126" s="85">
        <v>44867</v>
      </c>
      <c r="F126" s="85">
        <v>44868</v>
      </c>
      <c r="G126" s="5">
        <v>18012.2</v>
      </c>
      <c r="H126" s="5">
        <v>18082.849999999999</v>
      </c>
      <c r="I126" s="5">
        <v>70.650000000000006</v>
      </c>
      <c r="J126" s="6">
        <v>3.9223415240781248E-3</v>
      </c>
      <c r="K126" s="91">
        <f t="array" ref="K126">MAX(IF((D126&lt;[1]Nifty_D!$B$2:$B$6600)*(E126&gt;=[1]Nifty_D!$B$2:$B$6600),[1]Nifty_D!$F$2:$F$6600,""))</f>
        <v>18145.400000000001</v>
      </c>
      <c r="L126" s="92">
        <f t="shared" si="7"/>
        <v>7.3949878415739967E-3</v>
      </c>
      <c r="M126" s="91">
        <f t="shared" si="8"/>
        <v>6521.5000000000018</v>
      </c>
      <c r="N126" s="93">
        <f t="array" ref="N126">INDEX([1]Nifty_D!$B$2:$B$6600,MATCH(E126,[1]Nifty_D!$B$2:$B$6600,0)-1)</f>
        <v>44866</v>
      </c>
      <c r="O126" s="89">
        <f>VLOOKUP(N126,[1]Nifty_D!$B$2:$F$6600,5,0)</f>
        <v>18145.400000000001</v>
      </c>
      <c r="P126" s="92">
        <f t="shared" si="9"/>
        <v>7.3949878415739967E-3</v>
      </c>
      <c r="Q126" s="7" t="s">
        <v>28</v>
      </c>
      <c r="R126" s="4">
        <v>18000</v>
      </c>
      <c r="S126" s="102"/>
      <c r="T126" s="102"/>
      <c r="U126" s="7" t="s">
        <v>90</v>
      </c>
      <c r="V126" s="4">
        <v>65</v>
      </c>
      <c r="W126" s="5">
        <v>107.2</v>
      </c>
      <c r="X126" s="5">
        <v>140.94999999999999</v>
      </c>
      <c r="Y126" s="8">
        <v>-0.61150000000000004</v>
      </c>
      <c r="Z126" s="8">
        <v>-6.3299999999999995E-2</v>
      </c>
      <c r="AA126" s="5">
        <v>-33.75</v>
      </c>
      <c r="AB126" s="6">
        <v>-1.873730027425856E-3</v>
      </c>
      <c r="AC126" s="4">
        <v>0</v>
      </c>
      <c r="AD126" s="6">
        <v>0</v>
      </c>
      <c r="AE126" s="5">
        <v>31432.3</v>
      </c>
      <c r="AF126" s="4">
        <v>31680</v>
      </c>
      <c r="AG126" s="5">
        <v>247.7</v>
      </c>
      <c r="AH126" s="5">
        <v>0.78800000000000003</v>
      </c>
      <c r="AI126" s="4">
        <v>2</v>
      </c>
      <c r="AJ126" s="5">
        <v>-3.3333000000000002E-2</v>
      </c>
      <c r="AK126" s="5">
        <v>237.2226</v>
      </c>
      <c r="AL126" s="5">
        <v>0.75470000000000004</v>
      </c>
      <c r="AM126" s="8">
        <v>0.2329</v>
      </c>
      <c r="AN126" s="8">
        <v>1.2261</v>
      </c>
      <c r="AO126" s="15">
        <v>170.9726</v>
      </c>
      <c r="AP126" s="15">
        <v>0.38690000000000002</v>
      </c>
      <c r="AQ126" s="5">
        <v>102.4006</v>
      </c>
      <c r="AR126" s="5">
        <v>105.9563</v>
      </c>
      <c r="AS126" s="5">
        <v>-3.5556999999999999</v>
      </c>
      <c r="AT126" s="5">
        <v>-3.3557999999999999</v>
      </c>
      <c r="AU126" s="8">
        <v>0.2374</v>
      </c>
      <c r="AV126" s="8">
        <v>7.8799999999999995E-2</v>
      </c>
      <c r="AW126" s="8">
        <v>7.8799999999999995E-2</v>
      </c>
      <c r="AX126" s="5">
        <v>102.08629999999999</v>
      </c>
      <c r="AY126" s="5">
        <v>-3.6524999999999999</v>
      </c>
      <c r="AZ126" s="7" t="s">
        <v>91</v>
      </c>
    </row>
    <row r="127" spans="1:52" ht="18" customHeight="1" x14ac:dyDescent="0.25">
      <c r="A127" s="10">
        <v>63</v>
      </c>
      <c r="B127" s="10">
        <v>2</v>
      </c>
      <c r="C127" s="10">
        <v>63</v>
      </c>
      <c r="D127" s="86">
        <v>44865</v>
      </c>
      <c r="E127" s="86">
        <v>44867</v>
      </c>
      <c r="F127" s="86">
        <v>44889</v>
      </c>
      <c r="G127" s="11">
        <v>18012.2</v>
      </c>
      <c r="H127" s="11">
        <v>18082.849999999999</v>
      </c>
      <c r="I127" s="12"/>
      <c r="J127" s="12"/>
      <c r="K127" s="91">
        <f t="array" ref="K127">MAX(IF((D127&lt;[1]Nifty_D!$B$2:$B$6600)*(E127&gt;=[1]Nifty_D!$B$2:$B$6600),[1]Nifty_D!$F$2:$F$6600,""))</f>
        <v>18145.400000000001</v>
      </c>
      <c r="L127" s="92">
        <f t="shared" si="7"/>
        <v>7.3949878415739967E-3</v>
      </c>
      <c r="M127" s="91">
        <f t="shared" si="8"/>
        <v>6521.5000000000018</v>
      </c>
      <c r="N127" s="93">
        <f t="array" ref="N127">INDEX([1]Nifty_D!$B$2:$B$6600,MATCH(E127,[1]Nifty_D!$B$2:$B$6600,0)-1)</f>
        <v>44866</v>
      </c>
      <c r="O127" s="89">
        <f>VLOOKUP(N127,[1]Nifty_D!$B$2:$F$6600,5,0)</f>
        <v>18145.400000000001</v>
      </c>
      <c r="P127" s="92">
        <f t="shared" si="9"/>
        <v>7.3949878415739967E-3</v>
      </c>
      <c r="Q127" s="12" t="s">
        <v>40</v>
      </c>
      <c r="R127" s="10">
        <v>18000</v>
      </c>
      <c r="S127" s="103">
        <f>MROUND(G127,500)</f>
        <v>18000</v>
      </c>
      <c r="T127" s="103">
        <f>S127-R127</f>
        <v>0</v>
      </c>
      <c r="U127" s="12" t="s">
        <v>92</v>
      </c>
      <c r="V127" s="10">
        <v>65</v>
      </c>
      <c r="W127" s="11">
        <v>245.35</v>
      </c>
      <c r="X127" s="11">
        <v>212.85</v>
      </c>
      <c r="Y127" s="13">
        <v>-0.37719999999999998</v>
      </c>
      <c r="Z127" s="13">
        <v>-9.0800000000000006E-2</v>
      </c>
      <c r="AA127" s="10">
        <v>0</v>
      </c>
      <c r="AB127" s="14">
        <v>0</v>
      </c>
      <c r="AC127" s="11">
        <v>-32.5</v>
      </c>
      <c r="AD127" s="14">
        <v>-1.804332619002676E-3</v>
      </c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 t="s">
        <v>91</v>
      </c>
    </row>
    <row r="128" spans="1:52" ht="18" hidden="1" customHeight="1" x14ac:dyDescent="0.25">
      <c r="A128" s="4">
        <v>64</v>
      </c>
      <c r="B128" s="4">
        <v>1</v>
      </c>
      <c r="C128" s="4">
        <v>64</v>
      </c>
      <c r="D128" s="85">
        <v>44867</v>
      </c>
      <c r="E128" s="85">
        <v>44872</v>
      </c>
      <c r="F128" s="85">
        <v>44875</v>
      </c>
      <c r="G128" s="5">
        <v>18082.849999999999</v>
      </c>
      <c r="H128" s="5">
        <v>18202.8</v>
      </c>
      <c r="I128" s="5">
        <v>119.95</v>
      </c>
      <c r="J128" s="6">
        <v>6.6333570206023942E-3</v>
      </c>
      <c r="K128" s="91">
        <f t="array" ref="K128">MAX(IF((D128&lt;[1]Nifty_D!$B$2:$B$6600)*(E128&gt;=[1]Nifty_D!$B$2:$B$6600),[1]Nifty_D!$F$2:$F$6600,""))</f>
        <v>18202.8</v>
      </c>
      <c r="L128" s="92">
        <f t="shared" si="7"/>
        <v>6.6333570206025261E-3</v>
      </c>
      <c r="M128" s="91">
        <f t="shared" si="8"/>
        <v>6578.9</v>
      </c>
      <c r="N128" s="93">
        <f t="array" ref="N128">INDEX([1]Nifty_D!$B$2:$B$6600,MATCH(E128,[1]Nifty_D!$B$2:$B$6600,0)-1)</f>
        <v>44869</v>
      </c>
      <c r="O128" s="89">
        <f>VLOOKUP(N128,[1]Nifty_D!$B$2:$F$6600,5,0)</f>
        <v>18117.150000000001</v>
      </c>
      <c r="P128" s="92">
        <f t="shared" si="9"/>
        <v>1.8968248920940844E-3</v>
      </c>
      <c r="Q128" s="7" t="s">
        <v>28</v>
      </c>
      <c r="R128" s="4">
        <v>18100</v>
      </c>
      <c r="S128" s="102"/>
      <c r="T128" s="102"/>
      <c r="U128" s="7" t="s">
        <v>90</v>
      </c>
      <c r="V128" s="4">
        <v>65</v>
      </c>
      <c r="W128" s="4">
        <v>181</v>
      </c>
      <c r="X128" s="5">
        <v>153.44999999999999</v>
      </c>
      <c r="Y128" s="8">
        <v>-0.16039999999999999</v>
      </c>
      <c r="Z128" s="8">
        <v>0.50429999999999997</v>
      </c>
      <c r="AA128" s="5">
        <v>27.55</v>
      </c>
      <c r="AB128" s="6">
        <v>1.523543025573956E-3</v>
      </c>
      <c r="AC128" s="4">
        <v>0</v>
      </c>
      <c r="AD128" s="6">
        <v>0</v>
      </c>
      <c r="AE128" s="4">
        <v>31680</v>
      </c>
      <c r="AF128" s="5">
        <v>31963.599999999999</v>
      </c>
      <c r="AG128" s="5">
        <v>283.60000000000002</v>
      </c>
      <c r="AH128" s="5">
        <v>0.8952</v>
      </c>
      <c r="AI128" s="4">
        <v>5</v>
      </c>
      <c r="AJ128" s="5">
        <v>-8.3333000000000004E-2</v>
      </c>
      <c r="AK128" s="5">
        <v>257.2</v>
      </c>
      <c r="AL128" s="5">
        <v>0.81189999999999996</v>
      </c>
      <c r="AM128" s="8">
        <v>-0.50690000000000002</v>
      </c>
      <c r="AN128" s="8">
        <v>0.8952</v>
      </c>
      <c r="AO128" s="15">
        <v>192.2</v>
      </c>
      <c r="AP128" s="15">
        <v>0.45240000000000002</v>
      </c>
      <c r="AQ128" s="5">
        <v>102.8638</v>
      </c>
      <c r="AR128" s="5">
        <v>105.9563</v>
      </c>
      <c r="AS128" s="5">
        <v>-3.0924999999999998</v>
      </c>
      <c r="AT128" s="5">
        <v>-2.9186000000000001</v>
      </c>
      <c r="AU128" s="8">
        <v>0.20250000000000001</v>
      </c>
      <c r="AV128" s="8">
        <v>0.29909999999999998</v>
      </c>
      <c r="AW128" s="8">
        <v>0.20250000000000001</v>
      </c>
      <c r="AX128" s="5">
        <v>102.6079</v>
      </c>
      <c r="AY128" s="5">
        <v>-3.1600999999999999</v>
      </c>
      <c r="AZ128" s="7" t="s">
        <v>96</v>
      </c>
    </row>
    <row r="129" spans="1:52" ht="18" customHeight="1" x14ac:dyDescent="0.25">
      <c r="A129" s="10">
        <v>64</v>
      </c>
      <c r="B129" s="10">
        <v>2</v>
      </c>
      <c r="C129" s="10">
        <v>64</v>
      </c>
      <c r="D129" s="86">
        <v>44867</v>
      </c>
      <c r="E129" s="86">
        <v>44872</v>
      </c>
      <c r="F129" s="86">
        <v>44889</v>
      </c>
      <c r="G129" s="11">
        <v>18082.849999999999</v>
      </c>
      <c r="H129" s="11">
        <v>18202.8</v>
      </c>
      <c r="I129" s="12"/>
      <c r="J129" s="12"/>
      <c r="K129" s="91">
        <f t="array" ref="K129">MAX(IF((D129&lt;[1]Nifty_D!$B$2:$B$6600)*(E129&gt;=[1]Nifty_D!$B$2:$B$6600),[1]Nifty_D!$F$2:$F$6600,""))</f>
        <v>18202.8</v>
      </c>
      <c r="L129" s="92">
        <f t="shared" si="7"/>
        <v>6.6333570206025261E-3</v>
      </c>
      <c r="M129" s="91">
        <f t="shared" si="8"/>
        <v>6578.9</v>
      </c>
      <c r="N129" s="93">
        <f t="array" ref="N129">INDEX([1]Nifty_D!$B$2:$B$6600,MATCH(E129,[1]Nifty_D!$B$2:$B$6600,0)-1)</f>
        <v>44869</v>
      </c>
      <c r="O129" s="89">
        <f>VLOOKUP(N129,[1]Nifty_D!$B$2:$F$6600,5,0)</f>
        <v>18117.150000000001</v>
      </c>
      <c r="P129" s="92">
        <f t="shared" si="9"/>
        <v>1.8968248920940844E-3</v>
      </c>
      <c r="Q129" s="12" t="s">
        <v>40</v>
      </c>
      <c r="R129" s="10">
        <v>18000</v>
      </c>
      <c r="S129" s="103">
        <f>MROUND(G129,500)</f>
        <v>18000</v>
      </c>
      <c r="T129" s="103">
        <f>S129-R129</f>
        <v>0</v>
      </c>
      <c r="U129" s="12" t="s">
        <v>92</v>
      </c>
      <c r="V129" s="10">
        <v>65</v>
      </c>
      <c r="W129" s="11">
        <v>212.85</v>
      </c>
      <c r="X129" s="11">
        <v>120.3</v>
      </c>
      <c r="Y129" s="13">
        <v>-0.5323</v>
      </c>
      <c r="Z129" s="13">
        <v>0.30170000000000002</v>
      </c>
      <c r="AA129" s="10">
        <v>0</v>
      </c>
      <c r="AB129" s="14">
        <v>0</v>
      </c>
      <c r="AC129" s="11">
        <v>-92.55</v>
      </c>
      <c r="AD129" s="14">
        <v>-5.1181091476177696E-3</v>
      </c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 t="s">
        <v>96</v>
      </c>
    </row>
    <row r="130" spans="1:52" ht="18" hidden="1" customHeight="1" x14ac:dyDescent="0.25">
      <c r="A130" s="4">
        <v>65</v>
      </c>
      <c r="B130" s="4">
        <v>1</v>
      </c>
      <c r="C130" s="4">
        <v>65</v>
      </c>
      <c r="D130" s="85">
        <v>44872</v>
      </c>
      <c r="E130" s="85">
        <v>44874</v>
      </c>
      <c r="F130" s="85">
        <v>44875</v>
      </c>
      <c r="G130" s="5">
        <v>18202.8</v>
      </c>
      <c r="H130" s="4">
        <v>18157</v>
      </c>
      <c r="I130" s="5">
        <v>-45.8</v>
      </c>
      <c r="J130" s="6">
        <v>-2.5160964247258658E-3</v>
      </c>
      <c r="K130" s="91">
        <f t="array" ref="K130">MAX(IF((D130&lt;[1]Nifty_D!$B$2:$B$6600)*(E130&gt;=[1]Nifty_D!$B$2:$B$6600),[1]Nifty_D!$F$2:$F$6600,""))</f>
        <v>18157</v>
      </c>
      <c r="L130" s="92">
        <f t="shared" si="7"/>
        <v>-2.5160964247258333E-3</v>
      </c>
      <c r="M130" s="91">
        <f t="shared" si="8"/>
        <v>6533.1</v>
      </c>
      <c r="N130" s="93">
        <f t="array" ref="N130">INDEX([1]Nifty_D!$B$2:$B$6600,MATCH(E130,[1]Nifty_D!$B$2:$B$6600,0)-1)</f>
        <v>44872</v>
      </c>
      <c r="O130" s="89">
        <f>VLOOKUP(N130,[1]Nifty_D!$B$2:$F$6600,5,0)</f>
        <v>18202.8</v>
      </c>
      <c r="P130" s="92">
        <f t="shared" si="9"/>
        <v>0</v>
      </c>
      <c r="Q130" s="7" t="s">
        <v>28</v>
      </c>
      <c r="R130" s="4">
        <v>18200</v>
      </c>
      <c r="S130" s="102"/>
      <c r="T130" s="102"/>
      <c r="U130" s="7" t="s">
        <v>90</v>
      </c>
      <c r="V130" s="4">
        <v>65</v>
      </c>
      <c r="W130" s="5">
        <v>90.95</v>
      </c>
      <c r="X130" s="5">
        <v>43.85</v>
      </c>
      <c r="Y130" s="8">
        <v>-0.2145</v>
      </c>
      <c r="Z130" s="8">
        <v>0.34310000000000002</v>
      </c>
      <c r="AA130" s="5">
        <v>47.1</v>
      </c>
      <c r="AB130" s="6">
        <v>2.587514008833806E-3</v>
      </c>
      <c r="AC130" s="4">
        <v>0</v>
      </c>
      <c r="AD130" s="6">
        <v>0</v>
      </c>
      <c r="AE130" s="5">
        <v>31963.599999999999</v>
      </c>
      <c r="AF130" s="5">
        <v>31726.3</v>
      </c>
      <c r="AG130" s="5">
        <v>-237.3</v>
      </c>
      <c r="AH130" s="5">
        <v>-0.74239999999999995</v>
      </c>
      <c r="AI130" s="4">
        <v>2</v>
      </c>
      <c r="AJ130" s="5">
        <v>-3.3333000000000002E-2</v>
      </c>
      <c r="AK130" s="5">
        <v>-247.9545</v>
      </c>
      <c r="AL130" s="5">
        <v>-0.77569999999999995</v>
      </c>
      <c r="AM130" s="8">
        <v>-0.94410000000000005</v>
      </c>
      <c r="AN130" s="8">
        <v>0.33560000000000001</v>
      </c>
      <c r="AO130" s="9">
        <v>-189.80449999999999</v>
      </c>
      <c r="AP130" s="9">
        <v>-0.45619999999999999</v>
      </c>
      <c r="AQ130" s="5">
        <v>102.3946</v>
      </c>
      <c r="AR130" s="5">
        <v>105.9563</v>
      </c>
      <c r="AS130" s="5">
        <v>-3.5617000000000001</v>
      </c>
      <c r="AT130" s="5">
        <v>-3.3614999999999999</v>
      </c>
      <c r="AU130" s="8">
        <v>-7.2800000000000004E-2</v>
      </c>
      <c r="AV130" s="8">
        <v>-0.47989999999999999</v>
      </c>
      <c r="AW130" s="8">
        <v>-0.47989999999999999</v>
      </c>
      <c r="AX130" s="5">
        <v>102.3702</v>
      </c>
      <c r="AY130" s="5">
        <v>-3.3845000000000001</v>
      </c>
      <c r="AZ130" s="7" t="s">
        <v>91</v>
      </c>
    </row>
    <row r="131" spans="1:52" ht="18" customHeight="1" x14ac:dyDescent="0.25">
      <c r="A131" s="10">
        <v>65</v>
      </c>
      <c r="B131" s="10">
        <v>2</v>
      </c>
      <c r="C131" s="10">
        <v>65</v>
      </c>
      <c r="D131" s="86">
        <v>44872</v>
      </c>
      <c r="E131" s="86">
        <v>44874</v>
      </c>
      <c r="F131" s="86">
        <v>44889</v>
      </c>
      <c r="G131" s="11">
        <v>18202.8</v>
      </c>
      <c r="H131" s="10">
        <v>18157</v>
      </c>
      <c r="I131" s="12"/>
      <c r="J131" s="12"/>
      <c r="K131" s="91">
        <f t="array" ref="K131">MAX(IF((D131&lt;[1]Nifty_D!$B$2:$B$6600)*(E131&gt;=[1]Nifty_D!$B$2:$B$6600),[1]Nifty_D!$F$2:$F$6600,""))</f>
        <v>18157</v>
      </c>
      <c r="L131" s="92">
        <f t="shared" si="7"/>
        <v>-2.5160964247258333E-3</v>
      </c>
      <c r="M131" s="91">
        <f t="shared" si="8"/>
        <v>6533.1</v>
      </c>
      <c r="N131" s="93">
        <f t="array" ref="N131">INDEX([1]Nifty_D!$B$2:$B$6600,MATCH(E131,[1]Nifty_D!$B$2:$B$6600,0)-1)</f>
        <v>44872</v>
      </c>
      <c r="O131" s="89">
        <f>VLOOKUP(N131,[1]Nifty_D!$B$2:$F$6600,5,0)</f>
        <v>18202.8</v>
      </c>
      <c r="P131" s="92">
        <f t="shared" si="9"/>
        <v>0</v>
      </c>
      <c r="Q131" s="12" t="s">
        <v>40</v>
      </c>
      <c r="R131" s="10">
        <v>18000</v>
      </c>
      <c r="S131" s="103">
        <f>MROUND(G131,500)</f>
        <v>18000</v>
      </c>
      <c r="T131" s="103">
        <f>S131-R131</f>
        <v>0</v>
      </c>
      <c r="U131" s="12" t="s">
        <v>92</v>
      </c>
      <c r="V131" s="10">
        <v>65</v>
      </c>
      <c r="W131" s="11">
        <v>120.3</v>
      </c>
      <c r="X131" s="11">
        <v>131.35</v>
      </c>
      <c r="Y131" s="13">
        <v>-0.19389999999999999</v>
      </c>
      <c r="Z131" s="13">
        <v>0.1211</v>
      </c>
      <c r="AA131" s="10">
        <v>0</v>
      </c>
      <c r="AB131" s="14">
        <v>0</v>
      </c>
      <c r="AC131" s="11">
        <v>11.05</v>
      </c>
      <c r="AD131" s="14">
        <v>6.0704946491748528E-4</v>
      </c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 t="s">
        <v>91</v>
      </c>
    </row>
    <row r="132" spans="1:52" ht="18" hidden="1" customHeight="1" x14ac:dyDescent="0.25">
      <c r="A132" s="4">
        <v>66</v>
      </c>
      <c r="B132" s="4">
        <v>1</v>
      </c>
      <c r="C132" s="4">
        <v>66</v>
      </c>
      <c r="D132" s="85">
        <v>44874</v>
      </c>
      <c r="E132" s="85">
        <v>44876</v>
      </c>
      <c r="F132" s="85">
        <v>44882</v>
      </c>
      <c r="G132" s="4">
        <v>18157</v>
      </c>
      <c r="H132" s="5">
        <v>18349.7</v>
      </c>
      <c r="I132" s="5">
        <v>192.7</v>
      </c>
      <c r="J132" s="6">
        <v>1.0612986726882189E-2</v>
      </c>
      <c r="K132" s="91">
        <f t="array" ref="K132">MAX(IF((D132&lt;[1]Nifty_D!$B$2:$B$6600)*(E132&gt;=[1]Nifty_D!$B$2:$B$6600),[1]Nifty_D!$F$2:$F$6600,""))</f>
        <v>18349.7</v>
      </c>
      <c r="L132" s="92">
        <f t="shared" si="7"/>
        <v>1.0612986726882268E-2</v>
      </c>
      <c r="M132" s="91">
        <f t="shared" si="8"/>
        <v>6725.8000000000011</v>
      </c>
      <c r="N132" s="93">
        <f t="array" ref="N132">INDEX([1]Nifty_D!$B$2:$B$6600,MATCH(E132,[1]Nifty_D!$B$2:$B$6600,0)-1)</f>
        <v>44875</v>
      </c>
      <c r="O132" s="89">
        <f>VLOOKUP(N132,[1]Nifty_D!$B$2:$F$6600,5,0)</f>
        <v>18028.2</v>
      </c>
      <c r="P132" s="92">
        <f t="shared" si="9"/>
        <v>-7.0936828771271943E-3</v>
      </c>
      <c r="Q132" s="7" t="s">
        <v>28</v>
      </c>
      <c r="R132" s="4">
        <v>18200</v>
      </c>
      <c r="S132" s="102"/>
      <c r="T132" s="102"/>
      <c r="U132" s="7" t="s">
        <v>90</v>
      </c>
      <c r="V132" s="4">
        <v>65</v>
      </c>
      <c r="W132" s="5">
        <v>144.05000000000001</v>
      </c>
      <c r="X132" s="5">
        <v>222.9</v>
      </c>
      <c r="Y132" s="8">
        <v>-0.54830000000000001</v>
      </c>
      <c r="Z132" s="8">
        <v>0.49490000000000001</v>
      </c>
      <c r="AA132" s="5">
        <v>-78.849999999999994</v>
      </c>
      <c r="AB132" s="6">
        <v>-4.34267775513576E-3</v>
      </c>
      <c r="AC132" s="4">
        <v>0</v>
      </c>
      <c r="AD132" s="6">
        <v>0</v>
      </c>
      <c r="AE132" s="5">
        <v>31726.3</v>
      </c>
      <c r="AF132" s="5">
        <v>31381.7</v>
      </c>
      <c r="AG132" s="5">
        <v>-344.6</v>
      </c>
      <c r="AH132" s="5">
        <v>-1.0862000000000001</v>
      </c>
      <c r="AI132" s="4">
        <v>2</v>
      </c>
      <c r="AJ132" s="5">
        <v>-3.3333000000000002E-2</v>
      </c>
      <c r="AK132" s="5">
        <v>-355.17540000000002</v>
      </c>
      <c r="AL132" s="5">
        <v>-1.1194999999999999</v>
      </c>
      <c r="AM132" s="8">
        <v>-1.5535000000000001</v>
      </c>
      <c r="AN132" s="8">
        <v>0.29339999999999999</v>
      </c>
      <c r="AO132" s="9">
        <v>-514.12540000000001</v>
      </c>
      <c r="AP132" s="9">
        <v>-1.9948999999999999</v>
      </c>
      <c r="AQ132" s="5">
        <v>100.3519</v>
      </c>
      <c r="AR132" s="5">
        <v>105.9563</v>
      </c>
      <c r="AS132" s="5">
        <v>-5.6044</v>
      </c>
      <c r="AT132" s="5">
        <v>-5.2893999999999997</v>
      </c>
      <c r="AU132" s="8">
        <v>-0.72470000000000001</v>
      </c>
      <c r="AV132" s="8">
        <v>-0.72070000000000001</v>
      </c>
      <c r="AW132" s="8">
        <v>-1.9948999999999999</v>
      </c>
      <c r="AX132" s="5">
        <v>100.3519</v>
      </c>
      <c r="AY132" s="5">
        <v>-5.2893999999999997</v>
      </c>
      <c r="AZ132" s="7" t="s">
        <v>95</v>
      </c>
    </row>
    <row r="133" spans="1:52" ht="18" customHeight="1" x14ac:dyDescent="0.25">
      <c r="A133" s="10">
        <v>66</v>
      </c>
      <c r="B133" s="10">
        <v>2</v>
      </c>
      <c r="C133" s="10">
        <v>66</v>
      </c>
      <c r="D133" s="86">
        <v>44874</v>
      </c>
      <c r="E133" s="86">
        <v>44876</v>
      </c>
      <c r="F133" s="86">
        <v>44889</v>
      </c>
      <c r="G133" s="10">
        <v>18157</v>
      </c>
      <c r="H133" s="11">
        <v>18349.7</v>
      </c>
      <c r="I133" s="12"/>
      <c r="J133" s="12"/>
      <c r="K133" s="91">
        <f t="array" ref="K133">MAX(IF((D133&lt;[1]Nifty_D!$B$2:$B$6600)*(E133&gt;=[1]Nifty_D!$B$2:$B$6600),[1]Nifty_D!$F$2:$F$6600,""))</f>
        <v>18349.7</v>
      </c>
      <c r="L133" s="92">
        <f t="shared" si="7"/>
        <v>1.0612986726882268E-2</v>
      </c>
      <c r="M133" s="91">
        <f t="shared" si="8"/>
        <v>6725.8000000000011</v>
      </c>
      <c r="N133" s="93">
        <f t="array" ref="N133">INDEX([1]Nifty_D!$B$2:$B$6600,MATCH(E133,[1]Nifty_D!$B$2:$B$6600,0)-1)</f>
        <v>44875</v>
      </c>
      <c r="O133" s="89">
        <f>VLOOKUP(N133,[1]Nifty_D!$B$2:$F$6600,5,0)</f>
        <v>18028.2</v>
      </c>
      <c r="P133" s="92">
        <f t="shared" si="9"/>
        <v>-7.0936828771271943E-3</v>
      </c>
      <c r="Q133" s="12" t="s">
        <v>40</v>
      </c>
      <c r="R133" s="10">
        <v>18000</v>
      </c>
      <c r="S133" s="103">
        <f>MROUND(G133,500)</f>
        <v>18000</v>
      </c>
      <c r="T133" s="103">
        <f>S133-R133</f>
        <v>0</v>
      </c>
      <c r="U133" s="12" t="s">
        <v>92</v>
      </c>
      <c r="V133" s="10">
        <v>65</v>
      </c>
      <c r="W133" s="11">
        <v>131.35</v>
      </c>
      <c r="X133" s="11">
        <v>51.25</v>
      </c>
      <c r="Y133" s="13">
        <v>-0.4698</v>
      </c>
      <c r="Z133" s="13">
        <v>0.33789999999999998</v>
      </c>
      <c r="AA133" s="10">
        <v>0</v>
      </c>
      <c r="AB133" s="14">
        <v>0</v>
      </c>
      <c r="AC133" s="11">
        <v>-80.099999999999994</v>
      </c>
      <c r="AD133" s="14">
        <v>-4.4115217271575701E-3</v>
      </c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 t="s">
        <v>95</v>
      </c>
    </row>
    <row r="134" spans="1:52" ht="18" hidden="1" customHeight="1" x14ac:dyDescent="0.25">
      <c r="A134" s="4">
        <v>67</v>
      </c>
      <c r="B134" s="4">
        <v>1</v>
      </c>
      <c r="C134" s="4">
        <v>67</v>
      </c>
      <c r="D134" s="85">
        <v>44876</v>
      </c>
      <c r="E134" s="85">
        <v>44880</v>
      </c>
      <c r="F134" s="85">
        <v>44882</v>
      </c>
      <c r="G134" s="5">
        <v>18349.7</v>
      </c>
      <c r="H134" s="5">
        <v>18403.400000000001</v>
      </c>
      <c r="I134" s="5">
        <v>53.7</v>
      </c>
      <c r="J134" s="6">
        <v>2.9264783620440659E-3</v>
      </c>
      <c r="K134" s="91">
        <f t="array" ref="K134">MAX(IF((D134&lt;[1]Nifty_D!$B$2:$B$6600)*(E134&gt;=[1]Nifty_D!$B$2:$B$6600),[1]Nifty_D!$F$2:$F$6600,""))</f>
        <v>18403.400000000001</v>
      </c>
      <c r="L134" s="92">
        <f t="shared" si="7"/>
        <v>2.9264783620441825E-3</v>
      </c>
      <c r="M134" s="91">
        <f t="shared" si="8"/>
        <v>6779.5000000000018</v>
      </c>
      <c r="N134" s="93">
        <f t="array" ref="N134">INDEX([1]Nifty_D!$B$2:$B$6600,MATCH(E134,[1]Nifty_D!$B$2:$B$6600,0)-1)</f>
        <v>44879</v>
      </c>
      <c r="O134" s="89">
        <f>VLOOKUP(N134,[1]Nifty_D!$B$2:$F$6600,5,0)</f>
        <v>18329.150000000001</v>
      </c>
      <c r="P134" s="92">
        <f t="shared" si="9"/>
        <v>-1.1199093173185348E-3</v>
      </c>
      <c r="Q134" s="7" t="s">
        <v>28</v>
      </c>
      <c r="R134" s="4">
        <v>18300</v>
      </c>
      <c r="S134" s="102"/>
      <c r="T134" s="102"/>
      <c r="U134" s="7" t="s">
        <v>90</v>
      </c>
      <c r="V134" s="4">
        <v>65</v>
      </c>
      <c r="W134" s="5">
        <v>151.4</v>
      </c>
      <c r="X134" s="5">
        <v>142.25</v>
      </c>
      <c r="Y134" s="8">
        <v>-8.5000000000000006E-2</v>
      </c>
      <c r="Z134" s="8">
        <v>0.39350000000000002</v>
      </c>
      <c r="AA134" s="5">
        <v>9.15</v>
      </c>
      <c r="AB134" s="6">
        <v>4.9864575442650286E-4</v>
      </c>
      <c r="AC134" s="4">
        <v>0</v>
      </c>
      <c r="AD134" s="6">
        <v>0</v>
      </c>
      <c r="AE134" s="5">
        <v>31381.7</v>
      </c>
      <c r="AF134" s="5">
        <v>31403.55</v>
      </c>
      <c r="AG134" s="5">
        <v>21.85</v>
      </c>
      <c r="AH134" s="5">
        <v>6.9599999999999995E-2</v>
      </c>
      <c r="AI134" s="4">
        <v>4</v>
      </c>
      <c r="AJ134" s="5">
        <v>-6.6667000000000004E-2</v>
      </c>
      <c r="AK134" s="5">
        <v>0.92889999999999995</v>
      </c>
      <c r="AL134" s="5">
        <v>3.0000000000000001E-3</v>
      </c>
      <c r="AM134" s="8">
        <v>-0.65880000000000005</v>
      </c>
      <c r="AN134" s="8">
        <v>0.25800000000000001</v>
      </c>
      <c r="AO134" s="9">
        <v>-12.3711</v>
      </c>
      <c r="AP134" s="9">
        <v>-6.9500000000000006E-2</v>
      </c>
      <c r="AQ134" s="5">
        <v>100.2822</v>
      </c>
      <c r="AR134" s="5">
        <v>105.9563</v>
      </c>
      <c r="AS134" s="5">
        <v>-5.6741000000000001</v>
      </c>
      <c r="AT134" s="5">
        <v>-5.3552</v>
      </c>
      <c r="AU134" s="8">
        <v>3.6499999999999998E-2</v>
      </c>
      <c r="AV134" s="8">
        <v>-0.26390000000000002</v>
      </c>
      <c r="AW134" s="8">
        <v>-0.26390000000000002</v>
      </c>
      <c r="AX134" s="5">
        <v>100.08710000000001</v>
      </c>
      <c r="AY134" s="5">
        <v>-5.5392999999999999</v>
      </c>
      <c r="AZ134" s="7" t="s">
        <v>96</v>
      </c>
    </row>
    <row r="135" spans="1:52" ht="18" customHeight="1" x14ac:dyDescent="0.25">
      <c r="A135" s="10">
        <v>67</v>
      </c>
      <c r="B135" s="10">
        <v>2</v>
      </c>
      <c r="C135" s="10">
        <v>67</v>
      </c>
      <c r="D135" s="86">
        <v>44876</v>
      </c>
      <c r="E135" s="86">
        <v>44880</v>
      </c>
      <c r="F135" s="86">
        <v>44889</v>
      </c>
      <c r="G135" s="11">
        <v>18349.7</v>
      </c>
      <c r="H135" s="11">
        <v>18403.400000000001</v>
      </c>
      <c r="I135" s="12"/>
      <c r="J135" s="12"/>
      <c r="K135" s="91">
        <f t="array" ref="K135">MAX(IF((D135&lt;[1]Nifty_D!$B$2:$B$6600)*(E135&gt;=[1]Nifty_D!$B$2:$B$6600),[1]Nifty_D!$F$2:$F$6600,""))</f>
        <v>18403.400000000001</v>
      </c>
      <c r="L135" s="92">
        <f t="shared" si="7"/>
        <v>2.9264783620441825E-3</v>
      </c>
      <c r="M135" s="91">
        <f t="shared" si="8"/>
        <v>6779.5000000000018</v>
      </c>
      <c r="N135" s="93">
        <f t="array" ref="N135">INDEX([1]Nifty_D!$B$2:$B$6600,MATCH(E135,[1]Nifty_D!$B$2:$B$6600,0)-1)</f>
        <v>44879</v>
      </c>
      <c r="O135" s="89">
        <f>VLOOKUP(N135,[1]Nifty_D!$B$2:$F$6600,5,0)</f>
        <v>18329.150000000001</v>
      </c>
      <c r="P135" s="92">
        <f t="shared" si="9"/>
        <v>-1.1199093173185348E-3</v>
      </c>
      <c r="Q135" s="12" t="s">
        <v>40</v>
      </c>
      <c r="R135" s="10">
        <v>18000</v>
      </c>
      <c r="S135" s="103">
        <f>MROUND(G135,500)</f>
        <v>18500</v>
      </c>
      <c r="T135" s="103">
        <f>S135-R135</f>
        <v>500</v>
      </c>
      <c r="U135" s="12" t="s">
        <v>92</v>
      </c>
      <c r="V135" s="10">
        <v>65</v>
      </c>
      <c r="W135" s="11">
        <v>51.25</v>
      </c>
      <c r="X135" s="11">
        <v>28.8</v>
      </c>
      <c r="Y135" s="13">
        <v>-0.13650000000000001</v>
      </c>
      <c r="Z135" s="13">
        <v>1.4E-3</v>
      </c>
      <c r="AA135" s="10">
        <v>0</v>
      </c>
      <c r="AB135" s="14">
        <v>0</v>
      </c>
      <c r="AC135" s="11">
        <v>-22.45</v>
      </c>
      <c r="AD135" s="14">
        <v>-1.2234532444672121E-3</v>
      </c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 t="s">
        <v>96</v>
      </c>
    </row>
    <row r="136" spans="1:52" ht="18" hidden="1" customHeight="1" x14ac:dyDescent="0.25">
      <c r="A136" s="4">
        <v>68</v>
      </c>
      <c r="B136" s="4">
        <v>1</v>
      </c>
      <c r="C136" s="4">
        <v>68</v>
      </c>
      <c r="D136" s="85">
        <v>44880</v>
      </c>
      <c r="E136" s="85">
        <v>44881</v>
      </c>
      <c r="F136" s="85">
        <v>44882</v>
      </c>
      <c r="G136" s="5">
        <v>18403.400000000001</v>
      </c>
      <c r="H136" s="5">
        <v>18409.650000000001</v>
      </c>
      <c r="I136" s="5">
        <v>6.25</v>
      </c>
      <c r="J136" s="6">
        <v>3.3961115880761162E-4</v>
      </c>
      <c r="K136" s="91">
        <f t="array" ref="K136">MAX(IF((D136&lt;[1]Nifty_D!$B$2:$B$6600)*(E136&gt;=[1]Nifty_D!$B$2:$B$6600),[1]Nifty_D!$F$2:$F$6600,""))</f>
        <v>18409.650000000001</v>
      </c>
      <c r="L136" s="92">
        <f t="shared" ref="L136:L199" si="10">K136/G136-1</f>
        <v>3.3961115880765114E-4</v>
      </c>
      <c r="M136" s="91">
        <f t="shared" ref="M136:M199" si="11">K136-$G$2</f>
        <v>6785.7500000000018</v>
      </c>
      <c r="N136" s="93">
        <f t="array" ref="N136">INDEX([1]Nifty_D!$B$2:$B$6600,MATCH(E136,[1]Nifty_D!$B$2:$B$6600,0)-1)</f>
        <v>44880</v>
      </c>
      <c r="O136" s="89">
        <f>VLOOKUP(N136,[1]Nifty_D!$B$2:$F$6600,5,0)</f>
        <v>18403.400000000001</v>
      </c>
      <c r="P136" s="92">
        <f t="shared" ref="P136:P199" si="12">O136/G136-1</f>
        <v>0</v>
      </c>
      <c r="Q136" s="7" t="s">
        <v>28</v>
      </c>
      <c r="R136" s="4">
        <v>18400</v>
      </c>
      <c r="S136" s="102"/>
      <c r="T136" s="102"/>
      <c r="U136" s="7" t="s">
        <v>90</v>
      </c>
      <c r="V136" s="4">
        <v>65</v>
      </c>
      <c r="W136" s="5">
        <v>77.349999999999994</v>
      </c>
      <c r="X136" s="5">
        <v>58.85</v>
      </c>
      <c r="Y136" s="8">
        <v>-7.9600000000000004E-2</v>
      </c>
      <c r="Z136" s="8">
        <v>0.2288</v>
      </c>
      <c r="AA136" s="5">
        <v>18.5</v>
      </c>
      <c r="AB136" s="6">
        <v>1.00524903007053E-3</v>
      </c>
      <c r="AC136" s="4">
        <v>0</v>
      </c>
      <c r="AD136" s="6">
        <v>0</v>
      </c>
      <c r="AE136" s="5">
        <v>31403.55</v>
      </c>
      <c r="AF136" s="5">
        <v>31197.9</v>
      </c>
      <c r="AG136" s="5">
        <v>-205.65</v>
      </c>
      <c r="AH136" s="5">
        <v>-0.65490000000000004</v>
      </c>
      <c r="AI136" s="4">
        <v>1</v>
      </c>
      <c r="AJ136" s="5">
        <v>-1.6667000000000001E-2</v>
      </c>
      <c r="AK136" s="5">
        <v>-210.88390000000001</v>
      </c>
      <c r="AL136" s="5">
        <v>-0.67149999999999999</v>
      </c>
      <c r="AM136" s="8">
        <v>-1.0665</v>
      </c>
      <c r="AN136" s="8">
        <v>0.36859999999999998</v>
      </c>
      <c r="AO136" s="9">
        <v>-191.03389999999999</v>
      </c>
      <c r="AP136" s="9">
        <v>-0.56359999999999999</v>
      </c>
      <c r="AQ136" s="5">
        <v>99.716999999999999</v>
      </c>
      <c r="AR136" s="5">
        <v>105.9563</v>
      </c>
      <c r="AS136" s="5">
        <v>-6.2393000000000001</v>
      </c>
      <c r="AT136" s="5">
        <v>-5.8886000000000003</v>
      </c>
      <c r="AU136" s="8">
        <v>0.2167</v>
      </c>
      <c r="AV136" s="8">
        <v>-0.62419999999999998</v>
      </c>
      <c r="AW136" s="8">
        <v>-0.62419999999999998</v>
      </c>
      <c r="AX136" s="5">
        <v>99.656199999999998</v>
      </c>
      <c r="AY136" s="5">
        <v>-5.9459</v>
      </c>
      <c r="AZ136" s="7" t="s">
        <v>91</v>
      </c>
    </row>
    <row r="137" spans="1:52" ht="18" customHeight="1" x14ac:dyDescent="0.25">
      <c r="A137" s="10">
        <v>68</v>
      </c>
      <c r="B137" s="10">
        <v>2</v>
      </c>
      <c r="C137" s="10">
        <v>68</v>
      </c>
      <c r="D137" s="86">
        <v>44880</v>
      </c>
      <c r="E137" s="86">
        <v>44881</v>
      </c>
      <c r="F137" s="86">
        <v>44889</v>
      </c>
      <c r="G137" s="11">
        <v>18403.400000000001</v>
      </c>
      <c r="H137" s="11">
        <v>18409.650000000001</v>
      </c>
      <c r="I137" s="12"/>
      <c r="J137" s="12"/>
      <c r="K137" s="91">
        <f t="array" ref="K137">MAX(IF((D137&lt;[1]Nifty_D!$B$2:$B$6600)*(E137&gt;=[1]Nifty_D!$B$2:$B$6600),[1]Nifty_D!$F$2:$F$6600,""))</f>
        <v>18409.650000000001</v>
      </c>
      <c r="L137" s="92">
        <f t="shared" si="10"/>
        <v>3.3961115880765114E-4</v>
      </c>
      <c r="M137" s="91">
        <f t="shared" si="11"/>
        <v>6785.7500000000018</v>
      </c>
      <c r="N137" s="93">
        <f t="array" ref="N137">INDEX([1]Nifty_D!$B$2:$B$6600,MATCH(E137,[1]Nifty_D!$B$2:$B$6600,0)-1)</f>
        <v>44880</v>
      </c>
      <c r="O137" s="89">
        <f>VLOOKUP(N137,[1]Nifty_D!$B$2:$F$6600,5,0)</f>
        <v>18403.400000000001</v>
      </c>
      <c r="P137" s="92">
        <f t="shared" si="12"/>
        <v>0</v>
      </c>
      <c r="Q137" s="12" t="s">
        <v>40</v>
      </c>
      <c r="R137" s="10">
        <v>18500</v>
      </c>
      <c r="S137" s="103">
        <f>MROUND(G137,500)</f>
        <v>18500</v>
      </c>
      <c r="T137" s="103">
        <f>S137-R137</f>
        <v>0</v>
      </c>
      <c r="U137" s="12" t="s">
        <v>92</v>
      </c>
      <c r="V137" s="10">
        <v>65</v>
      </c>
      <c r="W137" s="11">
        <v>157.30000000000001</v>
      </c>
      <c r="X137" s="11">
        <v>158.65</v>
      </c>
      <c r="Y137" s="13">
        <v>-7.2300000000000003E-2</v>
      </c>
      <c r="Z137" s="13">
        <v>0.2135</v>
      </c>
      <c r="AA137" s="10">
        <v>0</v>
      </c>
      <c r="AB137" s="14">
        <v>0</v>
      </c>
      <c r="AC137" s="11">
        <v>1.35</v>
      </c>
      <c r="AD137" s="14">
        <v>7.3356010302444113E-5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 t="s">
        <v>91</v>
      </c>
    </row>
    <row r="138" spans="1:52" ht="18" hidden="1" customHeight="1" x14ac:dyDescent="0.25">
      <c r="A138" s="4">
        <v>69</v>
      </c>
      <c r="B138" s="4">
        <v>1</v>
      </c>
      <c r="C138" s="4">
        <v>69</v>
      </c>
      <c r="D138" s="85">
        <v>44881</v>
      </c>
      <c r="E138" s="85">
        <v>44888</v>
      </c>
      <c r="F138" s="85">
        <v>44889</v>
      </c>
      <c r="G138" s="5">
        <v>18409.650000000001</v>
      </c>
      <c r="H138" s="5">
        <v>18267.25</v>
      </c>
      <c r="I138" s="5">
        <v>-142.4</v>
      </c>
      <c r="J138" s="6">
        <v>-7.73507372492144E-3</v>
      </c>
      <c r="K138" s="91">
        <f t="array" ref="K138">MAX(IF((D138&lt;[1]Nifty_D!$B$2:$B$6600)*(E138&gt;=[1]Nifty_D!$B$2:$B$6600),[1]Nifty_D!$F$2:$F$6600,""))</f>
        <v>18343.900000000001</v>
      </c>
      <c r="L138" s="92">
        <f t="shared" si="10"/>
        <v>-3.5714964706010655E-3</v>
      </c>
      <c r="M138" s="91">
        <f t="shared" si="11"/>
        <v>6720.0000000000018</v>
      </c>
      <c r="N138" s="93">
        <f t="array" ref="N138">INDEX([1]Nifty_D!$B$2:$B$6600,MATCH(E138,[1]Nifty_D!$B$2:$B$6600,0)-1)</f>
        <v>44887</v>
      </c>
      <c r="O138" s="89">
        <f>VLOOKUP(N138,[1]Nifty_D!$B$2:$F$6600,5,0)</f>
        <v>18244.2</v>
      </c>
      <c r="P138" s="92">
        <f t="shared" si="12"/>
        <v>-8.9871344648051465E-3</v>
      </c>
      <c r="Q138" s="7" t="s">
        <v>28</v>
      </c>
      <c r="R138" s="4">
        <v>18400</v>
      </c>
      <c r="S138" s="102"/>
      <c r="T138" s="102"/>
      <c r="U138" s="7" t="s">
        <v>90</v>
      </c>
      <c r="V138" s="4">
        <v>65</v>
      </c>
      <c r="W138" s="5">
        <v>166.65</v>
      </c>
      <c r="X138" s="5">
        <v>8.8000000000000007</v>
      </c>
      <c r="Y138" s="8">
        <v>0.01</v>
      </c>
      <c r="Z138" s="8">
        <v>0.87560000000000004</v>
      </c>
      <c r="AA138" s="5">
        <v>157.85</v>
      </c>
      <c r="AB138" s="6">
        <v>8.5743074963402343E-3</v>
      </c>
      <c r="AC138" s="4">
        <v>0</v>
      </c>
      <c r="AD138" s="6">
        <v>0</v>
      </c>
      <c r="AE138" s="5">
        <v>31197.9</v>
      </c>
      <c r="AF138" s="5">
        <v>31150.65</v>
      </c>
      <c r="AG138" s="5">
        <v>-47.25</v>
      </c>
      <c r="AH138" s="5">
        <v>-0.1515</v>
      </c>
      <c r="AI138" s="4">
        <v>7</v>
      </c>
      <c r="AJ138" s="5">
        <v>-0.11666700000000001</v>
      </c>
      <c r="AK138" s="5">
        <v>-83.647599999999997</v>
      </c>
      <c r="AL138" s="5">
        <v>-0.2681</v>
      </c>
      <c r="AM138" s="8">
        <v>-1.4661999999999999</v>
      </c>
      <c r="AN138" s="8">
        <v>1.4E-3</v>
      </c>
      <c r="AO138" s="15">
        <v>128.55250000000001</v>
      </c>
      <c r="AP138" s="15">
        <v>0.88460000000000005</v>
      </c>
      <c r="AQ138" s="5">
        <v>100.59910000000001</v>
      </c>
      <c r="AR138" s="5">
        <v>105.9563</v>
      </c>
      <c r="AS138" s="5">
        <v>-5.3571999999999997</v>
      </c>
      <c r="AT138" s="5">
        <v>-5.0560999999999998</v>
      </c>
      <c r="AU138" s="8">
        <v>-0.1192</v>
      </c>
      <c r="AV138" s="8">
        <v>0.45040000000000002</v>
      </c>
      <c r="AW138" s="8">
        <v>-0.1192</v>
      </c>
      <c r="AX138" s="5">
        <v>99.598100000000002</v>
      </c>
      <c r="AY138" s="5">
        <v>-6.0007999999999999</v>
      </c>
      <c r="AZ138" s="7" t="s">
        <v>91</v>
      </c>
    </row>
    <row r="139" spans="1:52" ht="18" customHeight="1" x14ac:dyDescent="0.25">
      <c r="A139" s="10">
        <v>69</v>
      </c>
      <c r="B139" s="10">
        <v>2</v>
      </c>
      <c r="C139" s="10">
        <v>69</v>
      </c>
      <c r="D139" s="86">
        <v>44881</v>
      </c>
      <c r="E139" s="86">
        <v>44888</v>
      </c>
      <c r="F139" s="86">
        <v>44889</v>
      </c>
      <c r="G139" s="11">
        <v>18409.650000000001</v>
      </c>
      <c r="H139" s="11">
        <v>18267.25</v>
      </c>
      <c r="I139" s="12"/>
      <c r="J139" s="12"/>
      <c r="K139" s="91">
        <f t="array" ref="K139">MAX(IF((D139&lt;[1]Nifty_D!$B$2:$B$6600)*(E139&gt;=[1]Nifty_D!$B$2:$B$6600),[1]Nifty_D!$F$2:$F$6600,""))</f>
        <v>18343.900000000001</v>
      </c>
      <c r="L139" s="92">
        <f t="shared" si="10"/>
        <v>-3.5714964706010655E-3</v>
      </c>
      <c r="M139" s="91">
        <f t="shared" si="11"/>
        <v>6720.0000000000018</v>
      </c>
      <c r="N139" s="93">
        <f t="array" ref="N139">INDEX([1]Nifty_D!$B$2:$B$6600,MATCH(E139,[1]Nifty_D!$B$2:$B$6600,0)-1)</f>
        <v>44887</v>
      </c>
      <c r="O139" s="89">
        <f>VLOOKUP(N139,[1]Nifty_D!$B$2:$F$6600,5,0)</f>
        <v>18244.2</v>
      </c>
      <c r="P139" s="92">
        <f t="shared" si="12"/>
        <v>-8.9871344648051465E-3</v>
      </c>
      <c r="Q139" s="12" t="s">
        <v>40</v>
      </c>
      <c r="R139" s="10">
        <v>18500</v>
      </c>
      <c r="S139" s="103">
        <f>MROUND(G139,500)</f>
        <v>18500</v>
      </c>
      <c r="T139" s="103">
        <f>S139-R139</f>
        <v>0</v>
      </c>
      <c r="U139" s="12" t="s">
        <v>92</v>
      </c>
      <c r="V139" s="10">
        <v>65</v>
      </c>
      <c r="W139" s="11">
        <v>158.65</v>
      </c>
      <c r="X139" s="10">
        <v>213</v>
      </c>
      <c r="Y139" s="13">
        <v>-0.13059999999999999</v>
      </c>
      <c r="Z139" s="13">
        <v>1.0409999999999999</v>
      </c>
      <c r="AA139" s="10">
        <v>0</v>
      </c>
      <c r="AB139" s="14">
        <v>0</v>
      </c>
      <c r="AC139" s="11">
        <v>54.35</v>
      </c>
      <c r="AD139" s="14">
        <v>2.9522560179036541E-3</v>
      </c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 t="s">
        <v>91</v>
      </c>
    </row>
    <row r="140" spans="1:52" ht="18" hidden="1" customHeight="1" x14ac:dyDescent="0.25">
      <c r="A140" s="4">
        <v>70</v>
      </c>
      <c r="B140" s="4">
        <v>1</v>
      </c>
      <c r="C140" s="4">
        <v>70</v>
      </c>
      <c r="D140" s="85">
        <v>44888</v>
      </c>
      <c r="E140" s="85">
        <v>44889</v>
      </c>
      <c r="F140" s="85">
        <v>44896</v>
      </c>
      <c r="G140" s="5">
        <v>18267.25</v>
      </c>
      <c r="H140" s="5">
        <v>18484.099999999999</v>
      </c>
      <c r="I140" s="5">
        <v>216.85</v>
      </c>
      <c r="J140" s="6">
        <v>1.1870971273727569E-2</v>
      </c>
      <c r="K140" s="91">
        <f t="array" ref="K140">MAX(IF((D140&lt;[1]Nifty_D!$B$2:$B$6600)*(E140&gt;=[1]Nifty_D!$B$2:$B$6600),[1]Nifty_D!$F$2:$F$6600,""))</f>
        <v>18484.099999999999</v>
      </c>
      <c r="L140" s="92">
        <f t="shared" si="10"/>
        <v>1.1870971273727493E-2</v>
      </c>
      <c r="M140" s="91">
        <f t="shared" si="11"/>
        <v>6860.1999999999989</v>
      </c>
      <c r="N140" s="93">
        <f t="array" ref="N140">INDEX([1]Nifty_D!$B$2:$B$6600,MATCH(E140,[1]Nifty_D!$B$2:$B$6600,0)-1)</f>
        <v>44888</v>
      </c>
      <c r="O140" s="89">
        <f>VLOOKUP(N140,[1]Nifty_D!$B$2:$F$6600,5,0)</f>
        <v>18267.25</v>
      </c>
      <c r="P140" s="92">
        <f t="shared" si="12"/>
        <v>0</v>
      </c>
      <c r="Q140" s="7" t="s">
        <v>28</v>
      </c>
      <c r="R140" s="4">
        <v>18300</v>
      </c>
      <c r="S140" s="102"/>
      <c r="T140" s="102"/>
      <c r="U140" s="7" t="s">
        <v>90</v>
      </c>
      <c r="V140" s="4">
        <v>65</v>
      </c>
      <c r="W140" s="4">
        <v>129</v>
      </c>
      <c r="X140" s="5">
        <v>246.5</v>
      </c>
      <c r="Y140" s="8">
        <v>-0.83650000000000002</v>
      </c>
      <c r="Z140" s="8">
        <v>2.46E-2</v>
      </c>
      <c r="AA140" s="5">
        <v>-117.5</v>
      </c>
      <c r="AB140" s="6">
        <v>-6.4322763415401883E-3</v>
      </c>
      <c r="AC140" s="4">
        <v>0</v>
      </c>
      <c r="AD140" s="6">
        <v>0</v>
      </c>
      <c r="AE140" s="5">
        <v>31150.65</v>
      </c>
      <c r="AF140" s="5">
        <v>31289.25</v>
      </c>
      <c r="AG140" s="5">
        <v>138.6</v>
      </c>
      <c r="AH140" s="5">
        <v>0.44490000000000002</v>
      </c>
      <c r="AI140" s="4">
        <v>1</v>
      </c>
      <c r="AJ140" s="5">
        <v>-1.6667000000000001E-2</v>
      </c>
      <c r="AK140" s="5">
        <v>133.40819999999999</v>
      </c>
      <c r="AL140" s="5">
        <v>0.42830000000000001</v>
      </c>
      <c r="AM140" s="8">
        <v>0.1178</v>
      </c>
      <c r="AN140" s="8">
        <v>0.50029999999999997</v>
      </c>
      <c r="AO140" s="9">
        <v>-94.591800000000006</v>
      </c>
      <c r="AP140" s="9">
        <v>-0.81979999999999997</v>
      </c>
      <c r="AQ140" s="5">
        <v>99.774299999999997</v>
      </c>
      <c r="AR140" s="5">
        <v>105.9563</v>
      </c>
      <c r="AS140" s="5">
        <v>-6.1820000000000004</v>
      </c>
      <c r="AT140" s="5">
        <v>-5.8343999999999996</v>
      </c>
      <c r="AU140" s="8">
        <v>-0.98870000000000002</v>
      </c>
      <c r="AV140" s="8">
        <v>8.5999999999999993E-2</v>
      </c>
      <c r="AW140" s="8">
        <v>-0.98870000000000002</v>
      </c>
      <c r="AX140" s="5">
        <v>99.604399999999998</v>
      </c>
      <c r="AY140" s="5">
        <v>-5.9947999999999997</v>
      </c>
      <c r="AZ140" s="7" t="s">
        <v>97</v>
      </c>
    </row>
    <row r="141" spans="1:52" ht="18" customHeight="1" x14ac:dyDescent="0.25">
      <c r="A141" s="10">
        <v>70</v>
      </c>
      <c r="B141" s="10">
        <v>2</v>
      </c>
      <c r="C141" s="10">
        <v>70</v>
      </c>
      <c r="D141" s="86">
        <v>44888</v>
      </c>
      <c r="E141" s="86">
        <v>44889</v>
      </c>
      <c r="F141" s="86">
        <v>44924</v>
      </c>
      <c r="G141" s="11">
        <v>18267.25</v>
      </c>
      <c r="H141" s="11">
        <v>18484.099999999999</v>
      </c>
      <c r="I141" s="12"/>
      <c r="J141" s="12"/>
      <c r="K141" s="91">
        <f t="array" ref="K141">MAX(IF((D141&lt;[1]Nifty_D!$B$2:$B$6600)*(E141&gt;=[1]Nifty_D!$B$2:$B$6600),[1]Nifty_D!$F$2:$F$6600,""))</f>
        <v>18484.099999999999</v>
      </c>
      <c r="L141" s="92">
        <f t="shared" si="10"/>
        <v>1.1870971273727493E-2</v>
      </c>
      <c r="M141" s="91">
        <f t="shared" si="11"/>
        <v>6860.1999999999989</v>
      </c>
      <c r="N141" s="93">
        <f t="array" ref="N141">INDEX([1]Nifty_D!$B$2:$B$6600,MATCH(E141,[1]Nifty_D!$B$2:$B$6600,0)-1)</f>
        <v>44888</v>
      </c>
      <c r="O141" s="89">
        <f>VLOOKUP(N141,[1]Nifty_D!$B$2:$F$6600,5,0)</f>
        <v>18267.25</v>
      </c>
      <c r="P141" s="92">
        <f t="shared" si="12"/>
        <v>0</v>
      </c>
      <c r="Q141" s="12" t="s">
        <v>40</v>
      </c>
      <c r="R141" s="10">
        <v>18500</v>
      </c>
      <c r="S141" s="103">
        <f>MROUND(G141,500)</f>
        <v>18500</v>
      </c>
      <c r="T141" s="103">
        <f>S141-R141</f>
        <v>0</v>
      </c>
      <c r="U141" s="12" t="s">
        <v>92</v>
      </c>
      <c r="V141" s="10">
        <v>65</v>
      </c>
      <c r="W141" s="11">
        <v>325.85000000000002</v>
      </c>
      <c r="X141" s="11">
        <v>215.35</v>
      </c>
      <c r="Y141" s="13">
        <v>-0.65249999999999997</v>
      </c>
      <c r="Z141" s="13">
        <v>-5.6399999999999999E-2</v>
      </c>
      <c r="AA141" s="10">
        <v>0</v>
      </c>
      <c r="AB141" s="14">
        <v>0</v>
      </c>
      <c r="AC141" s="11">
        <v>-110.5</v>
      </c>
      <c r="AD141" s="14">
        <v>-6.0490768999165176E-3</v>
      </c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 t="s">
        <v>97</v>
      </c>
    </row>
    <row r="142" spans="1:52" ht="18" hidden="1" customHeight="1" x14ac:dyDescent="0.25">
      <c r="A142" s="4">
        <v>71</v>
      </c>
      <c r="B142" s="4">
        <v>1</v>
      </c>
      <c r="C142" s="4">
        <v>71</v>
      </c>
      <c r="D142" s="85">
        <v>44889</v>
      </c>
      <c r="E142" s="85">
        <v>44895</v>
      </c>
      <c r="F142" s="85">
        <v>44896</v>
      </c>
      <c r="G142" s="5">
        <v>18484.099999999999</v>
      </c>
      <c r="H142" s="5">
        <v>18758.349999999999</v>
      </c>
      <c r="I142" s="5">
        <v>274.25</v>
      </c>
      <c r="J142" s="6">
        <v>1.483707618980637E-2</v>
      </c>
      <c r="K142" s="91">
        <f t="array" ref="K142">MAX(IF((D142&lt;[1]Nifty_D!$B$2:$B$6600)*(E142&gt;=[1]Nifty_D!$B$2:$B$6600),[1]Nifty_D!$F$2:$F$6600,""))</f>
        <v>18758.349999999999</v>
      </c>
      <c r="L142" s="92">
        <f t="shared" si="10"/>
        <v>1.4837076189806453E-2</v>
      </c>
      <c r="M142" s="91">
        <f t="shared" si="11"/>
        <v>7134.4499999999989</v>
      </c>
      <c r="N142" s="93">
        <f t="array" ref="N142">INDEX([1]Nifty_D!$B$2:$B$6600,MATCH(E142,[1]Nifty_D!$B$2:$B$6600,0)-1)</f>
        <v>44894</v>
      </c>
      <c r="O142" s="89">
        <f>VLOOKUP(N142,[1]Nifty_D!$B$2:$F$6600,5,0)</f>
        <v>18618.05</v>
      </c>
      <c r="P142" s="92">
        <f t="shared" si="12"/>
        <v>7.246768844574536E-3</v>
      </c>
      <c r="Q142" s="7" t="s">
        <v>28</v>
      </c>
      <c r="R142" s="4">
        <v>18500</v>
      </c>
      <c r="S142" s="102"/>
      <c r="T142" s="102"/>
      <c r="U142" s="7" t="s">
        <v>90</v>
      </c>
      <c r="V142" s="4">
        <v>65</v>
      </c>
      <c r="W142" s="5">
        <v>111.35</v>
      </c>
      <c r="X142" s="5">
        <v>244.05</v>
      </c>
      <c r="Y142" s="8">
        <v>-0.9819</v>
      </c>
      <c r="Z142" s="8">
        <v>0.27779999999999999</v>
      </c>
      <c r="AA142" s="5">
        <v>-132.69999999999999</v>
      </c>
      <c r="AB142" s="6">
        <v>-7.179143155468754E-3</v>
      </c>
      <c r="AC142" s="4">
        <v>0</v>
      </c>
      <c r="AD142" s="6">
        <v>0</v>
      </c>
      <c r="AE142" s="5">
        <v>31289.25</v>
      </c>
      <c r="AF142" s="5">
        <v>32037.9</v>
      </c>
      <c r="AG142" s="5">
        <v>748.65</v>
      </c>
      <c r="AH142" s="5">
        <v>2.3927</v>
      </c>
      <c r="AI142" s="4">
        <v>6</v>
      </c>
      <c r="AJ142" s="5">
        <v>-0.1</v>
      </c>
      <c r="AK142" s="5">
        <v>717.36080000000004</v>
      </c>
      <c r="AL142" s="5">
        <v>2.2927</v>
      </c>
      <c r="AM142" s="8">
        <v>0.1978</v>
      </c>
      <c r="AN142" s="8">
        <v>2.5537999999999998</v>
      </c>
      <c r="AO142" s="15">
        <v>491.21080000000001</v>
      </c>
      <c r="AP142" s="15">
        <v>1.0691999999999999</v>
      </c>
      <c r="AQ142" s="5">
        <v>100.8411</v>
      </c>
      <c r="AR142" s="5">
        <v>105.9563</v>
      </c>
      <c r="AS142" s="5">
        <v>-5.1151999999999997</v>
      </c>
      <c r="AT142" s="5">
        <v>-4.8276000000000003</v>
      </c>
      <c r="AU142" s="8">
        <v>1.0229999999999999</v>
      </c>
      <c r="AV142" s="8">
        <v>0.5202</v>
      </c>
      <c r="AW142" s="8">
        <v>0.5202</v>
      </c>
      <c r="AX142" s="5">
        <v>100.29340000000001</v>
      </c>
      <c r="AY142" s="5">
        <v>-5.3445999999999998</v>
      </c>
      <c r="AZ142" s="7" t="s">
        <v>91</v>
      </c>
    </row>
    <row r="143" spans="1:52" ht="18" customHeight="1" x14ac:dyDescent="0.25">
      <c r="A143" s="10">
        <v>71</v>
      </c>
      <c r="B143" s="10">
        <v>2</v>
      </c>
      <c r="C143" s="10">
        <v>71</v>
      </c>
      <c r="D143" s="86">
        <v>44889</v>
      </c>
      <c r="E143" s="86">
        <v>44895</v>
      </c>
      <c r="F143" s="86">
        <v>44924</v>
      </c>
      <c r="G143" s="11">
        <v>18484.099999999999</v>
      </c>
      <c r="H143" s="11">
        <v>18758.349999999999</v>
      </c>
      <c r="I143" s="12"/>
      <c r="J143" s="12"/>
      <c r="K143" s="91">
        <f t="array" ref="K143">MAX(IF((D143&lt;[1]Nifty_D!$B$2:$B$6600)*(E143&gt;=[1]Nifty_D!$B$2:$B$6600),[1]Nifty_D!$F$2:$F$6600,""))</f>
        <v>18758.349999999999</v>
      </c>
      <c r="L143" s="92">
        <f t="shared" si="10"/>
        <v>1.4837076189806453E-2</v>
      </c>
      <c r="M143" s="91">
        <f t="shared" si="11"/>
        <v>7134.4499999999989</v>
      </c>
      <c r="N143" s="93">
        <f t="array" ref="N143">INDEX([1]Nifty_D!$B$2:$B$6600,MATCH(E143,[1]Nifty_D!$B$2:$B$6600,0)-1)</f>
        <v>44894</v>
      </c>
      <c r="O143" s="89">
        <f>VLOOKUP(N143,[1]Nifty_D!$B$2:$F$6600,5,0)</f>
        <v>18618.05</v>
      </c>
      <c r="P143" s="92">
        <f t="shared" si="12"/>
        <v>7.246768844574536E-3</v>
      </c>
      <c r="Q143" s="12" t="s">
        <v>40</v>
      </c>
      <c r="R143" s="10">
        <v>18500</v>
      </c>
      <c r="S143" s="103">
        <f>MROUND(G143,500)</f>
        <v>18500</v>
      </c>
      <c r="T143" s="103">
        <f>S143-R143</f>
        <v>0</v>
      </c>
      <c r="U143" s="12" t="s">
        <v>92</v>
      </c>
      <c r="V143" s="10">
        <v>65</v>
      </c>
      <c r="W143" s="11">
        <v>215.35</v>
      </c>
      <c r="X143" s="11">
        <v>121.9</v>
      </c>
      <c r="Y143" s="13">
        <v>-0.54890000000000005</v>
      </c>
      <c r="Z143" s="13">
        <v>4.4600000000000001E-2</v>
      </c>
      <c r="AA143" s="10">
        <v>0</v>
      </c>
      <c r="AB143" s="14">
        <v>0</v>
      </c>
      <c r="AC143" s="11">
        <v>-93.45</v>
      </c>
      <c r="AD143" s="14">
        <v>-5.0556965175475154E-3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 t="s">
        <v>91</v>
      </c>
    </row>
    <row r="144" spans="1:52" ht="18" hidden="1" customHeight="1" x14ac:dyDescent="0.25">
      <c r="A144" s="4">
        <v>72</v>
      </c>
      <c r="B144" s="4">
        <v>1</v>
      </c>
      <c r="C144" s="4">
        <v>72</v>
      </c>
      <c r="D144" s="85">
        <v>44895</v>
      </c>
      <c r="E144" s="85">
        <v>44902</v>
      </c>
      <c r="F144" s="85">
        <v>44903</v>
      </c>
      <c r="G144" s="5">
        <v>18758.349999999999</v>
      </c>
      <c r="H144" s="5">
        <v>18560.5</v>
      </c>
      <c r="I144" s="5">
        <v>-197.85</v>
      </c>
      <c r="J144" s="6">
        <v>-1.0547302934426539E-2</v>
      </c>
      <c r="K144" s="91">
        <f t="array" ref="K144">MAX(IF((D144&lt;[1]Nifty_D!$B$2:$B$6600)*(E144&gt;=[1]Nifty_D!$B$2:$B$6600),[1]Nifty_D!$F$2:$F$6600,""))</f>
        <v>18812.5</v>
      </c>
      <c r="L144" s="92">
        <f t="shared" si="10"/>
        <v>2.8867144498316843E-3</v>
      </c>
      <c r="M144" s="91">
        <f t="shared" si="11"/>
        <v>7188.6</v>
      </c>
      <c r="N144" s="93">
        <f t="array" ref="N144">INDEX([1]Nifty_D!$B$2:$B$6600,MATCH(E144,[1]Nifty_D!$B$2:$B$6600,0)-1)</f>
        <v>44901</v>
      </c>
      <c r="O144" s="89">
        <f>VLOOKUP(N144,[1]Nifty_D!$B$2:$F$6600,5,0)</f>
        <v>18642.75</v>
      </c>
      <c r="P144" s="92">
        <f t="shared" si="12"/>
        <v>-6.1625889270644496E-3</v>
      </c>
      <c r="Q144" s="7" t="s">
        <v>28</v>
      </c>
      <c r="R144" s="4">
        <v>18800</v>
      </c>
      <c r="S144" s="102"/>
      <c r="T144" s="102"/>
      <c r="U144" s="7" t="s">
        <v>90</v>
      </c>
      <c r="V144" s="4">
        <v>65</v>
      </c>
      <c r="W144" s="5">
        <v>113.5</v>
      </c>
      <c r="X144" s="5">
        <v>7.65</v>
      </c>
      <c r="Y144" s="8">
        <v>-0.39850000000000002</v>
      </c>
      <c r="Z144" s="8">
        <v>0.57310000000000005</v>
      </c>
      <c r="AA144" s="5">
        <v>105.85</v>
      </c>
      <c r="AB144" s="6">
        <v>5.6428203973163948E-3</v>
      </c>
      <c r="AC144" s="4">
        <v>0</v>
      </c>
      <c r="AD144" s="6">
        <v>0</v>
      </c>
      <c r="AE144" s="5">
        <v>32037.9</v>
      </c>
      <c r="AF144" s="5">
        <v>32308.3</v>
      </c>
      <c r="AG144" s="5">
        <v>270.39999999999998</v>
      </c>
      <c r="AH144" s="5">
        <v>0.84399999999999997</v>
      </c>
      <c r="AI144" s="4">
        <v>7</v>
      </c>
      <c r="AJ144" s="5">
        <v>-0.11666700000000001</v>
      </c>
      <c r="AK144" s="5">
        <v>233.0224</v>
      </c>
      <c r="AL144" s="5">
        <v>0.72729999999999995</v>
      </c>
      <c r="AM144" s="8">
        <v>0.12690000000000001</v>
      </c>
      <c r="AN144" s="8">
        <v>1.9362999999999999</v>
      </c>
      <c r="AO144" s="15">
        <v>448.67239999999998</v>
      </c>
      <c r="AP144" s="15">
        <v>1.8769</v>
      </c>
      <c r="AQ144" s="5">
        <v>102.7338</v>
      </c>
      <c r="AR144" s="5">
        <v>105.9563</v>
      </c>
      <c r="AS144" s="5">
        <v>-3.2225000000000001</v>
      </c>
      <c r="AT144" s="5">
        <v>-3.0413000000000001</v>
      </c>
      <c r="AU144" s="8">
        <v>1.1929000000000001</v>
      </c>
      <c r="AV144" s="8">
        <v>1.3817999999999999</v>
      </c>
      <c r="AW144" s="8">
        <v>1.1929000000000001</v>
      </c>
      <c r="AX144" s="5">
        <v>102.0441</v>
      </c>
      <c r="AY144" s="5">
        <v>-3.6922999999999999</v>
      </c>
      <c r="AZ144" s="7" t="s">
        <v>91</v>
      </c>
    </row>
    <row r="145" spans="1:52" ht="18" customHeight="1" x14ac:dyDescent="0.25">
      <c r="A145" s="10">
        <v>72</v>
      </c>
      <c r="B145" s="10">
        <v>2</v>
      </c>
      <c r="C145" s="10">
        <v>72</v>
      </c>
      <c r="D145" s="86">
        <v>44895</v>
      </c>
      <c r="E145" s="86">
        <v>44902</v>
      </c>
      <c r="F145" s="86">
        <v>44924</v>
      </c>
      <c r="G145" s="11">
        <v>18758.349999999999</v>
      </c>
      <c r="H145" s="11">
        <v>18560.5</v>
      </c>
      <c r="I145" s="12"/>
      <c r="J145" s="12"/>
      <c r="K145" s="91">
        <f t="array" ref="K145">MAX(IF((D145&lt;[1]Nifty_D!$B$2:$B$6600)*(E145&gt;=[1]Nifty_D!$B$2:$B$6600),[1]Nifty_D!$F$2:$F$6600,""))</f>
        <v>18812.5</v>
      </c>
      <c r="L145" s="92">
        <f t="shared" si="10"/>
        <v>2.8867144498316843E-3</v>
      </c>
      <c r="M145" s="91">
        <f t="shared" si="11"/>
        <v>7188.6</v>
      </c>
      <c r="N145" s="93">
        <f t="array" ref="N145">INDEX([1]Nifty_D!$B$2:$B$6600,MATCH(E145,[1]Nifty_D!$B$2:$B$6600,0)-1)</f>
        <v>44901</v>
      </c>
      <c r="O145" s="89">
        <f>VLOOKUP(N145,[1]Nifty_D!$B$2:$F$6600,5,0)</f>
        <v>18642.75</v>
      </c>
      <c r="P145" s="92">
        <f t="shared" si="12"/>
        <v>-6.1625889270644496E-3</v>
      </c>
      <c r="Q145" s="12" t="s">
        <v>40</v>
      </c>
      <c r="R145" s="10">
        <v>19000</v>
      </c>
      <c r="S145" s="103">
        <f>MROUND(G145,500)</f>
        <v>19000</v>
      </c>
      <c r="T145" s="103">
        <f>S145-R145</f>
        <v>0</v>
      </c>
      <c r="U145" s="12" t="s">
        <v>92</v>
      </c>
      <c r="V145" s="10">
        <v>65</v>
      </c>
      <c r="W145" s="11">
        <v>301.10000000000002</v>
      </c>
      <c r="X145" s="11">
        <v>410.9</v>
      </c>
      <c r="Y145" s="13">
        <v>-0.34489999999999998</v>
      </c>
      <c r="Z145" s="13">
        <v>0.68179999999999996</v>
      </c>
      <c r="AA145" s="10">
        <v>0</v>
      </c>
      <c r="AB145" s="14">
        <v>0</v>
      </c>
      <c r="AC145" s="11">
        <v>109.8</v>
      </c>
      <c r="AD145" s="14">
        <v>5.8533932888553634E-3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 t="s">
        <v>91</v>
      </c>
    </row>
    <row r="146" spans="1:52" ht="18" hidden="1" customHeight="1" x14ac:dyDescent="0.25">
      <c r="A146" s="4">
        <v>73</v>
      </c>
      <c r="B146" s="4">
        <v>1</v>
      </c>
      <c r="C146" s="4">
        <v>73</v>
      </c>
      <c r="D146" s="85">
        <v>44902</v>
      </c>
      <c r="E146" s="85">
        <v>44909</v>
      </c>
      <c r="F146" s="85">
        <v>44910</v>
      </c>
      <c r="G146" s="5">
        <v>18560.5</v>
      </c>
      <c r="H146" s="5">
        <v>18660.3</v>
      </c>
      <c r="I146" s="5">
        <v>99.8</v>
      </c>
      <c r="J146" s="6">
        <v>5.377010317609978E-3</v>
      </c>
      <c r="K146" s="91">
        <f t="array" ref="K146">MAX(IF((D146&lt;[1]Nifty_D!$B$2:$B$6600)*(E146&gt;=[1]Nifty_D!$B$2:$B$6600),[1]Nifty_D!$F$2:$F$6600,""))</f>
        <v>18660.3</v>
      </c>
      <c r="L146" s="92">
        <f t="shared" si="10"/>
        <v>5.3770103176098427E-3</v>
      </c>
      <c r="M146" s="91">
        <f t="shared" si="11"/>
        <v>7036.4</v>
      </c>
      <c r="N146" s="93">
        <f t="array" ref="N146">INDEX([1]Nifty_D!$B$2:$B$6600,MATCH(E146,[1]Nifty_D!$B$2:$B$6600,0)-1)</f>
        <v>44908</v>
      </c>
      <c r="O146" s="89">
        <f>VLOOKUP(N146,[1]Nifty_D!$B$2:$F$6600,5,0)</f>
        <v>18608</v>
      </c>
      <c r="P146" s="92">
        <f t="shared" si="12"/>
        <v>2.5591982974597638E-3</v>
      </c>
      <c r="Q146" s="7" t="s">
        <v>28</v>
      </c>
      <c r="R146" s="4">
        <v>18600</v>
      </c>
      <c r="S146" s="102"/>
      <c r="T146" s="102"/>
      <c r="U146" s="7" t="s">
        <v>90</v>
      </c>
      <c r="V146" s="4">
        <v>65</v>
      </c>
      <c r="W146" s="5">
        <v>145.94999999999999</v>
      </c>
      <c r="X146" s="5">
        <v>104.1</v>
      </c>
      <c r="Y146" s="8">
        <v>-0.1026</v>
      </c>
      <c r="Z146" s="8">
        <v>0.64629999999999999</v>
      </c>
      <c r="AA146" s="5">
        <v>41.85</v>
      </c>
      <c r="AB146" s="6">
        <v>2.2547883947091939E-3</v>
      </c>
      <c r="AC146" s="4">
        <v>0</v>
      </c>
      <c r="AD146" s="6">
        <v>0</v>
      </c>
      <c r="AE146" s="5">
        <v>32308.3</v>
      </c>
      <c r="AF146" s="5">
        <v>32863.199999999997</v>
      </c>
      <c r="AG146" s="5">
        <v>554.9</v>
      </c>
      <c r="AH146" s="5">
        <v>1.7175</v>
      </c>
      <c r="AI146" s="4">
        <v>7</v>
      </c>
      <c r="AJ146" s="5">
        <v>-0.11666700000000001</v>
      </c>
      <c r="AK146" s="5">
        <v>517.20699999999999</v>
      </c>
      <c r="AL146" s="5">
        <v>1.6008</v>
      </c>
      <c r="AM146" s="8">
        <v>-0.7248</v>
      </c>
      <c r="AN146" s="8">
        <v>1.8275999999999999</v>
      </c>
      <c r="AO146" s="15">
        <v>459.25700000000001</v>
      </c>
      <c r="AP146" s="15">
        <v>1.2886</v>
      </c>
      <c r="AQ146" s="5">
        <v>104.0577</v>
      </c>
      <c r="AR146" s="5">
        <v>105.9563</v>
      </c>
      <c r="AS146" s="5">
        <v>-1.8986000000000001</v>
      </c>
      <c r="AT146" s="5">
        <v>-1.7919</v>
      </c>
      <c r="AU146" s="8">
        <v>0.92549999999999999</v>
      </c>
      <c r="AV146" s="8">
        <v>0.76359999999999995</v>
      </c>
      <c r="AW146" s="8">
        <v>0.76359999999999995</v>
      </c>
      <c r="AX146" s="5">
        <v>103.5183</v>
      </c>
      <c r="AY146" s="5">
        <v>-2.3008999999999999</v>
      </c>
      <c r="AZ146" s="7" t="s">
        <v>91</v>
      </c>
    </row>
    <row r="147" spans="1:52" ht="18" customHeight="1" x14ac:dyDescent="0.25">
      <c r="A147" s="10">
        <v>73</v>
      </c>
      <c r="B147" s="10">
        <v>2</v>
      </c>
      <c r="C147" s="10">
        <v>73</v>
      </c>
      <c r="D147" s="86">
        <v>44902</v>
      </c>
      <c r="E147" s="86">
        <v>44909</v>
      </c>
      <c r="F147" s="86">
        <v>44924</v>
      </c>
      <c r="G147" s="11">
        <v>18560.5</v>
      </c>
      <c r="H147" s="11">
        <v>18660.3</v>
      </c>
      <c r="I147" s="12"/>
      <c r="J147" s="12"/>
      <c r="K147" s="91">
        <f t="array" ref="K147">MAX(IF((D147&lt;[1]Nifty_D!$B$2:$B$6600)*(E147&gt;=[1]Nifty_D!$B$2:$B$6600),[1]Nifty_D!$F$2:$F$6600,""))</f>
        <v>18660.3</v>
      </c>
      <c r="L147" s="92">
        <f t="shared" si="10"/>
        <v>5.3770103176098427E-3</v>
      </c>
      <c r="M147" s="91">
        <f t="shared" si="11"/>
        <v>7036.4</v>
      </c>
      <c r="N147" s="93">
        <f t="array" ref="N147">INDEX([1]Nifty_D!$B$2:$B$6600,MATCH(E147,[1]Nifty_D!$B$2:$B$6600,0)-1)</f>
        <v>44908</v>
      </c>
      <c r="O147" s="89">
        <f>VLOOKUP(N147,[1]Nifty_D!$B$2:$F$6600,5,0)</f>
        <v>18608</v>
      </c>
      <c r="P147" s="92">
        <f t="shared" si="12"/>
        <v>2.5591982974597638E-3</v>
      </c>
      <c r="Q147" s="12" t="s">
        <v>40</v>
      </c>
      <c r="R147" s="10">
        <v>19000</v>
      </c>
      <c r="S147" s="103">
        <f>MROUND(G147,500)</f>
        <v>18500</v>
      </c>
      <c r="T147" s="103">
        <f>S147-R147</f>
        <v>-500</v>
      </c>
      <c r="U147" s="12" t="s">
        <v>92</v>
      </c>
      <c r="V147" s="10">
        <v>65</v>
      </c>
      <c r="W147" s="11">
        <v>410.9</v>
      </c>
      <c r="X147" s="11">
        <v>311.10000000000002</v>
      </c>
      <c r="Y147" s="13">
        <v>-0.79949999999999999</v>
      </c>
      <c r="Z147" s="13">
        <v>0.84209999999999996</v>
      </c>
      <c r="AA147" s="10">
        <v>0</v>
      </c>
      <c r="AB147" s="14">
        <v>0</v>
      </c>
      <c r="AC147" s="11">
        <v>-99.8</v>
      </c>
      <c r="AD147" s="14">
        <v>-5.377010317609978E-3</v>
      </c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 t="s">
        <v>91</v>
      </c>
    </row>
    <row r="148" spans="1:52" ht="18" hidden="1" customHeight="1" x14ac:dyDescent="0.25">
      <c r="A148" s="4">
        <v>74</v>
      </c>
      <c r="B148" s="4">
        <v>1</v>
      </c>
      <c r="C148" s="4">
        <v>74</v>
      </c>
      <c r="D148" s="85">
        <v>44909</v>
      </c>
      <c r="E148" s="85">
        <v>44916</v>
      </c>
      <c r="F148" s="85">
        <v>44917</v>
      </c>
      <c r="G148" s="5">
        <v>18660.3</v>
      </c>
      <c r="H148" s="5">
        <v>18199.099999999999</v>
      </c>
      <c r="I148" s="5">
        <v>-461.2</v>
      </c>
      <c r="J148" s="6">
        <v>-2.4715572632808689E-2</v>
      </c>
      <c r="K148" s="91">
        <f t="array" ref="K148">MAX(IF((D148&lt;[1]Nifty_D!$B$2:$B$6600)*(E148&gt;=[1]Nifty_D!$B$2:$B$6600),[1]Nifty_D!$F$2:$F$6600,""))</f>
        <v>18420.45</v>
      </c>
      <c r="L148" s="92">
        <f t="shared" si="10"/>
        <v>-1.2853491101429193E-2</v>
      </c>
      <c r="M148" s="91">
        <f t="shared" si="11"/>
        <v>6796.5500000000011</v>
      </c>
      <c r="N148" s="93">
        <f t="array" ref="N148">INDEX([1]Nifty_D!$B$2:$B$6600,MATCH(E148,[1]Nifty_D!$B$2:$B$6600,0)-1)</f>
        <v>44915</v>
      </c>
      <c r="O148" s="89">
        <f>VLOOKUP(N148,[1]Nifty_D!$B$2:$F$6600,5,0)</f>
        <v>18385.3</v>
      </c>
      <c r="P148" s="92">
        <f t="shared" si="12"/>
        <v>-1.4737169284523843E-2</v>
      </c>
      <c r="Q148" s="7" t="s">
        <v>28</v>
      </c>
      <c r="R148" s="4">
        <v>18700</v>
      </c>
      <c r="S148" s="102"/>
      <c r="T148" s="102"/>
      <c r="U148" s="7" t="s">
        <v>90</v>
      </c>
      <c r="V148" s="4">
        <v>65</v>
      </c>
      <c r="W148" s="5">
        <v>125.4</v>
      </c>
      <c r="X148" s="5">
        <v>3.8</v>
      </c>
      <c r="Y148" s="8">
        <v>0.1128</v>
      </c>
      <c r="Z148" s="8">
        <v>0.65429999999999999</v>
      </c>
      <c r="AA148" s="5">
        <v>121.6</v>
      </c>
      <c r="AB148" s="6">
        <v>6.5165083090839909E-3</v>
      </c>
      <c r="AC148" s="4">
        <v>0</v>
      </c>
      <c r="AD148" s="6">
        <v>0</v>
      </c>
      <c r="AE148" s="5">
        <v>32863.199999999997</v>
      </c>
      <c r="AF148" s="5">
        <v>31610.3</v>
      </c>
      <c r="AG148" s="5">
        <v>-1252.9000000000001</v>
      </c>
      <c r="AH148" s="5">
        <v>-3.8125</v>
      </c>
      <c r="AI148" s="4">
        <v>7</v>
      </c>
      <c r="AJ148" s="5">
        <v>-0.11666700000000001</v>
      </c>
      <c r="AK148" s="5">
        <v>-1291.2403999999999</v>
      </c>
      <c r="AL148" s="5">
        <v>-3.9291</v>
      </c>
      <c r="AM148" s="8">
        <v>-4.2034000000000002</v>
      </c>
      <c r="AN148" s="8">
        <v>0.21490000000000001</v>
      </c>
      <c r="AO148" s="9">
        <v>-748.49040000000002</v>
      </c>
      <c r="AP148" s="9">
        <v>-1.0205</v>
      </c>
      <c r="AQ148" s="5">
        <v>102.9957</v>
      </c>
      <c r="AR148" s="5">
        <v>105.9563</v>
      </c>
      <c r="AS148" s="5">
        <v>-2.9605999999999999</v>
      </c>
      <c r="AT148" s="5">
        <v>-2.7940999999999998</v>
      </c>
      <c r="AU148" s="8">
        <v>0.3861</v>
      </c>
      <c r="AV148" s="8">
        <v>-1.0213000000000001</v>
      </c>
      <c r="AW148" s="8">
        <v>-1.0213000000000001</v>
      </c>
      <c r="AX148" s="5">
        <v>102.9949</v>
      </c>
      <c r="AY148" s="5">
        <v>-2.7949000000000002</v>
      </c>
      <c r="AZ148" s="7" t="s">
        <v>91</v>
      </c>
    </row>
    <row r="149" spans="1:52" ht="18" customHeight="1" x14ac:dyDescent="0.25">
      <c r="A149" s="10">
        <v>74</v>
      </c>
      <c r="B149" s="10">
        <v>2</v>
      </c>
      <c r="C149" s="10">
        <v>74</v>
      </c>
      <c r="D149" s="86">
        <v>44909</v>
      </c>
      <c r="E149" s="86">
        <v>44916</v>
      </c>
      <c r="F149" s="86">
        <v>44924</v>
      </c>
      <c r="G149" s="11">
        <v>18660.3</v>
      </c>
      <c r="H149" s="11">
        <v>18199.099999999999</v>
      </c>
      <c r="I149" s="12"/>
      <c r="J149" s="12"/>
      <c r="K149" s="91">
        <f t="array" ref="K149">MAX(IF((D149&lt;[1]Nifty_D!$B$2:$B$6600)*(E149&gt;=[1]Nifty_D!$B$2:$B$6600),[1]Nifty_D!$F$2:$F$6600,""))</f>
        <v>18420.45</v>
      </c>
      <c r="L149" s="92">
        <f t="shared" si="10"/>
        <v>-1.2853491101429193E-2</v>
      </c>
      <c r="M149" s="91">
        <f t="shared" si="11"/>
        <v>6796.5500000000011</v>
      </c>
      <c r="N149" s="93">
        <f t="array" ref="N149">INDEX([1]Nifty_D!$B$2:$B$6600,MATCH(E149,[1]Nifty_D!$B$2:$B$6600,0)-1)</f>
        <v>44915</v>
      </c>
      <c r="O149" s="89">
        <f>VLOOKUP(N149,[1]Nifty_D!$B$2:$F$6600,5,0)</f>
        <v>18385.3</v>
      </c>
      <c r="P149" s="92">
        <f t="shared" si="12"/>
        <v>-1.4737169284523843E-2</v>
      </c>
      <c r="Q149" s="12" t="s">
        <v>40</v>
      </c>
      <c r="R149" s="10">
        <v>19000</v>
      </c>
      <c r="S149" s="103">
        <f>MROUND(G149,500)</f>
        <v>18500</v>
      </c>
      <c r="T149" s="103">
        <f>S149-R149</f>
        <v>-500</v>
      </c>
      <c r="U149" s="12" t="s">
        <v>92</v>
      </c>
      <c r="V149" s="10">
        <v>65</v>
      </c>
      <c r="W149" s="11">
        <v>311.10000000000002</v>
      </c>
      <c r="X149" s="11">
        <v>732.25</v>
      </c>
      <c r="Y149" s="13">
        <v>5.8400000000000001E-2</v>
      </c>
      <c r="Z149" s="13">
        <v>2.5278</v>
      </c>
      <c r="AA149" s="10">
        <v>0</v>
      </c>
      <c r="AB149" s="14">
        <v>0</v>
      </c>
      <c r="AC149" s="11">
        <v>421.15</v>
      </c>
      <c r="AD149" s="14">
        <v>2.2569304887917131E-2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 t="s">
        <v>91</v>
      </c>
    </row>
    <row r="150" spans="1:52" ht="18" hidden="1" customHeight="1" x14ac:dyDescent="0.25">
      <c r="A150" s="4">
        <v>75</v>
      </c>
      <c r="B150" s="4">
        <v>1</v>
      </c>
      <c r="C150" s="4">
        <v>75</v>
      </c>
      <c r="D150" s="85">
        <v>44916</v>
      </c>
      <c r="E150" s="85">
        <v>44918</v>
      </c>
      <c r="F150" s="85">
        <v>44924</v>
      </c>
      <c r="G150" s="5">
        <v>18199.099999999999</v>
      </c>
      <c r="H150" s="5">
        <v>17806.8</v>
      </c>
      <c r="I150" s="5">
        <v>-392.3</v>
      </c>
      <c r="J150" s="6">
        <v>-2.1556011011533541E-2</v>
      </c>
      <c r="K150" s="91">
        <f t="array" ref="K150">MAX(IF((D150&lt;[1]Nifty_D!$B$2:$B$6600)*(E150&gt;=[1]Nifty_D!$B$2:$B$6600),[1]Nifty_D!$F$2:$F$6600,""))</f>
        <v>18127.349999999999</v>
      </c>
      <c r="L150" s="92">
        <f t="shared" si="10"/>
        <v>-3.9425026512299732E-3</v>
      </c>
      <c r="M150" s="91">
        <f t="shared" si="11"/>
        <v>6503.4499999999989</v>
      </c>
      <c r="N150" s="93">
        <f t="array" ref="N150">INDEX([1]Nifty_D!$B$2:$B$6600,MATCH(E150,[1]Nifty_D!$B$2:$B$6600,0)-1)</f>
        <v>44917</v>
      </c>
      <c r="O150" s="89">
        <f>VLOOKUP(N150,[1]Nifty_D!$B$2:$F$6600,5,0)</f>
        <v>18127.349999999999</v>
      </c>
      <c r="P150" s="92">
        <f t="shared" si="12"/>
        <v>-3.9425026512299732E-3</v>
      </c>
      <c r="Q150" s="7" t="s">
        <v>28</v>
      </c>
      <c r="R150" s="4">
        <v>18200</v>
      </c>
      <c r="S150" s="102"/>
      <c r="T150" s="102"/>
      <c r="U150" s="7" t="s">
        <v>90</v>
      </c>
      <c r="V150" s="4">
        <v>65</v>
      </c>
      <c r="W150" s="5">
        <v>203.95</v>
      </c>
      <c r="X150" s="5">
        <v>23.4</v>
      </c>
      <c r="Y150" s="8">
        <v>-0.23219999999999999</v>
      </c>
      <c r="Z150" s="8">
        <v>1.0044</v>
      </c>
      <c r="AA150" s="5">
        <v>180.55</v>
      </c>
      <c r="AB150" s="6">
        <v>9.9208202603425465E-3</v>
      </c>
      <c r="AC150" s="4">
        <v>0</v>
      </c>
      <c r="AD150" s="6">
        <v>0</v>
      </c>
      <c r="AE150" s="5">
        <v>31610.3</v>
      </c>
      <c r="AF150" s="5">
        <v>30157.65</v>
      </c>
      <c r="AG150" s="5">
        <v>-1452.65</v>
      </c>
      <c r="AH150" s="5">
        <v>-4.5955000000000004</v>
      </c>
      <c r="AI150" s="4">
        <v>2</v>
      </c>
      <c r="AJ150" s="5">
        <v>-3.3333000000000002E-2</v>
      </c>
      <c r="AK150" s="5">
        <v>-1463.1867999999999</v>
      </c>
      <c r="AL150" s="5">
        <v>-4.6288</v>
      </c>
      <c r="AM150" s="8">
        <v>-4.8057999999999996</v>
      </c>
      <c r="AN150" s="8">
        <v>0.76319999999999999</v>
      </c>
      <c r="AO150" s="9">
        <v>-868.28679999999997</v>
      </c>
      <c r="AP150" s="9">
        <v>-1.36</v>
      </c>
      <c r="AQ150" s="5">
        <v>101.595</v>
      </c>
      <c r="AR150" s="5">
        <v>105.9563</v>
      </c>
      <c r="AS150" s="5">
        <v>-4.3613</v>
      </c>
      <c r="AT150" s="5">
        <v>-4.1161000000000003</v>
      </c>
      <c r="AU150" s="8">
        <v>8.7800000000000003E-2</v>
      </c>
      <c r="AV150" s="8">
        <v>-1.381</v>
      </c>
      <c r="AW150" s="8">
        <v>-1.381</v>
      </c>
      <c r="AX150" s="5">
        <v>101.57340000000001</v>
      </c>
      <c r="AY150" s="5">
        <v>-4.1364999999999998</v>
      </c>
      <c r="AZ150" s="7" t="s">
        <v>94</v>
      </c>
    </row>
    <row r="151" spans="1:52" ht="18" customHeight="1" x14ac:dyDescent="0.25">
      <c r="A151" s="10">
        <v>75</v>
      </c>
      <c r="B151" s="10">
        <v>2</v>
      </c>
      <c r="C151" s="10">
        <v>75</v>
      </c>
      <c r="D151" s="86">
        <v>44916</v>
      </c>
      <c r="E151" s="86">
        <v>44918</v>
      </c>
      <c r="F151" s="86">
        <v>44924</v>
      </c>
      <c r="G151" s="11">
        <v>18199.099999999999</v>
      </c>
      <c r="H151" s="11">
        <v>17806.8</v>
      </c>
      <c r="I151" s="12"/>
      <c r="J151" s="12"/>
      <c r="K151" s="91">
        <f t="array" ref="K151">MAX(IF((D151&lt;[1]Nifty_D!$B$2:$B$6600)*(E151&gt;=[1]Nifty_D!$B$2:$B$6600),[1]Nifty_D!$F$2:$F$6600,""))</f>
        <v>18127.349999999999</v>
      </c>
      <c r="L151" s="92">
        <f t="shared" si="10"/>
        <v>-3.9425026512299732E-3</v>
      </c>
      <c r="M151" s="91">
        <f t="shared" si="11"/>
        <v>6503.4499999999989</v>
      </c>
      <c r="N151" s="93">
        <f t="array" ref="N151">INDEX([1]Nifty_D!$B$2:$B$6600,MATCH(E151,[1]Nifty_D!$B$2:$B$6600,0)-1)</f>
        <v>44917</v>
      </c>
      <c r="O151" s="89">
        <f>VLOOKUP(N151,[1]Nifty_D!$B$2:$F$6600,5,0)</f>
        <v>18127.349999999999</v>
      </c>
      <c r="P151" s="92">
        <f t="shared" si="12"/>
        <v>-3.9425026512299732E-3</v>
      </c>
      <c r="Q151" s="12" t="s">
        <v>40</v>
      </c>
      <c r="R151" s="10">
        <v>19000</v>
      </c>
      <c r="S151" s="103">
        <f>MROUND(G151,500)</f>
        <v>18000</v>
      </c>
      <c r="T151" s="103">
        <f>S151-R151</f>
        <v>-1000</v>
      </c>
      <c r="U151" s="12" t="s">
        <v>92</v>
      </c>
      <c r="V151" s="10">
        <v>65</v>
      </c>
      <c r="W151" s="11">
        <v>732.25</v>
      </c>
      <c r="X151" s="11">
        <v>1146.5999999999999</v>
      </c>
      <c r="Y151" s="13">
        <v>-0.44319999999999998</v>
      </c>
      <c r="Z151" s="13">
        <v>2.4203999999999999</v>
      </c>
      <c r="AA151" s="10">
        <v>0</v>
      </c>
      <c r="AB151" s="14">
        <v>0</v>
      </c>
      <c r="AC151" s="11">
        <v>414.35</v>
      </c>
      <c r="AD151" s="14">
        <v>2.2767609387277399E-2</v>
      </c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 t="s">
        <v>94</v>
      </c>
    </row>
    <row r="152" spans="1:52" ht="18" hidden="1" customHeight="1" x14ac:dyDescent="0.25">
      <c r="A152" s="4">
        <v>76</v>
      </c>
      <c r="B152" s="4">
        <v>1</v>
      </c>
      <c r="C152" s="4">
        <v>76</v>
      </c>
      <c r="D152" s="85">
        <v>45044</v>
      </c>
      <c r="E152" s="85">
        <v>45049</v>
      </c>
      <c r="F152" s="85">
        <v>45050</v>
      </c>
      <c r="G152" s="4">
        <v>18065</v>
      </c>
      <c r="H152" s="5">
        <v>18089.849999999999</v>
      </c>
      <c r="I152" s="5">
        <v>24.85</v>
      </c>
      <c r="J152" s="6">
        <v>1.3755881538887349E-3</v>
      </c>
      <c r="K152" s="91">
        <f t="array" ref="K152">MAX(IF((D152&lt;[1]Nifty_D!$B$2:$B$6600)*(E152&gt;=[1]Nifty_D!$B$2:$B$6600),[1]Nifty_D!$F$2:$F$6600,""))</f>
        <v>18147.650000000001</v>
      </c>
      <c r="L152" s="92">
        <f t="shared" si="10"/>
        <v>4.5751453086078087E-3</v>
      </c>
      <c r="M152" s="91">
        <f t="shared" si="11"/>
        <v>6523.7500000000018</v>
      </c>
      <c r="N152" s="93">
        <f t="array" ref="N152">INDEX([1]Nifty_D!$B$2:$B$6600,MATCH(E152,[1]Nifty_D!$B$2:$B$6600,0)-1)</f>
        <v>45048</v>
      </c>
      <c r="O152" s="89">
        <f>VLOOKUP(N152,[1]Nifty_D!$B$2:$F$6600,5,0)</f>
        <v>18147.650000000001</v>
      </c>
      <c r="P152" s="92">
        <f t="shared" si="12"/>
        <v>4.5751453086078087E-3</v>
      </c>
      <c r="Q152" s="7" t="s">
        <v>28</v>
      </c>
      <c r="R152" s="4">
        <v>18100</v>
      </c>
      <c r="S152" s="102"/>
      <c r="T152" s="102"/>
      <c r="U152" s="7" t="s">
        <v>90</v>
      </c>
      <c r="V152" s="4">
        <v>65</v>
      </c>
      <c r="W152" s="5">
        <v>49.2</v>
      </c>
      <c r="X152" s="5">
        <v>45.6</v>
      </c>
      <c r="Y152" s="8">
        <v>-0.39190000000000003</v>
      </c>
      <c r="Z152" s="8">
        <v>0.10630000000000001</v>
      </c>
      <c r="AA152" s="5">
        <v>3.6</v>
      </c>
      <c r="AB152" s="6">
        <v>1.992803764184888E-4</v>
      </c>
      <c r="AC152" s="4">
        <v>0</v>
      </c>
      <c r="AD152" s="6">
        <v>0</v>
      </c>
      <c r="AE152" s="5">
        <v>31794.75</v>
      </c>
      <c r="AF152" s="5">
        <v>32186.2</v>
      </c>
      <c r="AG152" s="5">
        <v>391.45</v>
      </c>
      <c r="AH152" s="5">
        <v>1.2312000000000001</v>
      </c>
      <c r="AI152" s="4">
        <v>5</v>
      </c>
      <c r="AJ152" s="5">
        <v>-8.3333000000000004E-2</v>
      </c>
      <c r="AK152" s="5">
        <v>364.95440000000002</v>
      </c>
      <c r="AL152" s="5">
        <v>1.1477999999999999</v>
      </c>
      <c r="AM152" s="8">
        <v>0.34860000000000002</v>
      </c>
      <c r="AN152" s="8">
        <v>1.3718999999999999</v>
      </c>
      <c r="AO152" s="15">
        <v>350.8544</v>
      </c>
      <c r="AP152" s="15">
        <v>1.0697000000000001</v>
      </c>
      <c r="AQ152" s="5">
        <v>101.0697</v>
      </c>
      <c r="AR152" s="5">
        <v>101.0697</v>
      </c>
      <c r="AS152" s="4">
        <v>0</v>
      </c>
      <c r="AT152" s="4">
        <v>0</v>
      </c>
      <c r="AU152" s="8">
        <v>0.74250000000000005</v>
      </c>
      <c r="AV152" s="8">
        <v>0.49340000000000001</v>
      </c>
      <c r="AW152" s="8">
        <v>0.49340000000000001</v>
      </c>
      <c r="AX152" s="5">
        <v>100.49339999999999</v>
      </c>
      <c r="AY152" s="5">
        <v>0.49340000000000001</v>
      </c>
      <c r="AZ152" s="7" t="s">
        <v>91</v>
      </c>
    </row>
    <row r="153" spans="1:52" ht="18" customHeight="1" x14ac:dyDescent="0.25">
      <c r="A153" s="10">
        <v>76</v>
      </c>
      <c r="B153" s="10">
        <v>2</v>
      </c>
      <c r="C153" s="10">
        <v>76</v>
      </c>
      <c r="D153" s="86">
        <v>45044</v>
      </c>
      <c r="E153" s="86">
        <v>45049</v>
      </c>
      <c r="F153" s="86">
        <v>45071</v>
      </c>
      <c r="G153" s="10">
        <v>18065</v>
      </c>
      <c r="H153" s="11">
        <v>18089.849999999999</v>
      </c>
      <c r="I153" s="12"/>
      <c r="J153" s="12"/>
      <c r="K153" s="91">
        <f t="array" ref="K153">MAX(IF((D153&lt;[1]Nifty_D!$B$2:$B$6600)*(E153&gt;=[1]Nifty_D!$B$2:$B$6600),[1]Nifty_D!$F$2:$F$6600,""))</f>
        <v>18147.650000000001</v>
      </c>
      <c r="L153" s="92">
        <f t="shared" si="10"/>
        <v>4.5751453086078087E-3</v>
      </c>
      <c r="M153" s="91">
        <f t="shared" si="11"/>
        <v>6523.7500000000018</v>
      </c>
      <c r="N153" s="93">
        <f t="array" ref="N153">INDEX([1]Nifty_D!$B$2:$B$6600,MATCH(E153,[1]Nifty_D!$B$2:$B$6600,0)-1)</f>
        <v>45048</v>
      </c>
      <c r="O153" s="89">
        <f>VLOOKUP(N153,[1]Nifty_D!$B$2:$F$6600,5,0)</f>
        <v>18147.650000000001</v>
      </c>
      <c r="P153" s="92">
        <f t="shared" si="12"/>
        <v>4.5751453086078087E-3</v>
      </c>
      <c r="Q153" s="12" t="s">
        <v>40</v>
      </c>
      <c r="R153" s="10">
        <v>18000</v>
      </c>
      <c r="S153" s="103">
        <f>MROUND(G153,500)</f>
        <v>18000</v>
      </c>
      <c r="T153" s="103">
        <f>S153-R153</f>
        <v>0</v>
      </c>
      <c r="U153" s="12" t="s">
        <v>92</v>
      </c>
      <c r="V153" s="10">
        <v>65</v>
      </c>
      <c r="W153" s="11">
        <v>138.85</v>
      </c>
      <c r="X153" s="11">
        <v>121.15</v>
      </c>
      <c r="Y153" s="13">
        <v>-0.23749999999999999</v>
      </c>
      <c r="Z153" s="13">
        <v>3.85E-2</v>
      </c>
      <c r="AA153" s="10">
        <v>0</v>
      </c>
      <c r="AB153" s="14">
        <v>0</v>
      </c>
      <c r="AC153" s="11">
        <v>-17.7</v>
      </c>
      <c r="AD153" s="14">
        <v>-9.7979518405756985E-4</v>
      </c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 t="s">
        <v>91</v>
      </c>
    </row>
    <row r="154" spans="1:52" ht="18" hidden="1" customHeight="1" x14ac:dyDescent="0.25">
      <c r="A154" s="4">
        <v>77</v>
      </c>
      <c r="B154" s="4">
        <v>1</v>
      </c>
      <c r="C154" s="4">
        <v>77</v>
      </c>
      <c r="D154" s="85">
        <v>45049</v>
      </c>
      <c r="E154" s="85">
        <v>45050</v>
      </c>
      <c r="F154" s="85">
        <v>45057</v>
      </c>
      <c r="G154" s="5">
        <v>18089.849999999999</v>
      </c>
      <c r="H154" s="5">
        <v>18255.8</v>
      </c>
      <c r="I154" s="5">
        <v>165.95</v>
      </c>
      <c r="J154" s="6">
        <v>9.1736526284076428E-3</v>
      </c>
      <c r="K154" s="91">
        <f t="array" ref="K154">MAX(IF((D154&lt;[1]Nifty_D!$B$2:$B$6600)*(E154&gt;=[1]Nifty_D!$B$2:$B$6600),[1]Nifty_D!$F$2:$F$6600,""))</f>
        <v>18255.8</v>
      </c>
      <c r="L154" s="92">
        <f t="shared" si="10"/>
        <v>9.1736526284076358E-3</v>
      </c>
      <c r="M154" s="91">
        <f t="shared" si="11"/>
        <v>6631.9</v>
      </c>
      <c r="N154" s="93">
        <f t="array" ref="N154">INDEX([1]Nifty_D!$B$2:$B$6600,MATCH(E154,[1]Nifty_D!$B$2:$B$6600,0)-1)</f>
        <v>45049</v>
      </c>
      <c r="O154" s="89">
        <f>VLOOKUP(N154,[1]Nifty_D!$B$2:$F$6600,5,0)</f>
        <v>18089.849999999999</v>
      </c>
      <c r="P154" s="92">
        <f t="shared" si="12"/>
        <v>0</v>
      </c>
      <c r="Q154" s="7" t="s">
        <v>28</v>
      </c>
      <c r="R154" s="4">
        <v>18100</v>
      </c>
      <c r="S154" s="102"/>
      <c r="T154" s="102"/>
      <c r="U154" s="7" t="s">
        <v>90</v>
      </c>
      <c r="V154" s="4">
        <v>65</v>
      </c>
      <c r="W154" s="5">
        <v>113.75</v>
      </c>
      <c r="X154" s="5">
        <v>199.75</v>
      </c>
      <c r="Y154" s="8">
        <v>-0.55779999999999996</v>
      </c>
      <c r="Z154" s="8">
        <v>0.1263</v>
      </c>
      <c r="AA154" s="4">
        <v>-86</v>
      </c>
      <c r="AB154" s="6">
        <v>-4.7540471590422264E-3</v>
      </c>
      <c r="AC154" s="4">
        <v>0</v>
      </c>
      <c r="AD154" s="6">
        <v>0</v>
      </c>
      <c r="AE154" s="5">
        <v>32186.2</v>
      </c>
      <c r="AF154" s="5">
        <v>32374.35</v>
      </c>
      <c r="AG154" s="5">
        <v>188.15</v>
      </c>
      <c r="AH154" s="5">
        <v>0.58460000000000001</v>
      </c>
      <c r="AI154" s="4">
        <v>1</v>
      </c>
      <c r="AJ154" s="5">
        <v>-1.6667000000000001E-2</v>
      </c>
      <c r="AK154" s="5">
        <v>182.78559999999999</v>
      </c>
      <c r="AL154" s="5">
        <v>0.56789999999999996</v>
      </c>
      <c r="AM154" s="8">
        <v>0.1123</v>
      </c>
      <c r="AN154" s="8">
        <v>0.64549999999999996</v>
      </c>
      <c r="AO154" s="15">
        <v>49.835599999999999</v>
      </c>
      <c r="AP154" s="15">
        <v>-0.16700000000000001</v>
      </c>
      <c r="AQ154" s="5">
        <v>100.90089999999999</v>
      </c>
      <c r="AR154" s="5">
        <v>101.0697</v>
      </c>
      <c r="AS154" s="5">
        <v>-0.16880000000000001</v>
      </c>
      <c r="AT154" s="5">
        <v>-0.16700000000000001</v>
      </c>
      <c r="AU154" s="8">
        <v>-0.1953</v>
      </c>
      <c r="AV154" s="8">
        <v>0.33090000000000003</v>
      </c>
      <c r="AW154" s="8">
        <v>-0.1953</v>
      </c>
      <c r="AX154" s="5">
        <v>100.8723</v>
      </c>
      <c r="AY154" s="5">
        <v>-0.1953</v>
      </c>
      <c r="AZ154" s="7" t="s">
        <v>96</v>
      </c>
    </row>
    <row r="155" spans="1:52" ht="18" customHeight="1" x14ac:dyDescent="0.25">
      <c r="A155" s="10">
        <v>77</v>
      </c>
      <c r="B155" s="10">
        <v>2</v>
      </c>
      <c r="C155" s="10">
        <v>77</v>
      </c>
      <c r="D155" s="86">
        <v>45049</v>
      </c>
      <c r="E155" s="86">
        <v>45050</v>
      </c>
      <c r="F155" s="86">
        <v>45071</v>
      </c>
      <c r="G155" s="11">
        <v>18089.849999999999</v>
      </c>
      <c r="H155" s="11">
        <v>18255.8</v>
      </c>
      <c r="I155" s="12"/>
      <c r="J155" s="12"/>
      <c r="K155" s="91">
        <f t="array" ref="K155">MAX(IF((D155&lt;[1]Nifty_D!$B$2:$B$6600)*(E155&gt;=[1]Nifty_D!$B$2:$B$6600),[1]Nifty_D!$F$2:$F$6600,""))</f>
        <v>18255.8</v>
      </c>
      <c r="L155" s="92">
        <f t="shared" si="10"/>
        <v>9.1736526284076358E-3</v>
      </c>
      <c r="M155" s="91">
        <f t="shared" si="11"/>
        <v>6631.9</v>
      </c>
      <c r="N155" s="93">
        <f t="array" ref="N155">INDEX([1]Nifty_D!$B$2:$B$6600,MATCH(E155,[1]Nifty_D!$B$2:$B$6600,0)-1)</f>
        <v>45049</v>
      </c>
      <c r="O155" s="89">
        <f>VLOOKUP(N155,[1]Nifty_D!$B$2:$F$6600,5,0)</f>
        <v>18089.849999999999</v>
      </c>
      <c r="P155" s="92">
        <f t="shared" si="12"/>
        <v>0</v>
      </c>
      <c r="Q155" s="12" t="s">
        <v>40</v>
      </c>
      <c r="R155" s="10">
        <v>18000</v>
      </c>
      <c r="S155" s="103">
        <f>MROUND(G155,500)</f>
        <v>18000</v>
      </c>
      <c r="T155" s="103">
        <f>S155-R155</f>
        <v>0</v>
      </c>
      <c r="U155" s="12" t="s">
        <v>92</v>
      </c>
      <c r="V155" s="10">
        <v>65</v>
      </c>
      <c r="W155" s="11">
        <v>121.15</v>
      </c>
      <c r="X155" s="11">
        <v>74.2</v>
      </c>
      <c r="Y155" s="13">
        <v>-0.28299999999999997</v>
      </c>
      <c r="Z155" s="13">
        <v>9.2299999999999993E-2</v>
      </c>
      <c r="AA155" s="10">
        <v>0</v>
      </c>
      <c r="AB155" s="14">
        <v>0</v>
      </c>
      <c r="AC155" s="11">
        <v>-46.95</v>
      </c>
      <c r="AD155" s="14">
        <v>-2.5953780711282849E-3</v>
      </c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 t="s">
        <v>96</v>
      </c>
    </row>
    <row r="156" spans="1:52" ht="18" hidden="1" customHeight="1" x14ac:dyDescent="0.25">
      <c r="A156" s="4">
        <v>78</v>
      </c>
      <c r="B156" s="4">
        <v>1</v>
      </c>
      <c r="C156" s="4">
        <v>78</v>
      </c>
      <c r="D156" s="85">
        <v>45050</v>
      </c>
      <c r="E156" s="85">
        <v>45056</v>
      </c>
      <c r="F156" s="85">
        <v>45057</v>
      </c>
      <c r="G156" s="5">
        <v>18255.8</v>
      </c>
      <c r="H156" s="5">
        <v>18315.099999999999</v>
      </c>
      <c r="I156" s="5">
        <v>59.3</v>
      </c>
      <c r="J156" s="6">
        <v>3.2482827375409462E-3</v>
      </c>
      <c r="K156" s="91">
        <f t="array" ref="K156">MAX(IF((D156&lt;[1]Nifty_D!$B$2:$B$6600)*(E156&gt;=[1]Nifty_D!$B$2:$B$6600),[1]Nifty_D!$F$2:$F$6600,""))</f>
        <v>18315.099999999999</v>
      </c>
      <c r="L156" s="92">
        <f t="shared" si="10"/>
        <v>3.2482827375408529E-3</v>
      </c>
      <c r="M156" s="91">
        <f t="shared" si="11"/>
        <v>6691.1999999999989</v>
      </c>
      <c r="N156" s="93">
        <f t="array" ref="N156">INDEX([1]Nifty_D!$B$2:$B$6600,MATCH(E156,[1]Nifty_D!$B$2:$B$6600,0)-1)</f>
        <v>45055</v>
      </c>
      <c r="O156" s="89">
        <f>VLOOKUP(N156,[1]Nifty_D!$B$2:$F$6600,5,0)</f>
        <v>18265.95</v>
      </c>
      <c r="P156" s="92">
        <f t="shared" si="12"/>
        <v>5.5598768610520821E-4</v>
      </c>
      <c r="Q156" s="7" t="s">
        <v>28</v>
      </c>
      <c r="R156" s="4">
        <v>18300</v>
      </c>
      <c r="S156" s="102"/>
      <c r="T156" s="102"/>
      <c r="U156" s="7" t="s">
        <v>90</v>
      </c>
      <c r="V156" s="4">
        <v>65</v>
      </c>
      <c r="W156" s="5">
        <v>72.45</v>
      </c>
      <c r="X156" s="5">
        <v>57.25</v>
      </c>
      <c r="Y156" s="8">
        <v>-0.115</v>
      </c>
      <c r="Z156" s="8">
        <v>0.29170000000000001</v>
      </c>
      <c r="AA156" s="5">
        <v>15.2</v>
      </c>
      <c r="AB156" s="6">
        <v>8.3261210135956792E-4</v>
      </c>
      <c r="AC156" s="4">
        <v>0</v>
      </c>
      <c r="AD156" s="6">
        <v>0</v>
      </c>
      <c r="AE156" s="5">
        <v>32374.35</v>
      </c>
      <c r="AF156" s="5">
        <v>32505.35</v>
      </c>
      <c r="AG156" s="4">
        <v>131</v>
      </c>
      <c r="AH156" s="5">
        <v>0.40460000000000002</v>
      </c>
      <c r="AI156" s="4">
        <v>6</v>
      </c>
      <c r="AJ156" s="5">
        <v>-0.1</v>
      </c>
      <c r="AK156" s="5">
        <v>98.625699999999995</v>
      </c>
      <c r="AL156" s="5">
        <v>0.30459999999999998</v>
      </c>
      <c r="AM156" s="8">
        <v>-0.83150000000000002</v>
      </c>
      <c r="AN156" s="8">
        <v>1.0439000000000001</v>
      </c>
      <c r="AO156" s="15">
        <v>63.225700000000003</v>
      </c>
      <c r="AP156" s="15">
        <v>0.11070000000000001</v>
      </c>
      <c r="AQ156" s="5">
        <v>101.01260000000001</v>
      </c>
      <c r="AR156" s="5">
        <v>101.0697</v>
      </c>
      <c r="AS156" s="5">
        <v>-5.7099999999999998E-2</v>
      </c>
      <c r="AT156" s="5">
        <v>-5.6500000000000002E-2</v>
      </c>
      <c r="AU156" s="8">
        <v>0.52349999999999997</v>
      </c>
      <c r="AV156" s="8">
        <v>0.19750000000000001</v>
      </c>
      <c r="AW156" s="8">
        <v>0.11070000000000001</v>
      </c>
      <c r="AX156" s="5">
        <v>101.01260000000001</v>
      </c>
      <c r="AY156" s="5">
        <v>-5.6500000000000002E-2</v>
      </c>
      <c r="AZ156" s="7" t="s">
        <v>91</v>
      </c>
    </row>
    <row r="157" spans="1:52" ht="18" customHeight="1" x14ac:dyDescent="0.25">
      <c r="A157" s="10">
        <v>78</v>
      </c>
      <c r="B157" s="10">
        <v>2</v>
      </c>
      <c r="C157" s="10">
        <v>78</v>
      </c>
      <c r="D157" s="86">
        <v>45050</v>
      </c>
      <c r="E157" s="86">
        <v>45056</v>
      </c>
      <c r="F157" s="86">
        <v>45071</v>
      </c>
      <c r="G157" s="11">
        <v>18255.8</v>
      </c>
      <c r="H157" s="11">
        <v>18315.099999999999</v>
      </c>
      <c r="I157" s="12"/>
      <c r="J157" s="12"/>
      <c r="K157" s="91">
        <f t="array" ref="K157">MAX(IF((D157&lt;[1]Nifty_D!$B$2:$B$6600)*(E157&gt;=[1]Nifty_D!$B$2:$B$6600),[1]Nifty_D!$F$2:$F$6600,""))</f>
        <v>18315.099999999999</v>
      </c>
      <c r="L157" s="92">
        <f t="shared" si="10"/>
        <v>3.2482827375408529E-3</v>
      </c>
      <c r="M157" s="91">
        <f t="shared" si="11"/>
        <v>6691.1999999999989</v>
      </c>
      <c r="N157" s="93">
        <f t="array" ref="N157">INDEX([1]Nifty_D!$B$2:$B$6600,MATCH(E157,[1]Nifty_D!$B$2:$B$6600,0)-1)</f>
        <v>45055</v>
      </c>
      <c r="O157" s="89">
        <f>VLOOKUP(N157,[1]Nifty_D!$B$2:$F$6600,5,0)</f>
        <v>18265.95</v>
      </c>
      <c r="P157" s="92">
        <f t="shared" si="12"/>
        <v>5.5598768610520821E-4</v>
      </c>
      <c r="Q157" s="12" t="s">
        <v>40</v>
      </c>
      <c r="R157" s="10">
        <v>18500</v>
      </c>
      <c r="S157" s="103">
        <f>MROUND(G157,500)</f>
        <v>18500</v>
      </c>
      <c r="T157" s="103">
        <f>S157-R157</f>
        <v>0</v>
      </c>
      <c r="U157" s="12" t="s">
        <v>92</v>
      </c>
      <c r="V157" s="10">
        <v>65</v>
      </c>
      <c r="W157" s="11">
        <v>284.39999999999998</v>
      </c>
      <c r="X157" s="11">
        <v>233.8</v>
      </c>
      <c r="Y157" s="13">
        <v>-0.40539999999999998</v>
      </c>
      <c r="Z157" s="13">
        <v>0.73729999999999996</v>
      </c>
      <c r="AA157" s="10">
        <v>0</v>
      </c>
      <c r="AB157" s="14">
        <v>0</v>
      </c>
      <c r="AC157" s="11">
        <v>-50.6</v>
      </c>
      <c r="AD157" s="14">
        <v>-2.771721863736456E-3</v>
      </c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 t="s">
        <v>91</v>
      </c>
    </row>
    <row r="158" spans="1:52" ht="18" hidden="1" customHeight="1" x14ac:dyDescent="0.25">
      <c r="A158" s="4">
        <v>79</v>
      </c>
      <c r="B158" s="4">
        <v>1</v>
      </c>
      <c r="C158" s="4">
        <v>79</v>
      </c>
      <c r="D158" s="85">
        <v>45056</v>
      </c>
      <c r="E158" s="85">
        <v>45063</v>
      </c>
      <c r="F158" s="85">
        <v>45064</v>
      </c>
      <c r="G158" s="5">
        <v>18315.099999999999</v>
      </c>
      <c r="H158" s="5">
        <v>18181.75</v>
      </c>
      <c r="I158" s="5">
        <v>-133.35</v>
      </c>
      <c r="J158" s="6">
        <v>-7.2808775272862284E-3</v>
      </c>
      <c r="K158" s="91">
        <f t="array" ref="K158">MAX(IF((D158&lt;[1]Nifty_D!$B$2:$B$6600)*(E158&gt;=[1]Nifty_D!$B$2:$B$6600),[1]Nifty_D!$F$2:$F$6600,""))</f>
        <v>18398.849999999999</v>
      </c>
      <c r="L158" s="92">
        <f t="shared" si="10"/>
        <v>4.5727296056259359E-3</v>
      </c>
      <c r="M158" s="91">
        <f t="shared" si="11"/>
        <v>6774.9499999999989</v>
      </c>
      <c r="N158" s="93">
        <f t="array" ref="N158">INDEX([1]Nifty_D!$B$2:$B$6600,MATCH(E158,[1]Nifty_D!$B$2:$B$6600,0)-1)</f>
        <v>45062</v>
      </c>
      <c r="O158" s="89">
        <f>VLOOKUP(N158,[1]Nifty_D!$B$2:$F$6600,5,0)</f>
        <v>18286.5</v>
      </c>
      <c r="P158" s="92">
        <f t="shared" si="12"/>
        <v>-1.5615530354733398E-3</v>
      </c>
      <c r="Q158" s="7" t="s">
        <v>28</v>
      </c>
      <c r="R158" s="4">
        <v>18300</v>
      </c>
      <c r="S158" s="102"/>
      <c r="T158" s="102"/>
      <c r="U158" s="7" t="s">
        <v>90</v>
      </c>
      <c r="V158" s="4">
        <v>65</v>
      </c>
      <c r="W158" s="5">
        <v>126.2</v>
      </c>
      <c r="X158" s="5">
        <v>10.199999999999999</v>
      </c>
      <c r="Y158" s="8">
        <v>-0.30220000000000002</v>
      </c>
      <c r="Z158" s="8">
        <v>0.64429999999999998</v>
      </c>
      <c r="AA158" s="4">
        <v>116</v>
      </c>
      <c r="AB158" s="6">
        <v>6.3335717522699864E-3</v>
      </c>
      <c r="AC158" s="4">
        <v>0</v>
      </c>
      <c r="AD158" s="6">
        <v>0</v>
      </c>
      <c r="AE158" s="5">
        <v>32505.35</v>
      </c>
      <c r="AF158" s="5">
        <v>32762.75</v>
      </c>
      <c r="AG158" s="5">
        <v>257.39999999999998</v>
      </c>
      <c r="AH158" s="5">
        <v>0.79190000000000005</v>
      </c>
      <c r="AI158" s="4">
        <v>7</v>
      </c>
      <c r="AJ158" s="5">
        <v>-0.11666700000000001</v>
      </c>
      <c r="AK158" s="5">
        <v>219.47710000000001</v>
      </c>
      <c r="AL158" s="5">
        <v>0.67520000000000002</v>
      </c>
      <c r="AM158" s="8">
        <v>-0.34039999999999998</v>
      </c>
      <c r="AN158" s="8">
        <v>1.5580000000000001</v>
      </c>
      <c r="AO158" s="15">
        <v>401.1771</v>
      </c>
      <c r="AP158" s="15">
        <v>1.6673</v>
      </c>
      <c r="AQ158" s="5">
        <v>102.6968</v>
      </c>
      <c r="AR158" s="5">
        <v>102.6968</v>
      </c>
      <c r="AS158" s="4">
        <v>0</v>
      </c>
      <c r="AT158" s="4">
        <v>0</v>
      </c>
      <c r="AU158" s="8">
        <v>0.7117</v>
      </c>
      <c r="AV158" s="8">
        <v>0.97740000000000005</v>
      </c>
      <c r="AW158" s="8">
        <v>0.7117</v>
      </c>
      <c r="AX158" s="5">
        <v>101.7315</v>
      </c>
      <c r="AY158" s="5">
        <v>0.65480000000000005</v>
      </c>
      <c r="AZ158" s="7" t="s">
        <v>91</v>
      </c>
    </row>
    <row r="159" spans="1:52" ht="18" customHeight="1" x14ac:dyDescent="0.25">
      <c r="A159" s="10">
        <v>79</v>
      </c>
      <c r="B159" s="10">
        <v>2</v>
      </c>
      <c r="C159" s="10">
        <v>79</v>
      </c>
      <c r="D159" s="86">
        <v>45056</v>
      </c>
      <c r="E159" s="86">
        <v>45063</v>
      </c>
      <c r="F159" s="86">
        <v>45071</v>
      </c>
      <c r="G159" s="11">
        <v>18315.099999999999</v>
      </c>
      <c r="H159" s="11">
        <v>18181.75</v>
      </c>
      <c r="I159" s="12"/>
      <c r="J159" s="12"/>
      <c r="K159" s="91">
        <f t="array" ref="K159">MAX(IF((D159&lt;[1]Nifty_D!$B$2:$B$6600)*(E159&gt;=[1]Nifty_D!$B$2:$B$6600),[1]Nifty_D!$F$2:$F$6600,""))</f>
        <v>18398.849999999999</v>
      </c>
      <c r="L159" s="92">
        <f t="shared" si="10"/>
        <v>4.5727296056259359E-3</v>
      </c>
      <c r="M159" s="91">
        <f t="shared" si="11"/>
        <v>6774.9499999999989</v>
      </c>
      <c r="N159" s="93">
        <f t="array" ref="N159">INDEX([1]Nifty_D!$B$2:$B$6600,MATCH(E159,[1]Nifty_D!$B$2:$B$6600,0)-1)</f>
        <v>45062</v>
      </c>
      <c r="O159" s="89">
        <f>VLOOKUP(N159,[1]Nifty_D!$B$2:$F$6600,5,0)</f>
        <v>18286.5</v>
      </c>
      <c r="P159" s="92">
        <f t="shared" si="12"/>
        <v>-1.5615530354733398E-3</v>
      </c>
      <c r="Q159" s="12" t="s">
        <v>40</v>
      </c>
      <c r="R159" s="10">
        <v>18500</v>
      </c>
      <c r="S159" s="103">
        <f>MROUND(G159,500)</f>
        <v>18500</v>
      </c>
      <c r="T159" s="103">
        <f>S159-R159</f>
        <v>0</v>
      </c>
      <c r="U159" s="12" t="s">
        <v>92</v>
      </c>
      <c r="V159" s="10">
        <v>65</v>
      </c>
      <c r="W159" s="11">
        <v>233.8</v>
      </c>
      <c r="X159" s="11">
        <v>299.5</v>
      </c>
      <c r="Y159" s="13">
        <v>-0.54410000000000003</v>
      </c>
      <c r="Z159" s="13">
        <v>0.67349999999999999</v>
      </c>
      <c r="AA159" s="10">
        <v>0</v>
      </c>
      <c r="AB159" s="14">
        <v>0</v>
      </c>
      <c r="AC159" s="11">
        <v>65.7</v>
      </c>
      <c r="AD159" s="14">
        <v>3.5872040010701562E-3</v>
      </c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 t="s">
        <v>91</v>
      </c>
    </row>
    <row r="160" spans="1:52" ht="18" hidden="1" customHeight="1" x14ac:dyDescent="0.25">
      <c r="A160" s="4">
        <v>80</v>
      </c>
      <c r="B160" s="4">
        <v>1</v>
      </c>
      <c r="C160" s="4">
        <v>80</v>
      </c>
      <c r="D160" s="85">
        <v>45063</v>
      </c>
      <c r="E160" s="85">
        <v>45070</v>
      </c>
      <c r="F160" s="85">
        <v>45071</v>
      </c>
      <c r="G160" s="5">
        <v>18181.75</v>
      </c>
      <c r="H160" s="5">
        <v>18285.400000000001</v>
      </c>
      <c r="I160" s="5">
        <v>103.65</v>
      </c>
      <c r="J160" s="6">
        <v>5.7007713778926671E-3</v>
      </c>
      <c r="K160" s="91">
        <f t="array" ref="K160">MAX(IF((D160&lt;[1]Nifty_D!$B$2:$B$6600)*(E160&gt;=[1]Nifty_D!$B$2:$B$6600),[1]Nifty_D!$F$2:$F$6600,""))</f>
        <v>18348</v>
      </c>
      <c r="L160" s="92">
        <f t="shared" si="10"/>
        <v>9.1437842891910481E-3</v>
      </c>
      <c r="M160" s="91">
        <f t="shared" si="11"/>
        <v>6724.1</v>
      </c>
      <c r="N160" s="93">
        <f t="array" ref="N160">INDEX([1]Nifty_D!$B$2:$B$6600,MATCH(E160,[1]Nifty_D!$B$2:$B$6600,0)-1)</f>
        <v>45069</v>
      </c>
      <c r="O160" s="89">
        <f>VLOOKUP(N160,[1]Nifty_D!$B$2:$F$6600,5,0)</f>
        <v>18348</v>
      </c>
      <c r="P160" s="92">
        <f t="shared" si="12"/>
        <v>9.1437842891910481E-3</v>
      </c>
      <c r="Q160" s="7" t="s">
        <v>28</v>
      </c>
      <c r="R160" s="4">
        <v>18200</v>
      </c>
      <c r="S160" s="102"/>
      <c r="T160" s="102"/>
      <c r="U160" s="7" t="s">
        <v>90</v>
      </c>
      <c r="V160" s="4">
        <v>65</v>
      </c>
      <c r="W160" s="5">
        <v>122.65</v>
      </c>
      <c r="X160" s="5">
        <v>105.6</v>
      </c>
      <c r="Y160" s="8">
        <v>-0.63639999999999997</v>
      </c>
      <c r="Z160" s="8">
        <v>0.4194</v>
      </c>
      <c r="AA160" s="5">
        <v>17.05</v>
      </c>
      <c r="AB160" s="6">
        <v>9.3775351657568722E-4</v>
      </c>
      <c r="AC160" s="4">
        <v>0</v>
      </c>
      <c r="AD160" s="6">
        <v>0</v>
      </c>
      <c r="AE160" s="5">
        <v>32762.75</v>
      </c>
      <c r="AF160" s="5">
        <v>33031.35</v>
      </c>
      <c r="AG160" s="5">
        <v>268.60000000000002</v>
      </c>
      <c r="AH160" s="5">
        <v>0.81979999999999997</v>
      </c>
      <c r="AI160" s="4">
        <v>7</v>
      </c>
      <c r="AJ160" s="5">
        <v>-0.11666700000000001</v>
      </c>
      <c r="AK160" s="5">
        <v>230.3768</v>
      </c>
      <c r="AL160" s="5">
        <v>0.70320000000000005</v>
      </c>
      <c r="AM160" s="8">
        <v>-1.6515</v>
      </c>
      <c r="AN160" s="8">
        <v>1.0235000000000001</v>
      </c>
      <c r="AO160" s="15">
        <v>157.42679999999999</v>
      </c>
      <c r="AP160" s="15">
        <v>0.30199999999999999</v>
      </c>
      <c r="AQ160" s="5">
        <v>103.0069</v>
      </c>
      <c r="AR160" s="5">
        <v>103.0069</v>
      </c>
      <c r="AS160" s="4">
        <v>0</v>
      </c>
      <c r="AT160" s="4">
        <v>0</v>
      </c>
      <c r="AU160" s="8">
        <v>-0.71809999999999996</v>
      </c>
      <c r="AV160" s="8">
        <v>-0.55230000000000001</v>
      </c>
      <c r="AW160" s="8">
        <v>-0.71809999999999996</v>
      </c>
      <c r="AX160" s="5">
        <v>101.9593</v>
      </c>
      <c r="AY160" s="5">
        <v>-0.71809999999999996</v>
      </c>
      <c r="AZ160" s="7" t="s">
        <v>91</v>
      </c>
    </row>
    <row r="161" spans="1:52" ht="18" customHeight="1" x14ac:dyDescent="0.25">
      <c r="A161" s="10">
        <v>80</v>
      </c>
      <c r="B161" s="10">
        <v>2</v>
      </c>
      <c r="C161" s="10">
        <v>80</v>
      </c>
      <c r="D161" s="86">
        <v>45063</v>
      </c>
      <c r="E161" s="86">
        <v>45070</v>
      </c>
      <c r="F161" s="86">
        <v>45071</v>
      </c>
      <c r="G161" s="11">
        <v>18181.75</v>
      </c>
      <c r="H161" s="11">
        <v>18285.400000000001</v>
      </c>
      <c r="I161" s="12"/>
      <c r="J161" s="12"/>
      <c r="K161" s="91">
        <f t="array" ref="K161">MAX(IF((D161&lt;[1]Nifty_D!$B$2:$B$6600)*(E161&gt;=[1]Nifty_D!$B$2:$B$6600),[1]Nifty_D!$F$2:$F$6600,""))</f>
        <v>18348</v>
      </c>
      <c r="L161" s="92">
        <f t="shared" si="10"/>
        <v>9.1437842891910481E-3</v>
      </c>
      <c r="M161" s="91">
        <f t="shared" si="11"/>
        <v>6724.1</v>
      </c>
      <c r="N161" s="93">
        <f t="array" ref="N161">INDEX([1]Nifty_D!$B$2:$B$6600,MATCH(E161,[1]Nifty_D!$B$2:$B$6600,0)-1)</f>
        <v>45069</v>
      </c>
      <c r="O161" s="89">
        <f>VLOOKUP(N161,[1]Nifty_D!$B$2:$F$6600,5,0)</f>
        <v>18348</v>
      </c>
      <c r="P161" s="92">
        <f t="shared" si="12"/>
        <v>9.1437842891910481E-3</v>
      </c>
      <c r="Q161" s="12" t="s">
        <v>40</v>
      </c>
      <c r="R161" s="10">
        <v>18500</v>
      </c>
      <c r="S161" s="103">
        <f>MROUND(G161,500)</f>
        <v>18000</v>
      </c>
      <c r="T161" s="103">
        <f>S161-R161</f>
        <v>-500</v>
      </c>
      <c r="U161" s="12" t="s">
        <v>92</v>
      </c>
      <c r="V161" s="10">
        <v>65</v>
      </c>
      <c r="W161" s="11">
        <v>299.5</v>
      </c>
      <c r="X161" s="11">
        <v>209.5</v>
      </c>
      <c r="Y161" s="13">
        <v>-1.1052</v>
      </c>
      <c r="Z161" s="13">
        <v>0.67979999999999996</v>
      </c>
      <c r="AA161" s="10">
        <v>0</v>
      </c>
      <c r="AB161" s="14">
        <v>0</v>
      </c>
      <c r="AC161" s="10">
        <v>-90</v>
      </c>
      <c r="AD161" s="14">
        <v>-4.9500185625696094E-3</v>
      </c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 t="s">
        <v>91</v>
      </c>
    </row>
    <row r="162" spans="1:52" ht="18" hidden="1" customHeight="1" x14ac:dyDescent="0.25">
      <c r="A162" s="4">
        <v>81</v>
      </c>
      <c r="B162" s="4">
        <v>1</v>
      </c>
      <c r="C162" s="4">
        <v>81</v>
      </c>
      <c r="D162" s="85">
        <v>45070</v>
      </c>
      <c r="E162" s="85">
        <v>45072</v>
      </c>
      <c r="F162" s="85">
        <v>45078</v>
      </c>
      <c r="G162" s="5">
        <v>18285.400000000001</v>
      </c>
      <c r="H162" s="5">
        <v>18499.349999999999</v>
      </c>
      <c r="I162" s="5">
        <v>213.95</v>
      </c>
      <c r="J162" s="6">
        <v>1.1700591728920341E-2</v>
      </c>
      <c r="K162" s="91">
        <f t="array" ref="K162">MAX(IF((D162&lt;[1]Nifty_D!$B$2:$B$6600)*(E162&gt;=[1]Nifty_D!$B$2:$B$6600),[1]Nifty_D!$F$2:$F$6600,""))</f>
        <v>18499.349999999999</v>
      </c>
      <c r="L162" s="92">
        <f t="shared" si="10"/>
        <v>1.1700591728920129E-2</v>
      </c>
      <c r="M162" s="91">
        <f t="shared" si="11"/>
        <v>6875.4499999999989</v>
      </c>
      <c r="N162" s="93">
        <f t="array" ref="N162">INDEX([1]Nifty_D!$B$2:$B$6600,MATCH(E162,[1]Nifty_D!$B$2:$B$6600,0)-1)</f>
        <v>45071</v>
      </c>
      <c r="O162" s="89">
        <f>VLOOKUP(N162,[1]Nifty_D!$B$2:$F$6600,5,0)</f>
        <v>18321.150000000001</v>
      </c>
      <c r="P162" s="92">
        <f t="shared" si="12"/>
        <v>1.955111728482839E-3</v>
      </c>
      <c r="Q162" s="7" t="s">
        <v>28</v>
      </c>
      <c r="R162" s="4">
        <v>18300</v>
      </c>
      <c r="S162" s="102"/>
      <c r="T162" s="102"/>
      <c r="U162" s="7" t="s">
        <v>90</v>
      </c>
      <c r="V162" s="4">
        <v>65</v>
      </c>
      <c r="W162" s="5">
        <v>122.8</v>
      </c>
      <c r="X162" s="5">
        <v>233.85</v>
      </c>
      <c r="Y162" s="8">
        <v>-0.68740000000000001</v>
      </c>
      <c r="Z162" s="8">
        <v>0.27779999999999999</v>
      </c>
      <c r="AA162" s="5">
        <v>-111.05</v>
      </c>
      <c r="AB162" s="6">
        <v>-6.0731512572872338E-3</v>
      </c>
      <c r="AC162" s="4">
        <v>0</v>
      </c>
      <c r="AD162" s="6">
        <v>0</v>
      </c>
      <c r="AE162" s="5">
        <v>33031.35</v>
      </c>
      <c r="AF162" s="5">
        <v>33425.1</v>
      </c>
      <c r="AG162" s="5">
        <v>393.75</v>
      </c>
      <c r="AH162" s="5">
        <v>1.1919999999999999</v>
      </c>
      <c r="AI162" s="4">
        <v>2</v>
      </c>
      <c r="AJ162" s="5">
        <v>-3.3333000000000002E-2</v>
      </c>
      <c r="AK162" s="5">
        <v>382.7396</v>
      </c>
      <c r="AL162" s="5">
        <v>1.1587000000000001</v>
      </c>
      <c r="AM162" s="8">
        <v>-0.1951</v>
      </c>
      <c r="AN162" s="8">
        <v>1.2481</v>
      </c>
      <c r="AO162" s="15">
        <v>165.78960000000001</v>
      </c>
      <c r="AP162" s="15">
        <v>-2.7799999999999998E-2</v>
      </c>
      <c r="AQ162" s="5">
        <v>102.9783</v>
      </c>
      <c r="AR162" s="5">
        <v>103.0069</v>
      </c>
      <c r="AS162" s="5">
        <v>-2.86E-2</v>
      </c>
      <c r="AT162" s="5">
        <v>-2.7799999999999998E-2</v>
      </c>
      <c r="AU162" s="8">
        <v>-5.4300000000000001E-2</v>
      </c>
      <c r="AV162" s="8">
        <v>0.3649</v>
      </c>
      <c r="AW162" s="8">
        <v>-5.4300000000000001E-2</v>
      </c>
      <c r="AX162" s="5">
        <v>102.95099999999999</v>
      </c>
      <c r="AY162" s="5">
        <v>-5.4300000000000001E-2</v>
      </c>
      <c r="AZ162" s="7" t="s">
        <v>97</v>
      </c>
    </row>
    <row r="163" spans="1:52" ht="18" customHeight="1" x14ac:dyDescent="0.25">
      <c r="A163" s="10">
        <v>81</v>
      </c>
      <c r="B163" s="10">
        <v>2</v>
      </c>
      <c r="C163" s="10">
        <v>81</v>
      </c>
      <c r="D163" s="86">
        <v>45070</v>
      </c>
      <c r="E163" s="86">
        <v>45072</v>
      </c>
      <c r="F163" s="86">
        <v>45105</v>
      </c>
      <c r="G163" s="11">
        <v>18285.400000000001</v>
      </c>
      <c r="H163" s="11">
        <v>18499.349999999999</v>
      </c>
      <c r="I163" s="12"/>
      <c r="J163" s="12"/>
      <c r="K163" s="91">
        <f t="array" ref="K163">MAX(IF((D163&lt;[1]Nifty_D!$B$2:$B$6600)*(E163&gt;=[1]Nifty_D!$B$2:$B$6600),[1]Nifty_D!$F$2:$F$6600,""))</f>
        <v>18499.349999999999</v>
      </c>
      <c r="L163" s="92">
        <f t="shared" si="10"/>
        <v>1.1700591728920129E-2</v>
      </c>
      <c r="M163" s="91">
        <f t="shared" si="11"/>
        <v>6875.4499999999989</v>
      </c>
      <c r="N163" s="93">
        <f t="array" ref="N163">INDEX([1]Nifty_D!$B$2:$B$6600,MATCH(E163,[1]Nifty_D!$B$2:$B$6600,0)-1)</f>
        <v>45071</v>
      </c>
      <c r="O163" s="89">
        <f>VLOOKUP(N163,[1]Nifty_D!$B$2:$F$6600,5,0)</f>
        <v>18321.150000000001</v>
      </c>
      <c r="P163" s="92">
        <f t="shared" si="12"/>
        <v>1.955111728482839E-3</v>
      </c>
      <c r="Q163" s="12" t="s">
        <v>40</v>
      </c>
      <c r="R163" s="10">
        <v>18500</v>
      </c>
      <c r="S163" s="103">
        <f>MROUND(G163,500)</f>
        <v>18500</v>
      </c>
      <c r="T163" s="103">
        <f>S163-R163</f>
        <v>0</v>
      </c>
      <c r="U163" s="12" t="s">
        <v>92</v>
      </c>
      <c r="V163" s="10">
        <v>65</v>
      </c>
      <c r="W163" s="11">
        <v>300.35000000000002</v>
      </c>
      <c r="X163" s="11">
        <v>194.45</v>
      </c>
      <c r="Y163" s="13">
        <v>-0.61499999999999999</v>
      </c>
      <c r="Z163" s="13">
        <v>0.28220000000000001</v>
      </c>
      <c r="AA163" s="10">
        <v>0</v>
      </c>
      <c r="AB163" s="14">
        <v>0</v>
      </c>
      <c r="AC163" s="11">
        <v>-105.9</v>
      </c>
      <c r="AD163" s="14">
        <v>-5.7915057915057912E-3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 t="s">
        <v>97</v>
      </c>
    </row>
    <row r="164" spans="1:52" ht="18" hidden="1" customHeight="1" x14ac:dyDescent="0.25">
      <c r="A164" s="4">
        <v>82</v>
      </c>
      <c r="B164" s="4">
        <v>1</v>
      </c>
      <c r="C164" s="4">
        <v>82</v>
      </c>
      <c r="D164" s="85">
        <v>45072</v>
      </c>
      <c r="E164" s="85">
        <v>45077</v>
      </c>
      <c r="F164" s="85">
        <v>45078</v>
      </c>
      <c r="G164" s="5">
        <v>18499.349999999999</v>
      </c>
      <c r="H164" s="5">
        <v>18534.400000000001</v>
      </c>
      <c r="I164" s="5">
        <v>35.049999999999997</v>
      </c>
      <c r="J164" s="6">
        <v>1.894661163770619E-3</v>
      </c>
      <c r="K164" s="91">
        <f t="array" ref="K164">MAX(IF((D164&lt;[1]Nifty_D!$B$2:$B$6600)*(E164&gt;=[1]Nifty_D!$B$2:$B$6600),[1]Nifty_D!$F$2:$F$6600,""))</f>
        <v>18633.849999999999</v>
      </c>
      <c r="L164" s="92">
        <f t="shared" si="10"/>
        <v>7.2705257211740371E-3</v>
      </c>
      <c r="M164" s="91">
        <f t="shared" si="11"/>
        <v>7009.9499999999989</v>
      </c>
      <c r="N164" s="93">
        <f t="array" ref="N164">INDEX([1]Nifty_D!$B$2:$B$6600,MATCH(E164,[1]Nifty_D!$B$2:$B$6600,0)-1)</f>
        <v>45076</v>
      </c>
      <c r="O164" s="89">
        <f>VLOOKUP(N164,[1]Nifty_D!$B$2:$F$6600,5,0)</f>
        <v>18633.849999999999</v>
      </c>
      <c r="P164" s="92">
        <f t="shared" si="12"/>
        <v>7.2705257211740371E-3</v>
      </c>
      <c r="Q164" s="7" t="s">
        <v>28</v>
      </c>
      <c r="R164" s="4">
        <v>18500</v>
      </c>
      <c r="S164" s="102"/>
      <c r="T164" s="102"/>
      <c r="U164" s="7" t="s">
        <v>90</v>
      </c>
      <c r="V164" s="4">
        <v>65</v>
      </c>
      <c r="W164" s="5">
        <v>90.55</v>
      </c>
      <c r="X164" s="5">
        <v>77.349999999999994</v>
      </c>
      <c r="Y164" s="8">
        <v>-0.53759999999999997</v>
      </c>
      <c r="Z164" s="8">
        <v>0.2019</v>
      </c>
      <c r="AA164" s="5">
        <v>13.2</v>
      </c>
      <c r="AB164" s="6">
        <v>7.1353858378807907E-4</v>
      </c>
      <c r="AC164" s="4">
        <v>0</v>
      </c>
      <c r="AD164" s="6">
        <v>0</v>
      </c>
      <c r="AE164" s="5">
        <v>33425.1</v>
      </c>
      <c r="AF164" s="5">
        <v>33761.300000000003</v>
      </c>
      <c r="AG164" s="5">
        <v>336.2</v>
      </c>
      <c r="AH164" s="5">
        <v>1.0058</v>
      </c>
      <c r="AI164" s="4">
        <v>5</v>
      </c>
      <c r="AJ164" s="5">
        <v>-8.3333000000000004E-2</v>
      </c>
      <c r="AK164" s="5">
        <v>308.3458</v>
      </c>
      <c r="AL164" s="5">
        <v>0.92249999999999999</v>
      </c>
      <c r="AM164" s="8">
        <v>-4.3999999999999997E-2</v>
      </c>
      <c r="AN164" s="8">
        <v>1.0813999999999999</v>
      </c>
      <c r="AO164" s="15">
        <v>280.5958</v>
      </c>
      <c r="AP164" s="15">
        <v>0.77249999999999996</v>
      </c>
      <c r="AQ164" s="5">
        <v>103.77379999999999</v>
      </c>
      <c r="AR164" s="5">
        <v>103.77379999999999</v>
      </c>
      <c r="AS164" s="4">
        <v>0</v>
      </c>
      <c r="AT164" s="4">
        <v>0</v>
      </c>
      <c r="AU164" s="8">
        <v>0.1668</v>
      </c>
      <c r="AV164" s="8">
        <v>0.1206</v>
      </c>
      <c r="AW164" s="8">
        <v>0.1206</v>
      </c>
      <c r="AX164" s="5">
        <v>103.10250000000001</v>
      </c>
      <c r="AY164" s="5">
        <v>9.2799999999999994E-2</v>
      </c>
      <c r="AZ164" s="7" t="s">
        <v>91</v>
      </c>
    </row>
    <row r="165" spans="1:52" ht="18" customHeight="1" x14ac:dyDescent="0.25">
      <c r="A165" s="10">
        <v>82</v>
      </c>
      <c r="B165" s="10">
        <v>2</v>
      </c>
      <c r="C165" s="10">
        <v>82</v>
      </c>
      <c r="D165" s="86">
        <v>45072</v>
      </c>
      <c r="E165" s="86">
        <v>45077</v>
      </c>
      <c r="F165" s="86">
        <v>45105</v>
      </c>
      <c r="G165" s="11">
        <v>18499.349999999999</v>
      </c>
      <c r="H165" s="11">
        <v>18534.400000000001</v>
      </c>
      <c r="I165" s="12"/>
      <c r="J165" s="12"/>
      <c r="K165" s="91">
        <f t="array" ref="K165">MAX(IF((D165&lt;[1]Nifty_D!$B$2:$B$6600)*(E165&gt;=[1]Nifty_D!$B$2:$B$6600),[1]Nifty_D!$F$2:$F$6600,""))</f>
        <v>18633.849999999999</v>
      </c>
      <c r="L165" s="92">
        <f t="shared" si="10"/>
        <v>7.2705257211740371E-3</v>
      </c>
      <c r="M165" s="91">
        <f t="shared" si="11"/>
        <v>7009.9499999999989</v>
      </c>
      <c r="N165" s="93">
        <f t="array" ref="N165">INDEX([1]Nifty_D!$B$2:$B$6600,MATCH(E165,[1]Nifty_D!$B$2:$B$6600,0)-1)</f>
        <v>45076</v>
      </c>
      <c r="O165" s="89">
        <f>VLOOKUP(N165,[1]Nifty_D!$B$2:$F$6600,5,0)</f>
        <v>18633.849999999999</v>
      </c>
      <c r="P165" s="92">
        <f t="shared" si="12"/>
        <v>7.2705257211740371E-3</v>
      </c>
      <c r="Q165" s="12" t="s">
        <v>40</v>
      </c>
      <c r="R165" s="10">
        <v>18500</v>
      </c>
      <c r="S165" s="103">
        <f>MROUND(G165,500)</f>
        <v>18500</v>
      </c>
      <c r="T165" s="103">
        <f>S165-R165</f>
        <v>0</v>
      </c>
      <c r="U165" s="12" t="s">
        <v>92</v>
      </c>
      <c r="V165" s="10">
        <v>65</v>
      </c>
      <c r="W165" s="11">
        <v>194.45</v>
      </c>
      <c r="X165" s="11">
        <v>153.5</v>
      </c>
      <c r="Y165" s="13">
        <v>-0.377</v>
      </c>
      <c r="Z165" s="13">
        <v>-3.73E-2</v>
      </c>
      <c r="AA165" s="10">
        <v>0</v>
      </c>
      <c r="AB165" s="14">
        <v>0</v>
      </c>
      <c r="AC165" s="11">
        <v>-40.950000000000003</v>
      </c>
      <c r="AD165" s="14">
        <v>-2.2135912883425638E-3</v>
      </c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 t="s">
        <v>91</v>
      </c>
    </row>
    <row r="166" spans="1:52" ht="18" hidden="1" customHeight="1" x14ac:dyDescent="0.25">
      <c r="A166" s="4">
        <v>83</v>
      </c>
      <c r="B166" s="4">
        <v>1</v>
      </c>
      <c r="C166" s="4">
        <v>83</v>
      </c>
      <c r="D166" s="85">
        <v>45077</v>
      </c>
      <c r="E166" s="85">
        <v>45084</v>
      </c>
      <c r="F166" s="85">
        <v>45085</v>
      </c>
      <c r="G166" s="5">
        <v>18534.400000000001</v>
      </c>
      <c r="H166" s="5">
        <v>18726.400000000001</v>
      </c>
      <c r="I166" s="4">
        <v>192</v>
      </c>
      <c r="J166" s="6">
        <v>1.0359116022099451E-2</v>
      </c>
      <c r="K166" s="91">
        <f t="array" ref="K166">MAX(IF((D166&lt;[1]Nifty_D!$B$2:$B$6600)*(E166&gt;=[1]Nifty_D!$B$2:$B$6600),[1]Nifty_D!$F$2:$F$6600,""))</f>
        <v>18726.400000000001</v>
      </c>
      <c r="L166" s="92">
        <f t="shared" si="10"/>
        <v>1.035911602209949E-2</v>
      </c>
      <c r="M166" s="91">
        <f t="shared" si="11"/>
        <v>7102.5000000000018</v>
      </c>
      <c r="N166" s="93">
        <f t="array" ref="N166">INDEX([1]Nifty_D!$B$2:$B$6600,MATCH(E166,[1]Nifty_D!$B$2:$B$6600,0)-1)</f>
        <v>45083</v>
      </c>
      <c r="O166" s="89">
        <f>VLOOKUP(N166,[1]Nifty_D!$B$2:$F$6600,5,0)</f>
        <v>18599</v>
      </c>
      <c r="P166" s="92">
        <f t="shared" si="12"/>
        <v>3.4854109116020382E-3</v>
      </c>
      <c r="Q166" s="7" t="s">
        <v>28</v>
      </c>
      <c r="R166" s="4">
        <v>18500</v>
      </c>
      <c r="S166" s="102"/>
      <c r="T166" s="102"/>
      <c r="U166" s="7" t="s">
        <v>90</v>
      </c>
      <c r="V166" s="4">
        <v>65</v>
      </c>
      <c r="W166" s="5">
        <v>158.15</v>
      </c>
      <c r="X166" s="5">
        <v>230.75</v>
      </c>
      <c r="Y166" s="8">
        <v>-0.43059999999999998</v>
      </c>
      <c r="Z166" s="8">
        <v>0.38229999999999997</v>
      </c>
      <c r="AA166" s="5">
        <v>-72.599999999999994</v>
      </c>
      <c r="AB166" s="6">
        <v>-3.9170407458563533E-3</v>
      </c>
      <c r="AC166" s="4">
        <v>0</v>
      </c>
      <c r="AD166" s="6">
        <v>0</v>
      </c>
      <c r="AE166" s="5">
        <v>33761.300000000003</v>
      </c>
      <c r="AF166" s="5">
        <v>34390.1</v>
      </c>
      <c r="AG166" s="5">
        <v>628.79999999999995</v>
      </c>
      <c r="AH166" s="5">
        <v>1.8625</v>
      </c>
      <c r="AI166" s="4">
        <v>7</v>
      </c>
      <c r="AJ166" s="5">
        <v>-0.11666700000000001</v>
      </c>
      <c r="AK166" s="5">
        <v>589.41179999999997</v>
      </c>
      <c r="AL166" s="5">
        <v>1.7458</v>
      </c>
      <c r="AM166" s="8">
        <v>2.35E-2</v>
      </c>
      <c r="AN166" s="8">
        <v>1.8262</v>
      </c>
      <c r="AO166" s="15">
        <v>441.16180000000003</v>
      </c>
      <c r="AP166" s="15">
        <v>0.94589999999999996</v>
      </c>
      <c r="AQ166" s="5">
        <v>104.75539999999999</v>
      </c>
      <c r="AR166" s="5">
        <v>104.75539999999999</v>
      </c>
      <c r="AS166" s="4">
        <v>0</v>
      </c>
      <c r="AT166" s="4">
        <v>0</v>
      </c>
      <c r="AU166" s="8">
        <v>0.97770000000000001</v>
      </c>
      <c r="AV166" s="8">
        <v>0.56389999999999996</v>
      </c>
      <c r="AW166" s="8">
        <v>0.56389999999999996</v>
      </c>
      <c r="AX166" s="5">
        <v>104.35899999999999</v>
      </c>
      <c r="AY166" s="5">
        <v>0.56389999999999996</v>
      </c>
      <c r="AZ166" s="7" t="s">
        <v>93</v>
      </c>
    </row>
    <row r="167" spans="1:52" ht="18" customHeight="1" x14ac:dyDescent="0.25">
      <c r="A167" s="10">
        <v>83</v>
      </c>
      <c r="B167" s="10">
        <v>2</v>
      </c>
      <c r="C167" s="10">
        <v>83</v>
      </c>
      <c r="D167" s="86">
        <v>45077</v>
      </c>
      <c r="E167" s="86">
        <v>45084</v>
      </c>
      <c r="F167" s="86">
        <v>45105</v>
      </c>
      <c r="G167" s="11">
        <v>18534.400000000001</v>
      </c>
      <c r="H167" s="11">
        <v>18726.400000000001</v>
      </c>
      <c r="I167" s="12"/>
      <c r="J167" s="12"/>
      <c r="K167" s="91">
        <f t="array" ref="K167">MAX(IF((D167&lt;[1]Nifty_D!$B$2:$B$6600)*(E167&gt;=[1]Nifty_D!$B$2:$B$6600),[1]Nifty_D!$F$2:$F$6600,""))</f>
        <v>18726.400000000001</v>
      </c>
      <c r="L167" s="92">
        <f t="shared" si="10"/>
        <v>1.035911602209949E-2</v>
      </c>
      <c r="M167" s="91">
        <f t="shared" si="11"/>
        <v>7102.5000000000018</v>
      </c>
      <c r="N167" s="93">
        <f t="array" ref="N167">INDEX([1]Nifty_D!$B$2:$B$6600,MATCH(E167,[1]Nifty_D!$B$2:$B$6600,0)-1)</f>
        <v>45083</v>
      </c>
      <c r="O167" s="89">
        <f>VLOOKUP(N167,[1]Nifty_D!$B$2:$F$6600,5,0)</f>
        <v>18599</v>
      </c>
      <c r="P167" s="92">
        <f t="shared" si="12"/>
        <v>3.4854109116020382E-3</v>
      </c>
      <c r="Q167" s="12" t="s">
        <v>40</v>
      </c>
      <c r="R167" s="10">
        <v>18500</v>
      </c>
      <c r="S167" s="103">
        <f>MROUND(G167,500)</f>
        <v>18500</v>
      </c>
      <c r="T167" s="103">
        <f>S167-R167</f>
        <v>0</v>
      </c>
      <c r="U167" s="12" t="s">
        <v>92</v>
      </c>
      <c r="V167" s="10">
        <v>65</v>
      </c>
      <c r="W167" s="11">
        <v>153.5</v>
      </c>
      <c r="X167" s="11">
        <v>77.849999999999994</v>
      </c>
      <c r="Y167" s="13">
        <v>-0.41789999999999999</v>
      </c>
      <c r="Z167" s="13">
        <v>0.15809999999999999</v>
      </c>
      <c r="AA167" s="10">
        <v>0</v>
      </c>
      <c r="AB167" s="14">
        <v>0</v>
      </c>
      <c r="AC167" s="11">
        <v>-75.650000000000006</v>
      </c>
      <c r="AD167" s="14">
        <v>-4.081599620165746E-3</v>
      </c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 t="s">
        <v>93</v>
      </c>
    </row>
    <row r="168" spans="1:52" ht="18" hidden="1" customHeight="1" x14ac:dyDescent="0.25">
      <c r="A168" s="4">
        <v>84</v>
      </c>
      <c r="B168" s="4">
        <v>1</v>
      </c>
      <c r="C168" s="4">
        <v>84</v>
      </c>
      <c r="D168" s="85">
        <v>45084</v>
      </c>
      <c r="E168" s="85">
        <v>45091</v>
      </c>
      <c r="F168" s="85">
        <v>45092</v>
      </c>
      <c r="G168" s="5">
        <v>18726.400000000001</v>
      </c>
      <c r="H168" s="5">
        <v>18755.900000000001</v>
      </c>
      <c r="I168" s="5">
        <v>29.5</v>
      </c>
      <c r="J168" s="6">
        <v>1.5753161312371841E-3</v>
      </c>
      <c r="K168" s="91">
        <f t="array" ref="K168">MAX(IF((D168&lt;[1]Nifty_D!$B$2:$B$6600)*(E168&gt;=[1]Nifty_D!$B$2:$B$6600),[1]Nifty_D!$F$2:$F$6600,""))</f>
        <v>18755.900000000001</v>
      </c>
      <c r="L168" s="92">
        <f t="shared" si="10"/>
        <v>1.5753161312372921E-3</v>
      </c>
      <c r="M168" s="91">
        <f t="shared" si="11"/>
        <v>7132.0000000000018</v>
      </c>
      <c r="N168" s="93">
        <f t="array" ref="N168">INDEX([1]Nifty_D!$B$2:$B$6600,MATCH(E168,[1]Nifty_D!$B$2:$B$6600,0)-1)</f>
        <v>45090</v>
      </c>
      <c r="O168" s="89">
        <f>VLOOKUP(N168,[1]Nifty_D!$B$2:$F$6600,5,0)</f>
        <v>18716.150000000001</v>
      </c>
      <c r="P168" s="92">
        <f t="shared" si="12"/>
        <v>-5.4735560492136237E-4</v>
      </c>
      <c r="Q168" s="7" t="s">
        <v>28</v>
      </c>
      <c r="R168" s="4">
        <v>18700</v>
      </c>
      <c r="S168" s="102"/>
      <c r="T168" s="102"/>
      <c r="U168" s="7" t="s">
        <v>90</v>
      </c>
      <c r="V168" s="4">
        <v>65</v>
      </c>
      <c r="W168" s="5">
        <v>134.35</v>
      </c>
      <c r="X168" s="5">
        <v>83.9</v>
      </c>
      <c r="Y168" s="8">
        <v>-0.13</v>
      </c>
      <c r="Z168" s="8">
        <v>0.54869999999999997</v>
      </c>
      <c r="AA168" s="5">
        <v>50.45</v>
      </c>
      <c r="AB168" s="6">
        <v>2.6940575871496918E-3</v>
      </c>
      <c r="AC168" s="4">
        <v>0</v>
      </c>
      <c r="AD168" s="6">
        <v>0</v>
      </c>
      <c r="AE168" s="5">
        <v>34390.1</v>
      </c>
      <c r="AF168" s="5">
        <v>34833.300000000003</v>
      </c>
      <c r="AG168" s="5">
        <v>443.2</v>
      </c>
      <c r="AH168" s="5">
        <v>1.2887</v>
      </c>
      <c r="AI168" s="4">
        <v>7</v>
      </c>
      <c r="AJ168" s="5">
        <v>-0.11666700000000001</v>
      </c>
      <c r="AK168" s="5">
        <v>403.07819999999998</v>
      </c>
      <c r="AL168" s="5">
        <v>1.1720999999999999</v>
      </c>
      <c r="AM168" s="8">
        <v>-0.95240000000000002</v>
      </c>
      <c r="AN168" s="8">
        <v>1.2779</v>
      </c>
      <c r="AO168" s="15">
        <v>424.37819999999999</v>
      </c>
      <c r="AP168" s="15">
        <v>1.2858000000000001</v>
      </c>
      <c r="AQ168" s="5">
        <v>106.1024</v>
      </c>
      <c r="AR168" s="5">
        <v>106.1024</v>
      </c>
      <c r="AS168" s="4">
        <v>0</v>
      </c>
      <c r="AT168" s="4">
        <v>0</v>
      </c>
      <c r="AU168" s="8">
        <v>0.98</v>
      </c>
      <c r="AV168" s="8">
        <v>-0.18659999999999999</v>
      </c>
      <c r="AW168" s="8">
        <v>-0.18659999999999999</v>
      </c>
      <c r="AX168" s="5">
        <v>104.5599</v>
      </c>
      <c r="AY168" s="5">
        <v>-0.18659999999999999</v>
      </c>
      <c r="AZ168" s="7" t="s">
        <v>91</v>
      </c>
    </row>
    <row r="169" spans="1:52" ht="18" customHeight="1" x14ac:dyDescent="0.25">
      <c r="A169" s="10">
        <v>84</v>
      </c>
      <c r="B169" s="10">
        <v>2</v>
      </c>
      <c r="C169" s="10">
        <v>84</v>
      </c>
      <c r="D169" s="86">
        <v>45084</v>
      </c>
      <c r="E169" s="86">
        <v>45091</v>
      </c>
      <c r="F169" s="86">
        <v>45105</v>
      </c>
      <c r="G169" s="11">
        <v>18726.400000000001</v>
      </c>
      <c r="H169" s="11">
        <v>18755.900000000001</v>
      </c>
      <c r="I169" s="12"/>
      <c r="J169" s="12"/>
      <c r="K169" s="91">
        <f t="array" ref="K169">MAX(IF((D169&lt;[1]Nifty_D!$B$2:$B$6600)*(E169&gt;=[1]Nifty_D!$B$2:$B$6600),[1]Nifty_D!$F$2:$F$6600,""))</f>
        <v>18755.900000000001</v>
      </c>
      <c r="L169" s="92">
        <f t="shared" si="10"/>
        <v>1.5753161312372921E-3</v>
      </c>
      <c r="M169" s="91">
        <f t="shared" si="11"/>
        <v>7132.0000000000018</v>
      </c>
      <c r="N169" s="93">
        <f t="array" ref="N169">INDEX([1]Nifty_D!$B$2:$B$6600,MATCH(E169,[1]Nifty_D!$B$2:$B$6600,0)-1)</f>
        <v>45090</v>
      </c>
      <c r="O169" s="89">
        <f>VLOOKUP(N169,[1]Nifty_D!$B$2:$F$6600,5,0)</f>
        <v>18716.150000000001</v>
      </c>
      <c r="P169" s="92">
        <f t="shared" si="12"/>
        <v>-5.4735560492136237E-4</v>
      </c>
      <c r="Q169" s="12" t="s">
        <v>40</v>
      </c>
      <c r="R169" s="10">
        <v>18500</v>
      </c>
      <c r="S169" s="103">
        <f>MROUND(G169,500)</f>
        <v>18500</v>
      </c>
      <c r="T169" s="103">
        <f>S169-R169</f>
        <v>0</v>
      </c>
      <c r="U169" s="12" t="s">
        <v>92</v>
      </c>
      <c r="V169" s="10">
        <v>65</v>
      </c>
      <c r="W169" s="11">
        <v>77.849999999999994</v>
      </c>
      <c r="X169" s="11">
        <v>48.7</v>
      </c>
      <c r="Y169" s="13">
        <v>-0.16789999999999999</v>
      </c>
      <c r="Z169" s="13">
        <v>0.21709999999999999</v>
      </c>
      <c r="AA169" s="10">
        <v>0</v>
      </c>
      <c r="AB169" s="14">
        <v>0</v>
      </c>
      <c r="AC169" s="11">
        <v>-29.15</v>
      </c>
      <c r="AD169" s="14">
        <v>-1.556625939849624E-3</v>
      </c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 t="s">
        <v>91</v>
      </c>
    </row>
    <row r="170" spans="1:52" ht="18" hidden="1" customHeight="1" x14ac:dyDescent="0.25">
      <c r="A170" s="4">
        <v>85</v>
      </c>
      <c r="B170" s="4">
        <v>1</v>
      </c>
      <c r="C170" s="4">
        <v>85</v>
      </c>
      <c r="D170" s="85">
        <v>45091</v>
      </c>
      <c r="E170" s="85">
        <v>45098</v>
      </c>
      <c r="F170" s="85">
        <v>45099</v>
      </c>
      <c r="G170" s="5">
        <v>18755.900000000001</v>
      </c>
      <c r="H170" s="5">
        <v>18856.849999999999</v>
      </c>
      <c r="I170" s="5">
        <v>100.95</v>
      </c>
      <c r="J170" s="6">
        <v>5.3823063675963291E-3</v>
      </c>
      <c r="K170" s="91">
        <f t="array" ref="K170">MAX(IF((D170&lt;[1]Nifty_D!$B$2:$B$6600)*(E170&gt;=[1]Nifty_D!$B$2:$B$6600),[1]Nifty_D!$F$2:$F$6600,""))</f>
        <v>18856.849999999999</v>
      </c>
      <c r="L170" s="92">
        <f t="shared" si="10"/>
        <v>5.3823063675961791E-3</v>
      </c>
      <c r="M170" s="91">
        <f t="shared" si="11"/>
        <v>7232.9499999999989</v>
      </c>
      <c r="N170" s="93">
        <f t="array" ref="N170">INDEX([1]Nifty_D!$B$2:$B$6600,MATCH(E170,[1]Nifty_D!$B$2:$B$6600,0)-1)</f>
        <v>45097</v>
      </c>
      <c r="O170" s="89">
        <f>VLOOKUP(N170,[1]Nifty_D!$B$2:$F$6600,5,0)</f>
        <v>18816.7</v>
      </c>
      <c r="P170" s="92">
        <f t="shared" si="12"/>
        <v>3.2416466285274392E-3</v>
      </c>
      <c r="Q170" s="7" t="s">
        <v>28</v>
      </c>
      <c r="R170" s="4">
        <v>18800</v>
      </c>
      <c r="S170" s="102"/>
      <c r="T170" s="102"/>
      <c r="U170" s="7" t="s">
        <v>90</v>
      </c>
      <c r="V170" s="4">
        <v>65</v>
      </c>
      <c r="W170" s="5">
        <v>96.2</v>
      </c>
      <c r="X170" s="5">
        <v>79.25</v>
      </c>
      <c r="Y170" s="8">
        <v>-0.35510000000000003</v>
      </c>
      <c r="Z170" s="8">
        <v>0.40810000000000002</v>
      </c>
      <c r="AA170" s="5">
        <v>16.95</v>
      </c>
      <c r="AB170" s="6">
        <v>9.0371563081483681E-4</v>
      </c>
      <c r="AC170" s="4">
        <v>0</v>
      </c>
      <c r="AD170" s="6">
        <v>0</v>
      </c>
      <c r="AE170" s="5">
        <v>34833.300000000003</v>
      </c>
      <c r="AF170" s="5">
        <v>35614.400000000001</v>
      </c>
      <c r="AG170" s="5">
        <v>781.1</v>
      </c>
      <c r="AH170" s="5">
        <v>2.2423999999999999</v>
      </c>
      <c r="AI170" s="4">
        <v>7</v>
      </c>
      <c r="AJ170" s="5">
        <v>-0.11666700000000001</v>
      </c>
      <c r="AK170" s="5">
        <v>740.46109999999999</v>
      </c>
      <c r="AL170" s="5">
        <v>2.1257000000000001</v>
      </c>
      <c r="AM170" s="8">
        <v>-0.1396</v>
      </c>
      <c r="AN170" s="8">
        <v>2.4967000000000001</v>
      </c>
      <c r="AO170" s="15">
        <v>725.06110000000001</v>
      </c>
      <c r="AP170" s="15">
        <v>2.0436000000000001</v>
      </c>
      <c r="AQ170" s="5">
        <v>108.27070000000001</v>
      </c>
      <c r="AR170" s="5">
        <v>108.27070000000001</v>
      </c>
      <c r="AS170" s="4">
        <v>0</v>
      </c>
      <c r="AT170" s="4">
        <v>0</v>
      </c>
      <c r="AU170" s="8">
        <v>1.9651000000000001</v>
      </c>
      <c r="AV170" s="8">
        <v>0.3266</v>
      </c>
      <c r="AW170" s="8">
        <v>0.3266</v>
      </c>
      <c r="AX170" s="5">
        <v>106.44889999999999</v>
      </c>
      <c r="AY170" s="5">
        <v>0.3266</v>
      </c>
      <c r="AZ170" s="7" t="s">
        <v>91</v>
      </c>
    </row>
    <row r="171" spans="1:52" ht="18" customHeight="1" x14ac:dyDescent="0.25">
      <c r="A171" s="10">
        <v>85</v>
      </c>
      <c r="B171" s="10">
        <v>2</v>
      </c>
      <c r="C171" s="10">
        <v>85</v>
      </c>
      <c r="D171" s="86">
        <v>45091</v>
      </c>
      <c r="E171" s="86">
        <v>45098</v>
      </c>
      <c r="F171" s="86">
        <v>45105</v>
      </c>
      <c r="G171" s="11">
        <v>18755.900000000001</v>
      </c>
      <c r="H171" s="11">
        <v>18856.849999999999</v>
      </c>
      <c r="I171" s="12"/>
      <c r="J171" s="12"/>
      <c r="K171" s="91">
        <f t="array" ref="K171">MAX(IF((D171&lt;[1]Nifty_D!$B$2:$B$6600)*(E171&gt;=[1]Nifty_D!$B$2:$B$6600),[1]Nifty_D!$F$2:$F$6600,""))</f>
        <v>18856.849999999999</v>
      </c>
      <c r="L171" s="92">
        <f t="shared" si="10"/>
        <v>5.3823063675961791E-3</v>
      </c>
      <c r="M171" s="91">
        <f t="shared" si="11"/>
        <v>7232.9499999999989</v>
      </c>
      <c r="N171" s="93">
        <f t="array" ref="N171">INDEX([1]Nifty_D!$B$2:$B$6600,MATCH(E171,[1]Nifty_D!$B$2:$B$6600,0)-1)</f>
        <v>45097</v>
      </c>
      <c r="O171" s="89">
        <f>VLOOKUP(N171,[1]Nifty_D!$B$2:$F$6600,5,0)</f>
        <v>18816.7</v>
      </c>
      <c r="P171" s="92">
        <f t="shared" si="12"/>
        <v>3.2416466285274392E-3</v>
      </c>
      <c r="Q171" s="12" t="s">
        <v>40</v>
      </c>
      <c r="R171" s="10">
        <v>18500</v>
      </c>
      <c r="S171" s="103">
        <f>MROUND(G171,500)</f>
        <v>19000</v>
      </c>
      <c r="T171" s="103">
        <f>S171-R171</f>
        <v>500</v>
      </c>
      <c r="U171" s="12" t="s">
        <v>92</v>
      </c>
      <c r="V171" s="10">
        <v>65</v>
      </c>
      <c r="W171" s="11">
        <v>48.7</v>
      </c>
      <c r="X171" s="11">
        <v>16.350000000000001</v>
      </c>
      <c r="Y171" s="13">
        <v>-0.17649999999999999</v>
      </c>
      <c r="Z171" s="13">
        <v>5.8099999999999999E-2</v>
      </c>
      <c r="AA171" s="10">
        <v>0</v>
      </c>
      <c r="AB171" s="14">
        <v>0</v>
      </c>
      <c r="AC171" s="11">
        <v>-32.35</v>
      </c>
      <c r="AD171" s="14">
        <v>-1.7247905992247769E-3</v>
      </c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 t="s">
        <v>91</v>
      </c>
    </row>
    <row r="172" spans="1:52" ht="18" hidden="1" customHeight="1" x14ac:dyDescent="0.25">
      <c r="A172" s="4">
        <v>86</v>
      </c>
      <c r="B172" s="4">
        <v>1</v>
      </c>
      <c r="C172" s="4">
        <v>86</v>
      </c>
      <c r="D172" s="85">
        <v>45098</v>
      </c>
      <c r="E172" s="85">
        <v>45104</v>
      </c>
      <c r="F172" s="85">
        <v>45105</v>
      </c>
      <c r="G172" s="5">
        <v>18856.849999999999</v>
      </c>
      <c r="H172" s="5">
        <v>18817.400000000001</v>
      </c>
      <c r="I172" s="5">
        <v>-39.450000000000003</v>
      </c>
      <c r="J172" s="6">
        <v>-2.0920779451499062E-3</v>
      </c>
      <c r="K172" s="91">
        <f t="array" ref="K172">MAX(IF((D172&lt;[1]Nifty_D!$B$2:$B$6600)*(E172&gt;=[1]Nifty_D!$B$2:$B$6600),[1]Nifty_D!$F$2:$F$6600,""))</f>
        <v>18817.400000000001</v>
      </c>
      <c r="L172" s="92">
        <f t="shared" si="10"/>
        <v>-2.0920779451497618E-3</v>
      </c>
      <c r="M172" s="91">
        <f t="shared" si="11"/>
        <v>7193.5000000000018</v>
      </c>
      <c r="N172" s="93">
        <f t="array" ref="N172">INDEX([1]Nifty_D!$B$2:$B$6600,MATCH(E172,[1]Nifty_D!$B$2:$B$6600,0)-1)</f>
        <v>45103</v>
      </c>
      <c r="O172" s="89">
        <f>VLOOKUP(N172,[1]Nifty_D!$B$2:$F$6600,5,0)</f>
        <v>18691.2</v>
      </c>
      <c r="P172" s="92">
        <f t="shared" si="12"/>
        <v>-8.7846061245646645E-3</v>
      </c>
      <c r="Q172" s="7" t="s">
        <v>28</v>
      </c>
      <c r="R172" s="4">
        <v>18900</v>
      </c>
      <c r="S172" s="102"/>
      <c r="T172" s="102"/>
      <c r="U172" s="7" t="s">
        <v>90</v>
      </c>
      <c r="V172" s="4">
        <v>65</v>
      </c>
      <c r="W172" s="5">
        <v>98.55</v>
      </c>
      <c r="X172" s="5">
        <v>8.4499999999999993</v>
      </c>
      <c r="Y172" s="8">
        <v>-4.7500000000000001E-2</v>
      </c>
      <c r="Z172" s="8">
        <v>0.50219999999999998</v>
      </c>
      <c r="AA172" s="5">
        <v>90.1</v>
      </c>
      <c r="AB172" s="6">
        <v>4.7781045084412293E-3</v>
      </c>
      <c r="AC172" s="4">
        <v>0</v>
      </c>
      <c r="AD172" s="6">
        <v>0</v>
      </c>
      <c r="AE172" s="5">
        <v>35614.400000000001</v>
      </c>
      <c r="AF172" s="5">
        <v>35296.949999999997</v>
      </c>
      <c r="AG172" s="5">
        <v>-317.45</v>
      </c>
      <c r="AH172" s="5">
        <v>-0.89139999999999997</v>
      </c>
      <c r="AI172" s="4">
        <v>6</v>
      </c>
      <c r="AJ172" s="5">
        <v>-0.1</v>
      </c>
      <c r="AK172" s="5">
        <v>-353.06439999999998</v>
      </c>
      <c r="AL172" s="5">
        <v>-0.99139999999999995</v>
      </c>
      <c r="AM172" s="8">
        <v>-2.7614999999999998</v>
      </c>
      <c r="AN172" s="8">
        <v>0.2051</v>
      </c>
      <c r="AO172" s="9">
        <v>-276.6644</v>
      </c>
      <c r="AP172" s="9">
        <v>-0.58620000000000005</v>
      </c>
      <c r="AQ172" s="5">
        <v>107.636</v>
      </c>
      <c r="AR172" s="5">
        <v>108.27070000000001</v>
      </c>
      <c r="AS172" s="5">
        <v>-0.63470000000000004</v>
      </c>
      <c r="AT172" s="5">
        <v>-0.58620000000000005</v>
      </c>
      <c r="AU172" s="8">
        <v>8.1500000000000003E-2</v>
      </c>
      <c r="AV172" s="8">
        <v>-2.1922000000000001</v>
      </c>
      <c r="AW172" s="8">
        <v>-2.1922000000000001</v>
      </c>
      <c r="AX172" s="5">
        <v>105.89709999999999</v>
      </c>
      <c r="AY172" s="5">
        <v>-2.1922000000000001</v>
      </c>
      <c r="AZ172" s="7" t="s">
        <v>91</v>
      </c>
    </row>
    <row r="173" spans="1:52" ht="18" customHeight="1" x14ac:dyDescent="0.25">
      <c r="A173" s="10">
        <v>86</v>
      </c>
      <c r="B173" s="10">
        <v>2</v>
      </c>
      <c r="C173" s="10">
        <v>86</v>
      </c>
      <c r="D173" s="86">
        <v>45098</v>
      </c>
      <c r="E173" s="86">
        <v>45104</v>
      </c>
      <c r="F173" s="86">
        <v>45105</v>
      </c>
      <c r="G173" s="11">
        <v>18856.849999999999</v>
      </c>
      <c r="H173" s="11">
        <v>18817.400000000001</v>
      </c>
      <c r="I173" s="12"/>
      <c r="J173" s="12"/>
      <c r="K173" s="91">
        <f t="array" ref="K173">MAX(IF((D173&lt;[1]Nifty_D!$B$2:$B$6600)*(E173&gt;=[1]Nifty_D!$B$2:$B$6600),[1]Nifty_D!$F$2:$F$6600,""))</f>
        <v>18817.400000000001</v>
      </c>
      <c r="L173" s="92">
        <f t="shared" si="10"/>
        <v>-2.0920779451497618E-3</v>
      </c>
      <c r="M173" s="91">
        <f t="shared" si="11"/>
        <v>7193.5000000000018</v>
      </c>
      <c r="N173" s="93">
        <f t="array" ref="N173">INDEX([1]Nifty_D!$B$2:$B$6600,MATCH(E173,[1]Nifty_D!$B$2:$B$6600,0)-1)</f>
        <v>45103</v>
      </c>
      <c r="O173" s="89">
        <f>VLOOKUP(N173,[1]Nifty_D!$B$2:$F$6600,5,0)</f>
        <v>18691.2</v>
      </c>
      <c r="P173" s="92">
        <f t="shared" si="12"/>
        <v>-8.7846061245646645E-3</v>
      </c>
      <c r="Q173" s="12" t="s">
        <v>40</v>
      </c>
      <c r="R173" s="10">
        <v>18500</v>
      </c>
      <c r="S173" s="103">
        <f>MROUND(G173,500)</f>
        <v>19000</v>
      </c>
      <c r="T173" s="103">
        <f>S173-R173</f>
        <v>500</v>
      </c>
      <c r="U173" s="12" t="s">
        <v>92</v>
      </c>
      <c r="V173" s="10">
        <v>65</v>
      </c>
      <c r="W173" s="11">
        <v>16.350000000000001</v>
      </c>
      <c r="X173" s="11">
        <v>2.65</v>
      </c>
      <c r="Y173" s="13">
        <v>-7.6100000000000001E-2</v>
      </c>
      <c r="Z173" s="13">
        <v>6.7100000000000007E-2</v>
      </c>
      <c r="AA173" s="10">
        <v>0</v>
      </c>
      <c r="AB173" s="14">
        <v>0</v>
      </c>
      <c r="AC173" s="11">
        <v>-13.7</v>
      </c>
      <c r="AD173" s="14">
        <v>-7.2652643469084182E-4</v>
      </c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 t="s">
        <v>91</v>
      </c>
    </row>
    <row r="174" spans="1:52" ht="18" hidden="1" customHeight="1" x14ac:dyDescent="0.25">
      <c r="A174" s="4">
        <v>87</v>
      </c>
      <c r="B174" s="4">
        <v>1</v>
      </c>
      <c r="C174" s="4">
        <v>87</v>
      </c>
      <c r="D174" s="85">
        <v>45104</v>
      </c>
      <c r="E174" s="85">
        <v>45107</v>
      </c>
      <c r="F174" s="85">
        <v>45113</v>
      </c>
      <c r="G174" s="5">
        <v>18817.400000000001</v>
      </c>
      <c r="H174" s="5">
        <v>19189.05</v>
      </c>
      <c r="I174" s="5">
        <v>371.65</v>
      </c>
      <c r="J174" s="6">
        <v>1.9750337453633339E-2</v>
      </c>
      <c r="K174" s="91">
        <f t="array" ref="K174">MAX(IF((D174&lt;[1]Nifty_D!$B$2:$B$6600)*(E174&gt;=[1]Nifty_D!$B$2:$B$6600),[1]Nifty_D!$F$2:$F$6600,""))</f>
        <v>19189.05</v>
      </c>
      <c r="L174" s="92">
        <f t="shared" si="10"/>
        <v>1.9750337453633193E-2</v>
      </c>
      <c r="M174" s="91">
        <f t="shared" si="11"/>
        <v>7565.15</v>
      </c>
      <c r="N174" s="93">
        <f t="array" ref="N174">INDEX([1]Nifty_D!$B$2:$B$6600,MATCH(E174,[1]Nifty_D!$B$2:$B$6600,0)-1)</f>
        <v>45105</v>
      </c>
      <c r="O174" s="89">
        <f>VLOOKUP(N174,[1]Nifty_D!$B$2:$F$6600,5,0)</f>
        <v>18972.099999999999</v>
      </c>
      <c r="P174" s="92">
        <f t="shared" si="12"/>
        <v>8.2211145004089659E-3</v>
      </c>
      <c r="Q174" s="7" t="s">
        <v>28</v>
      </c>
      <c r="R174" s="4">
        <v>18800</v>
      </c>
      <c r="S174" s="102"/>
      <c r="T174" s="102"/>
      <c r="U174" s="7" t="s">
        <v>90</v>
      </c>
      <c r="V174" s="4">
        <v>65</v>
      </c>
      <c r="W174" s="5">
        <v>127.9</v>
      </c>
      <c r="X174" s="4">
        <v>395</v>
      </c>
      <c r="Y174" s="8">
        <v>-1.4890000000000001</v>
      </c>
      <c r="Z174" s="8">
        <v>-2.92E-2</v>
      </c>
      <c r="AA174" s="5">
        <v>-267.10000000000002</v>
      </c>
      <c r="AB174" s="6">
        <v>-1.4194309522038109E-2</v>
      </c>
      <c r="AC174" s="4">
        <v>0</v>
      </c>
      <c r="AD174" s="6">
        <v>0</v>
      </c>
      <c r="AE174" s="5">
        <v>35296.949999999997</v>
      </c>
      <c r="AF174" s="5">
        <v>35754.35</v>
      </c>
      <c r="AG174" s="5">
        <v>457.4</v>
      </c>
      <c r="AH174" s="5">
        <v>1.2959000000000001</v>
      </c>
      <c r="AI174" s="4">
        <v>3</v>
      </c>
      <c r="AJ174" s="5">
        <v>-0.05</v>
      </c>
      <c r="AK174" s="5">
        <v>439.75150000000002</v>
      </c>
      <c r="AL174" s="5">
        <v>1.2459</v>
      </c>
      <c r="AM174" s="8">
        <v>0.18840000000000001</v>
      </c>
      <c r="AN174" s="8">
        <v>1.3242</v>
      </c>
      <c r="AO174" s="15">
        <v>33.151499999999999</v>
      </c>
      <c r="AP174" s="15">
        <v>-0.91490000000000005</v>
      </c>
      <c r="AQ174" s="5">
        <v>106.6512</v>
      </c>
      <c r="AR174" s="5">
        <v>108.27070000000001</v>
      </c>
      <c r="AS174" s="5">
        <v>-1.6194</v>
      </c>
      <c r="AT174" s="5">
        <v>-1.4957</v>
      </c>
      <c r="AU174" s="8">
        <v>-0.92420000000000002</v>
      </c>
      <c r="AV174" s="8">
        <v>0.1704</v>
      </c>
      <c r="AW174" s="8">
        <v>-0.92420000000000002</v>
      </c>
      <c r="AX174" s="5">
        <v>106.6412</v>
      </c>
      <c r="AY174" s="5">
        <v>-1.5049999999999999</v>
      </c>
      <c r="AZ174" s="7" t="s">
        <v>97</v>
      </c>
    </row>
    <row r="175" spans="1:52" ht="18" customHeight="1" x14ac:dyDescent="0.25">
      <c r="A175" s="10">
        <v>87</v>
      </c>
      <c r="B175" s="10">
        <v>2</v>
      </c>
      <c r="C175" s="10">
        <v>87</v>
      </c>
      <c r="D175" s="86">
        <v>45104</v>
      </c>
      <c r="E175" s="86">
        <v>45107</v>
      </c>
      <c r="F175" s="86">
        <v>45134</v>
      </c>
      <c r="G175" s="11">
        <v>18817.400000000001</v>
      </c>
      <c r="H175" s="11">
        <v>19189.05</v>
      </c>
      <c r="I175" s="12"/>
      <c r="J175" s="12"/>
      <c r="K175" s="91">
        <f t="array" ref="K175">MAX(IF((D175&lt;[1]Nifty_D!$B$2:$B$6600)*(E175&gt;=[1]Nifty_D!$B$2:$B$6600),[1]Nifty_D!$F$2:$F$6600,""))</f>
        <v>19189.05</v>
      </c>
      <c r="L175" s="92">
        <f t="shared" si="10"/>
        <v>1.9750337453633193E-2</v>
      </c>
      <c r="M175" s="91">
        <f t="shared" si="11"/>
        <v>7565.15</v>
      </c>
      <c r="N175" s="93">
        <f t="array" ref="N175">INDEX([1]Nifty_D!$B$2:$B$6600,MATCH(E175,[1]Nifty_D!$B$2:$B$6600,0)-1)</f>
        <v>45105</v>
      </c>
      <c r="O175" s="89">
        <f>VLOOKUP(N175,[1]Nifty_D!$B$2:$F$6600,5,0)</f>
        <v>18972.099999999999</v>
      </c>
      <c r="P175" s="92">
        <f t="shared" si="12"/>
        <v>8.2211145004089659E-3</v>
      </c>
      <c r="Q175" s="12" t="s">
        <v>40</v>
      </c>
      <c r="R175" s="10">
        <v>19000</v>
      </c>
      <c r="S175" s="103">
        <f>MROUND(G175,500)</f>
        <v>19000</v>
      </c>
      <c r="T175" s="103">
        <f>S175-R175</f>
        <v>0</v>
      </c>
      <c r="U175" s="12" t="s">
        <v>92</v>
      </c>
      <c r="V175" s="10">
        <v>65</v>
      </c>
      <c r="W175" s="11">
        <v>251.5</v>
      </c>
      <c r="X175" s="10">
        <v>112</v>
      </c>
      <c r="Y175" s="13">
        <v>-0.75939999999999996</v>
      </c>
      <c r="Z175" s="13">
        <v>1.12E-2</v>
      </c>
      <c r="AA175" s="10">
        <v>0</v>
      </c>
      <c r="AB175" s="14">
        <v>0</v>
      </c>
      <c r="AC175" s="11">
        <v>-139.5</v>
      </c>
      <c r="AD175" s="14">
        <v>-7.413351472573256E-3</v>
      </c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 t="s">
        <v>97</v>
      </c>
    </row>
    <row r="176" spans="1:52" ht="18" hidden="1" customHeight="1" x14ac:dyDescent="0.25">
      <c r="A176" s="4">
        <v>88</v>
      </c>
      <c r="B176" s="4">
        <v>1</v>
      </c>
      <c r="C176" s="4">
        <v>88</v>
      </c>
      <c r="D176" s="85">
        <v>45107</v>
      </c>
      <c r="E176" s="85">
        <v>45111</v>
      </c>
      <c r="F176" s="85">
        <v>45113</v>
      </c>
      <c r="G176" s="5">
        <v>19189.05</v>
      </c>
      <c r="H176" s="4">
        <v>19389</v>
      </c>
      <c r="I176" s="5">
        <v>199.95</v>
      </c>
      <c r="J176" s="6">
        <v>1.042000515919235E-2</v>
      </c>
      <c r="K176" s="91">
        <f t="array" ref="K176">MAX(IF((D176&lt;[1]Nifty_D!$B$2:$B$6600)*(E176&gt;=[1]Nifty_D!$B$2:$B$6600),[1]Nifty_D!$F$2:$F$6600,""))</f>
        <v>19389</v>
      </c>
      <c r="L176" s="92">
        <f t="shared" si="10"/>
        <v>1.042000515919228E-2</v>
      </c>
      <c r="M176" s="91">
        <f t="shared" si="11"/>
        <v>7765.1</v>
      </c>
      <c r="N176" s="93">
        <f t="array" ref="N176">INDEX([1]Nifty_D!$B$2:$B$6600,MATCH(E176,[1]Nifty_D!$B$2:$B$6600,0)-1)</f>
        <v>45110</v>
      </c>
      <c r="O176" s="89">
        <f>VLOOKUP(N176,[1]Nifty_D!$B$2:$F$6600,5,0)</f>
        <v>19322.55</v>
      </c>
      <c r="P176" s="92">
        <f t="shared" si="12"/>
        <v>6.9570927169402275E-3</v>
      </c>
      <c r="Q176" s="7" t="s">
        <v>28</v>
      </c>
      <c r="R176" s="4">
        <v>19200</v>
      </c>
      <c r="S176" s="102"/>
      <c r="T176" s="102"/>
      <c r="U176" s="7" t="s">
        <v>90</v>
      </c>
      <c r="V176" s="4">
        <v>65</v>
      </c>
      <c r="W176" s="5">
        <v>73.400000000000006</v>
      </c>
      <c r="X176" s="4">
        <v>200</v>
      </c>
      <c r="Y176" s="8">
        <v>-0.89429999999999998</v>
      </c>
      <c r="Z176" s="8">
        <v>-8.8900000000000007E-2</v>
      </c>
      <c r="AA176" s="5">
        <v>-126.6</v>
      </c>
      <c r="AB176" s="6">
        <v>-6.5975126439297409E-3</v>
      </c>
      <c r="AC176" s="4">
        <v>0</v>
      </c>
      <c r="AD176" s="6">
        <v>0</v>
      </c>
      <c r="AE176" s="5">
        <v>35754.35</v>
      </c>
      <c r="AF176" s="5">
        <v>35771.800000000003</v>
      </c>
      <c r="AG176" s="5">
        <v>17.45</v>
      </c>
      <c r="AH176" s="5">
        <v>4.8800000000000003E-2</v>
      </c>
      <c r="AI176" s="4">
        <v>4</v>
      </c>
      <c r="AJ176" s="5">
        <v>-6.6667000000000004E-2</v>
      </c>
      <c r="AK176" s="5">
        <v>-6.3861999999999997</v>
      </c>
      <c r="AL176" s="5">
        <v>-1.7899999999999999E-2</v>
      </c>
      <c r="AM176" s="8">
        <v>-0.2198</v>
      </c>
      <c r="AN176" s="8">
        <v>0.58309999999999995</v>
      </c>
      <c r="AO176" s="9">
        <v>-172.58619999999999</v>
      </c>
      <c r="AP176" s="9">
        <v>-0.88400000000000001</v>
      </c>
      <c r="AQ176" s="5">
        <v>105.7084</v>
      </c>
      <c r="AR176" s="5">
        <v>108.27070000000001</v>
      </c>
      <c r="AS176" s="5">
        <v>-2.5621999999999998</v>
      </c>
      <c r="AT176" s="5">
        <v>-2.3664999999999998</v>
      </c>
      <c r="AU176" s="8">
        <v>-0.53349999999999997</v>
      </c>
      <c r="AV176" s="8">
        <v>-0.34179999999999999</v>
      </c>
      <c r="AW176" s="8">
        <v>-0.88400000000000001</v>
      </c>
      <c r="AX176" s="5">
        <v>105.7084</v>
      </c>
      <c r="AY176" s="5">
        <v>-2.3664999999999998</v>
      </c>
      <c r="AZ176" s="7" t="s">
        <v>97</v>
      </c>
    </row>
    <row r="177" spans="1:52" ht="18" customHeight="1" x14ac:dyDescent="0.25">
      <c r="A177" s="10">
        <v>88</v>
      </c>
      <c r="B177" s="10">
        <v>2</v>
      </c>
      <c r="C177" s="10">
        <v>88</v>
      </c>
      <c r="D177" s="86">
        <v>45107</v>
      </c>
      <c r="E177" s="86">
        <v>45111</v>
      </c>
      <c r="F177" s="86">
        <v>45134</v>
      </c>
      <c r="G177" s="11">
        <v>19189.05</v>
      </c>
      <c r="H177" s="10">
        <v>19389</v>
      </c>
      <c r="I177" s="12"/>
      <c r="J177" s="12"/>
      <c r="K177" s="91">
        <f t="array" ref="K177">MAX(IF((D177&lt;[1]Nifty_D!$B$2:$B$6600)*(E177&gt;=[1]Nifty_D!$B$2:$B$6600),[1]Nifty_D!$F$2:$F$6600,""))</f>
        <v>19389</v>
      </c>
      <c r="L177" s="92">
        <f t="shared" si="10"/>
        <v>1.042000515919228E-2</v>
      </c>
      <c r="M177" s="91">
        <f t="shared" si="11"/>
        <v>7765.1</v>
      </c>
      <c r="N177" s="93">
        <f t="array" ref="N177">INDEX([1]Nifty_D!$B$2:$B$6600,MATCH(E177,[1]Nifty_D!$B$2:$B$6600,0)-1)</f>
        <v>45110</v>
      </c>
      <c r="O177" s="89">
        <f>VLOOKUP(N177,[1]Nifty_D!$B$2:$F$6600,5,0)</f>
        <v>19322.55</v>
      </c>
      <c r="P177" s="92">
        <f t="shared" si="12"/>
        <v>6.9570927169402275E-3</v>
      </c>
      <c r="Q177" s="12" t="s">
        <v>40</v>
      </c>
      <c r="R177" s="10">
        <v>19000</v>
      </c>
      <c r="S177" s="103">
        <f>MROUND(G177,500)</f>
        <v>19000</v>
      </c>
      <c r="T177" s="103">
        <f>S177-R177</f>
        <v>0</v>
      </c>
      <c r="U177" s="12" t="s">
        <v>92</v>
      </c>
      <c r="V177" s="10">
        <v>65</v>
      </c>
      <c r="W177" s="10">
        <v>112</v>
      </c>
      <c r="X177" s="11">
        <v>72.400000000000006</v>
      </c>
      <c r="Y177" s="13">
        <v>-0.2223</v>
      </c>
      <c r="Z177" s="13">
        <v>-3.3099999999999997E-2</v>
      </c>
      <c r="AA177" s="10">
        <v>0</v>
      </c>
      <c r="AB177" s="14">
        <v>0</v>
      </c>
      <c r="AC177" s="11">
        <v>-39.6</v>
      </c>
      <c r="AD177" s="14">
        <v>-2.0636769407552749E-3</v>
      </c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 t="s">
        <v>97</v>
      </c>
    </row>
    <row r="178" spans="1:52" ht="18" hidden="1" customHeight="1" x14ac:dyDescent="0.25">
      <c r="A178" s="4">
        <v>89</v>
      </c>
      <c r="B178" s="4">
        <v>1</v>
      </c>
      <c r="C178" s="4">
        <v>89</v>
      </c>
      <c r="D178" s="85">
        <v>45111</v>
      </c>
      <c r="E178" s="85">
        <v>45112</v>
      </c>
      <c r="F178" s="85">
        <v>45113</v>
      </c>
      <c r="G178" s="4">
        <v>19389</v>
      </c>
      <c r="H178" s="5">
        <v>19398.5</v>
      </c>
      <c r="I178" s="5">
        <v>9.5</v>
      </c>
      <c r="J178" s="6">
        <v>4.8996853886224153E-4</v>
      </c>
      <c r="K178" s="91">
        <f t="array" ref="K178">MAX(IF((D178&lt;[1]Nifty_D!$B$2:$B$6600)*(E178&gt;=[1]Nifty_D!$B$2:$B$6600),[1]Nifty_D!$F$2:$F$6600,""))</f>
        <v>19398.5</v>
      </c>
      <c r="L178" s="92">
        <f t="shared" si="10"/>
        <v>4.8996853886218439E-4</v>
      </c>
      <c r="M178" s="91">
        <f t="shared" si="11"/>
        <v>7774.6</v>
      </c>
      <c r="N178" s="93">
        <f t="array" ref="N178">INDEX([1]Nifty_D!$B$2:$B$6600,MATCH(E178,[1]Nifty_D!$B$2:$B$6600,0)-1)</f>
        <v>45111</v>
      </c>
      <c r="O178" s="89">
        <f>VLOOKUP(N178,[1]Nifty_D!$B$2:$F$6600,5,0)</f>
        <v>19389</v>
      </c>
      <c r="P178" s="92">
        <f t="shared" si="12"/>
        <v>0</v>
      </c>
      <c r="Q178" s="7" t="s">
        <v>28</v>
      </c>
      <c r="R178" s="4">
        <v>19400</v>
      </c>
      <c r="S178" s="102"/>
      <c r="T178" s="102"/>
      <c r="U178" s="7" t="s">
        <v>90</v>
      </c>
      <c r="V178" s="4">
        <v>65</v>
      </c>
      <c r="W178" s="5">
        <v>52.05</v>
      </c>
      <c r="X178" s="5">
        <v>45.85</v>
      </c>
      <c r="Y178" s="8">
        <v>-0.09</v>
      </c>
      <c r="Z178" s="8">
        <v>0.1331</v>
      </c>
      <c r="AA178" s="5">
        <v>6.2</v>
      </c>
      <c r="AB178" s="6">
        <v>3.1976894115219969E-4</v>
      </c>
      <c r="AC178" s="4">
        <v>0</v>
      </c>
      <c r="AD178" s="6">
        <v>0</v>
      </c>
      <c r="AE178" s="5">
        <v>35771.800000000003</v>
      </c>
      <c r="AF178" s="5">
        <v>36024.65</v>
      </c>
      <c r="AG178" s="5">
        <v>252.85</v>
      </c>
      <c r="AH178" s="5">
        <v>0.70679999999999998</v>
      </c>
      <c r="AI178" s="4">
        <v>1</v>
      </c>
      <c r="AJ178" s="5">
        <v>-1.6667000000000001E-2</v>
      </c>
      <c r="AK178" s="5">
        <v>246.88800000000001</v>
      </c>
      <c r="AL178" s="5">
        <v>0.69020000000000004</v>
      </c>
      <c r="AM178" s="8">
        <v>2.5499999999999998E-2</v>
      </c>
      <c r="AN178" s="8">
        <v>0.7742</v>
      </c>
      <c r="AO178" s="15">
        <v>250.08799999999999</v>
      </c>
      <c r="AP178" s="15">
        <v>0.70669999999999999</v>
      </c>
      <c r="AQ178" s="5">
        <v>106.4555</v>
      </c>
      <c r="AR178" s="5">
        <v>108.27070000000001</v>
      </c>
      <c r="AS178" s="5">
        <v>-1.8151999999999999</v>
      </c>
      <c r="AT178" s="5">
        <v>-1.6765000000000001</v>
      </c>
      <c r="AU178" s="8">
        <v>0.61299999999999999</v>
      </c>
      <c r="AV178" s="8">
        <v>0.26919999999999999</v>
      </c>
      <c r="AW178" s="8">
        <v>0.26919999999999999</v>
      </c>
      <c r="AX178" s="5">
        <v>105.99299999999999</v>
      </c>
      <c r="AY178" s="5">
        <v>-2.1036999999999999</v>
      </c>
      <c r="AZ178" s="7" t="s">
        <v>91</v>
      </c>
    </row>
    <row r="179" spans="1:52" ht="18" customHeight="1" x14ac:dyDescent="0.25">
      <c r="A179" s="10">
        <v>89</v>
      </c>
      <c r="B179" s="10">
        <v>2</v>
      </c>
      <c r="C179" s="10">
        <v>89</v>
      </c>
      <c r="D179" s="86">
        <v>45111</v>
      </c>
      <c r="E179" s="86">
        <v>45112</v>
      </c>
      <c r="F179" s="86">
        <v>45134</v>
      </c>
      <c r="G179" s="10">
        <v>19389</v>
      </c>
      <c r="H179" s="11">
        <v>19398.5</v>
      </c>
      <c r="I179" s="12"/>
      <c r="J179" s="12"/>
      <c r="K179" s="91">
        <f t="array" ref="K179">MAX(IF((D179&lt;[1]Nifty_D!$B$2:$B$6600)*(E179&gt;=[1]Nifty_D!$B$2:$B$6600),[1]Nifty_D!$F$2:$F$6600,""))</f>
        <v>19398.5</v>
      </c>
      <c r="L179" s="92">
        <f t="shared" si="10"/>
        <v>4.8996853886218439E-4</v>
      </c>
      <c r="M179" s="91">
        <f t="shared" si="11"/>
        <v>7774.6</v>
      </c>
      <c r="N179" s="93">
        <f t="array" ref="N179">INDEX([1]Nifty_D!$B$2:$B$6600,MATCH(E179,[1]Nifty_D!$B$2:$B$6600,0)-1)</f>
        <v>45111</v>
      </c>
      <c r="O179" s="89">
        <f>VLOOKUP(N179,[1]Nifty_D!$B$2:$F$6600,5,0)</f>
        <v>19389</v>
      </c>
      <c r="P179" s="92">
        <f t="shared" si="12"/>
        <v>0</v>
      </c>
      <c r="Q179" s="12" t="s">
        <v>40</v>
      </c>
      <c r="R179" s="10">
        <v>19500</v>
      </c>
      <c r="S179" s="103">
        <f>MROUND(G179,500)</f>
        <v>19500</v>
      </c>
      <c r="T179" s="103">
        <f>S179-R179</f>
        <v>0</v>
      </c>
      <c r="U179" s="12" t="s">
        <v>92</v>
      </c>
      <c r="V179" s="10">
        <v>65</v>
      </c>
      <c r="W179" s="10">
        <v>221</v>
      </c>
      <c r="X179" s="10">
        <v>218</v>
      </c>
      <c r="Y179" s="13">
        <v>-7.1199999999999999E-2</v>
      </c>
      <c r="Z179" s="13">
        <v>0.1106</v>
      </c>
      <c r="AA179" s="10">
        <v>0</v>
      </c>
      <c r="AB179" s="14">
        <v>0</v>
      </c>
      <c r="AC179" s="10">
        <v>-3</v>
      </c>
      <c r="AD179" s="14">
        <v>-1.547269070091289E-4</v>
      </c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 t="s">
        <v>91</v>
      </c>
    </row>
    <row r="180" spans="1:52" ht="18" hidden="1" customHeight="1" x14ac:dyDescent="0.25">
      <c r="A180" s="4">
        <v>90</v>
      </c>
      <c r="B180" s="4">
        <v>1</v>
      </c>
      <c r="C180" s="4">
        <v>90</v>
      </c>
      <c r="D180" s="85">
        <v>45112</v>
      </c>
      <c r="E180" s="85">
        <v>45119</v>
      </c>
      <c r="F180" s="85">
        <v>45120</v>
      </c>
      <c r="G180" s="5">
        <v>19398.5</v>
      </c>
      <c r="H180" s="5">
        <v>19384.3</v>
      </c>
      <c r="I180" s="5">
        <v>-14.2</v>
      </c>
      <c r="J180" s="6">
        <v>-7.3201536201252676E-4</v>
      </c>
      <c r="K180" s="91">
        <f t="array" ref="K180">MAX(IF((D180&lt;[1]Nifty_D!$B$2:$B$6600)*(E180&gt;=[1]Nifty_D!$B$2:$B$6600),[1]Nifty_D!$F$2:$F$6600,""))</f>
        <v>19497.3</v>
      </c>
      <c r="L180" s="92">
        <f t="shared" si="10"/>
        <v>5.0931773075237885E-3</v>
      </c>
      <c r="M180" s="91">
        <f t="shared" si="11"/>
        <v>7873.4</v>
      </c>
      <c r="N180" s="93">
        <f t="array" ref="N180">INDEX([1]Nifty_D!$B$2:$B$6600,MATCH(E180,[1]Nifty_D!$B$2:$B$6600,0)-1)</f>
        <v>45118</v>
      </c>
      <c r="O180" s="89">
        <f>VLOOKUP(N180,[1]Nifty_D!$B$2:$F$6600,5,0)</f>
        <v>19439.400000000001</v>
      </c>
      <c r="P180" s="92">
        <f t="shared" si="12"/>
        <v>2.1084104441064788E-3</v>
      </c>
      <c r="Q180" s="7" t="s">
        <v>28</v>
      </c>
      <c r="R180" s="4">
        <v>19400</v>
      </c>
      <c r="S180" s="102"/>
      <c r="T180" s="102"/>
      <c r="U180" s="7" t="s">
        <v>90</v>
      </c>
      <c r="V180" s="4">
        <v>65</v>
      </c>
      <c r="W180" s="5">
        <v>123.75</v>
      </c>
      <c r="X180" s="5">
        <v>52.4</v>
      </c>
      <c r="Y180" s="8">
        <v>-0.2797</v>
      </c>
      <c r="Z180" s="8">
        <v>0.40600000000000003</v>
      </c>
      <c r="AA180" s="5">
        <v>71.349999999999994</v>
      </c>
      <c r="AB180" s="6">
        <v>3.6781194422249139E-3</v>
      </c>
      <c r="AC180" s="4">
        <v>0</v>
      </c>
      <c r="AD180" s="6">
        <v>0</v>
      </c>
      <c r="AE180" s="5">
        <v>36024.65</v>
      </c>
      <c r="AF180" s="5">
        <v>36408.15</v>
      </c>
      <c r="AG180" s="5">
        <v>383.5</v>
      </c>
      <c r="AH180" s="5">
        <v>1.0645</v>
      </c>
      <c r="AI180" s="4">
        <v>7</v>
      </c>
      <c r="AJ180" s="5">
        <v>-0.11666700000000001</v>
      </c>
      <c r="AK180" s="5">
        <v>341.47120000000001</v>
      </c>
      <c r="AL180" s="5">
        <v>0.94789999999999996</v>
      </c>
      <c r="AM180" s="8">
        <v>-0.61809999999999998</v>
      </c>
      <c r="AN180" s="8">
        <v>1.0868</v>
      </c>
      <c r="AO180" s="15">
        <v>359.87119999999999</v>
      </c>
      <c r="AP180" s="15">
        <v>1.0427999999999999</v>
      </c>
      <c r="AQ180" s="5">
        <v>107.5656</v>
      </c>
      <c r="AR180" s="5">
        <v>108.27070000000001</v>
      </c>
      <c r="AS180" s="5">
        <v>-0.70509999999999995</v>
      </c>
      <c r="AT180" s="5">
        <v>-0.6512</v>
      </c>
      <c r="AU180" s="8">
        <v>0.35420000000000001</v>
      </c>
      <c r="AV180" s="8">
        <v>-7.4200000000000002E-2</v>
      </c>
      <c r="AW180" s="8">
        <v>-7.4200000000000002E-2</v>
      </c>
      <c r="AX180" s="5">
        <v>106.37649999999999</v>
      </c>
      <c r="AY180" s="5">
        <v>-1.7495000000000001</v>
      </c>
      <c r="AZ180" s="7" t="s">
        <v>91</v>
      </c>
    </row>
    <row r="181" spans="1:52" ht="18" customHeight="1" x14ac:dyDescent="0.25">
      <c r="A181" s="10">
        <v>90</v>
      </c>
      <c r="B181" s="10">
        <v>2</v>
      </c>
      <c r="C181" s="10">
        <v>90</v>
      </c>
      <c r="D181" s="86">
        <v>45112</v>
      </c>
      <c r="E181" s="86">
        <v>45119</v>
      </c>
      <c r="F181" s="86">
        <v>45134</v>
      </c>
      <c r="G181" s="11">
        <v>19398.5</v>
      </c>
      <c r="H181" s="11">
        <v>19384.3</v>
      </c>
      <c r="I181" s="12"/>
      <c r="J181" s="12"/>
      <c r="K181" s="91">
        <f t="array" ref="K181">MAX(IF((D181&lt;[1]Nifty_D!$B$2:$B$6600)*(E181&gt;=[1]Nifty_D!$B$2:$B$6600),[1]Nifty_D!$F$2:$F$6600,""))</f>
        <v>19497.3</v>
      </c>
      <c r="L181" s="92">
        <f t="shared" si="10"/>
        <v>5.0931773075237885E-3</v>
      </c>
      <c r="M181" s="91">
        <f t="shared" si="11"/>
        <v>7873.4</v>
      </c>
      <c r="N181" s="93">
        <f t="array" ref="N181">INDEX([1]Nifty_D!$B$2:$B$6600,MATCH(E181,[1]Nifty_D!$B$2:$B$6600,0)-1)</f>
        <v>45118</v>
      </c>
      <c r="O181" s="89">
        <f>VLOOKUP(N181,[1]Nifty_D!$B$2:$F$6600,5,0)</f>
        <v>19439.400000000001</v>
      </c>
      <c r="P181" s="92">
        <f t="shared" si="12"/>
        <v>2.1084104441064788E-3</v>
      </c>
      <c r="Q181" s="12" t="s">
        <v>40</v>
      </c>
      <c r="R181" s="10">
        <v>19500</v>
      </c>
      <c r="S181" s="103">
        <f>MROUND(G181,500)</f>
        <v>19500</v>
      </c>
      <c r="T181" s="103">
        <f>S181-R181</f>
        <v>0</v>
      </c>
      <c r="U181" s="12" t="s">
        <v>92</v>
      </c>
      <c r="V181" s="10">
        <v>65</v>
      </c>
      <c r="W181" s="10">
        <v>218</v>
      </c>
      <c r="X181" s="11">
        <v>165.05</v>
      </c>
      <c r="Y181" s="13">
        <v>-0.45290000000000002</v>
      </c>
      <c r="Z181" s="13">
        <v>0.13789999999999999</v>
      </c>
      <c r="AA181" s="10">
        <v>0</v>
      </c>
      <c r="AB181" s="14">
        <v>0</v>
      </c>
      <c r="AC181" s="11">
        <v>-52.95</v>
      </c>
      <c r="AD181" s="14">
        <v>-2.7295924942650211E-3</v>
      </c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 t="s">
        <v>91</v>
      </c>
    </row>
    <row r="182" spans="1:52" ht="18" hidden="1" customHeight="1" x14ac:dyDescent="0.25">
      <c r="A182" s="4">
        <v>91</v>
      </c>
      <c r="B182" s="4">
        <v>1</v>
      </c>
      <c r="C182" s="4">
        <v>91</v>
      </c>
      <c r="D182" s="85">
        <v>45119</v>
      </c>
      <c r="E182" s="85">
        <v>45124</v>
      </c>
      <c r="F182" s="85">
        <v>45127</v>
      </c>
      <c r="G182" s="5">
        <v>19384.3</v>
      </c>
      <c r="H182" s="5">
        <v>19711.45</v>
      </c>
      <c r="I182" s="5">
        <v>327.14999999999998</v>
      </c>
      <c r="J182" s="6">
        <v>1.6877060301377918E-2</v>
      </c>
      <c r="K182" s="91">
        <f t="array" ref="K182">MAX(IF((D182&lt;[1]Nifty_D!$B$2:$B$6600)*(E182&gt;=[1]Nifty_D!$B$2:$B$6600),[1]Nifty_D!$F$2:$F$6600,""))</f>
        <v>19711.45</v>
      </c>
      <c r="L182" s="92">
        <f t="shared" si="10"/>
        <v>1.6877060301377922E-2</v>
      </c>
      <c r="M182" s="91">
        <f t="shared" si="11"/>
        <v>8087.5500000000011</v>
      </c>
      <c r="N182" s="93">
        <f t="array" ref="N182">INDEX([1]Nifty_D!$B$2:$B$6600,MATCH(E182,[1]Nifty_D!$B$2:$B$6600,0)-1)</f>
        <v>45121</v>
      </c>
      <c r="O182" s="89">
        <f>VLOOKUP(N182,[1]Nifty_D!$B$2:$F$6600,5,0)</f>
        <v>19564.5</v>
      </c>
      <c r="P182" s="92">
        <f t="shared" si="12"/>
        <v>9.2961829934534723E-3</v>
      </c>
      <c r="Q182" s="7" t="s">
        <v>28</v>
      </c>
      <c r="R182" s="4">
        <v>19400</v>
      </c>
      <c r="S182" s="102"/>
      <c r="T182" s="102"/>
      <c r="U182" s="7" t="s">
        <v>90</v>
      </c>
      <c r="V182" s="4">
        <v>65</v>
      </c>
      <c r="W182" s="5">
        <v>124.1</v>
      </c>
      <c r="X182" s="5">
        <v>318.35000000000002</v>
      </c>
      <c r="Y182" s="8">
        <v>-1.0888</v>
      </c>
      <c r="Z182" s="8">
        <v>9.2299999999999993E-2</v>
      </c>
      <c r="AA182" s="5">
        <v>-194.25</v>
      </c>
      <c r="AB182" s="6">
        <v>-1.0020996373353691E-2</v>
      </c>
      <c r="AC182" s="4">
        <v>0</v>
      </c>
      <c r="AD182" s="6">
        <v>0</v>
      </c>
      <c r="AE182" s="5">
        <v>36408.15</v>
      </c>
      <c r="AF182" s="5">
        <v>36641.25</v>
      </c>
      <c r="AG182" s="5">
        <v>233.1</v>
      </c>
      <c r="AH182" s="5">
        <v>0.64019999999999999</v>
      </c>
      <c r="AI182" s="4">
        <v>5</v>
      </c>
      <c r="AJ182" s="5">
        <v>-8.3333000000000004E-2</v>
      </c>
      <c r="AK182" s="5">
        <v>202.75989999999999</v>
      </c>
      <c r="AL182" s="5">
        <v>0.55689999999999995</v>
      </c>
      <c r="AM182" s="8">
        <v>-1.1231</v>
      </c>
      <c r="AN182" s="8">
        <v>0.9002</v>
      </c>
      <c r="AO182" s="9">
        <v>-98.890100000000004</v>
      </c>
      <c r="AP182" s="9">
        <v>-0.99929999999999997</v>
      </c>
      <c r="AQ182" s="5">
        <v>106.4907</v>
      </c>
      <c r="AR182" s="5">
        <v>108.27070000000001</v>
      </c>
      <c r="AS182" s="5">
        <v>-1.78</v>
      </c>
      <c r="AT182" s="5">
        <v>-1.6439999999999999</v>
      </c>
      <c r="AU182" s="8">
        <v>-0.75860000000000005</v>
      </c>
      <c r="AV182" s="8">
        <v>-1.0465</v>
      </c>
      <c r="AW182" s="8">
        <v>-1.0465</v>
      </c>
      <c r="AX182" s="5">
        <v>106.43989999999999</v>
      </c>
      <c r="AY182" s="5">
        <v>-1.6909000000000001</v>
      </c>
      <c r="AZ182" s="7" t="s">
        <v>97</v>
      </c>
    </row>
    <row r="183" spans="1:52" ht="18" customHeight="1" x14ac:dyDescent="0.25">
      <c r="A183" s="10">
        <v>91</v>
      </c>
      <c r="B183" s="10">
        <v>2</v>
      </c>
      <c r="C183" s="10">
        <v>91</v>
      </c>
      <c r="D183" s="86">
        <v>45119</v>
      </c>
      <c r="E183" s="86">
        <v>45124</v>
      </c>
      <c r="F183" s="86">
        <v>45134</v>
      </c>
      <c r="G183" s="11">
        <v>19384.3</v>
      </c>
      <c r="H183" s="11">
        <v>19711.45</v>
      </c>
      <c r="I183" s="12"/>
      <c r="J183" s="12"/>
      <c r="K183" s="91">
        <f t="array" ref="K183">MAX(IF((D183&lt;[1]Nifty_D!$B$2:$B$6600)*(E183&gt;=[1]Nifty_D!$B$2:$B$6600),[1]Nifty_D!$F$2:$F$6600,""))</f>
        <v>19711.45</v>
      </c>
      <c r="L183" s="92">
        <f t="shared" si="10"/>
        <v>1.6877060301377922E-2</v>
      </c>
      <c r="M183" s="91">
        <f t="shared" si="11"/>
        <v>8087.5500000000011</v>
      </c>
      <c r="N183" s="93">
        <f t="array" ref="N183">INDEX([1]Nifty_D!$B$2:$B$6600,MATCH(E183,[1]Nifty_D!$B$2:$B$6600,0)-1)</f>
        <v>45121</v>
      </c>
      <c r="O183" s="89">
        <f>VLOOKUP(N183,[1]Nifty_D!$B$2:$F$6600,5,0)</f>
        <v>19564.5</v>
      </c>
      <c r="P183" s="92">
        <f t="shared" si="12"/>
        <v>9.2961829934534723E-3</v>
      </c>
      <c r="Q183" s="12" t="s">
        <v>40</v>
      </c>
      <c r="R183" s="10">
        <v>19500</v>
      </c>
      <c r="S183" s="103">
        <f>MROUND(G183,500)</f>
        <v>19500</v>
      </c>
      <c r="T183" s="103">
        <f>S183-R183</f>
        <v>0</v>
      </c>
      <c r="U183" s="12" t="s">
        <v>92</v>
      </c>
      <c r="V183" s="10">
        <v>65</v>
      </c>
      <c r="W183" s="11">
        <v>165.05</v>
      </c>
      <c r="X183" s="11">
        <v>57.65</v>
      </c>
      <c r="Y183" s="13">
        <v>-0.56999999999999995</v>
      </c>
      <c r="Z183" s="13">
        <v>-1.5699999999999999E-2</v>
      </c>
      <c r="AA183" s="10">
        <v>0</v>
      </c>
      <c r="AB183" s="14">
        <v>0</v>
      </c>
      <c r="AC183" s="11">
        <v>-107.4</v>
      </c>
      <c r="AD183" s="14">
        <v>-5.5405663346109997E-3</v>
      </c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 t="s">
        <v>97</v>
      </c>
    </row>
    <row r="184" spans="1:52" ht="18" hidden="1" customHeight="1" x14ac:dyDescent="0.25">
      <c r="A184" s="4">
        <v>92</v>
      </c>
      <c r="B184" s="4">
        <v>1</v>
      </c>
      <c r="C184" s="4">
        <v>92</v>
      </c>
      <c r="D184" s="85">
        <v>45124</v>
      </c>
      <c r="E184" s="85">
        <v>45126</v>
      </c>
      <c r="F184" s="85">
        <v>45127</v>
      </c>
      <c r="G184" s="5">
        <v>19711.45</v>
      </c>
      <c r="H184" s="5">
        <v>19833.150000000001</v>
      </c>
      <c r="I184" s="5">
        <v>121.7</v>
      </c>
      <c r="J184" s="6">
        <v>6.1740764885383874E-3</v>
      </c>
      <c r="K184" s="91">
        <f t="array" ref="K184">MAX(IF((D184&lt;[1]Nifty_D!$B$2:$B$6600)*(E184&gt;=[1]Nifty_D!$B$2:$B$6600),[1]Nifty_D!$F$2:$F$6600,""))</f>
        <v>19833.150000000001</v>
      </c>
      <c r="L184" s="92">
        <f t="shared" si="10"/>
        <v>6.1740764885385158E-3</v>
      </c>
      <c r="M184" s="91">
        <f t="shared" si="11"/>
        <v>8209.2500000000018</v>
      </c>
      <c r="N184" s="93">
        <f t="array" ref="N184">INDEX([1]Nifty_D!$B$2:$B$6600,MATCH(E184,[1]Nifty_D!$B$2:$B$6600,0)-1)</f>
        <v>45125</v>
      </c>
      <c r="O184" s="89">
        <f>VLOOKUP(N184,[1]Nifty_D!$B$2:$F$6600,5,0)</f>
        <v>19749.25</v>
      </c>
      <c r="P184" s="92">
        <f t="shared" si="12"/>
        <v>1.9176671427012515E-3</v>
      </c>
      <c r="Q184" s="7" t="s">
        <v>28</v>
      </c>
      <c r="R184" s="4">
        <v>19700</v>
      </c>
      <c r="S184" s="102"/>
      <c r="T184" s="102"/>
      <c r="U184" s="7" t="s">
        <v>90</v>
      </c>
      <c r="V184" s="4">
        <v>65</v>
      </c>
      <c r="W184" s="5">
        <v>77.099999999999994</v>
      </c>
      <c r="X184" s="5">
        <v>141.6</v>
      </c>
      <c r="Y184" s="8">
        <v>-0.44390000000000002</v>
      </c>
      <c r="Z184" s="8">
        <v>-3.5999999999999999E-3</v>
      </c>
      <c r="AA184" s="5">
        <v>-64.5</v>
      </c>
      <c r="AB184" s="6">
        <v>-3.2722098069903529E-3</v>
      </c>
      <c r="AC184" s="4">
        <v>0</v>
      </c>
      <c r="AD184" s="6">
        <v>0</v>
      </c>
      <c r="AE184" s="5">
        <v>36641.25</v>
      </c>
      <c r="AF184" s="4">
        <v>36839</v>
      </c>
      <c r="AG184" s="5">
        <v>197.75</v>
      </c>
      <c r="AH184" s="5">
        <v>0.53969999999999996</v>
      </c>
      <c r="AI184" s="4">
        <v>2</v>
      </c>
      <c r="AJ184" s="5">
        <v>-3.3333000000000002E-2</v>
      </c>
      <c r="AK184" s="5">
        <v>185.53630000000001</v>
      </c>
      <c r="AL184" s="5">
        <v>0.50639999999999996</v>
      </c>
      <c r="AM184" s="8">
        <v>-0.64810000000000001</v>
      </c>
      <c r="AN184" s="8">
        <v>0.56399999999999995</v>
      </c>
      <c r="AO184" s="15">
        <v>88.136200000000002</v>
      </c>
      <c r="AP184" s="15">
        <v>1.23E-2</v>
      </c>
      <c r="AQ184" s="5">
        <v>106.5038</v>
      </c>
      <c r="AR184" s="5">
        <v>108.27070000000001</v>
      </c>
      <c r="AS184" s="5">
        <v>-1.7668999999999999</v>
      </c>
      <c r="AT184" s="5">
        <v>-1.6318999999999999</v>
      </c>
      <c r="AU184" s="8">
        <v>-5.3100000000000001E-2</v>
      </c>
      <c r="AV184" s="8">
        <v>-0.623</v>
      </c>
      <c r="AW184" s="8">
        <v>-0.623</v>
      </c>
      <c r="AX184" s="5">
        <v>105.8272</v>
      </c>
      <c r="AY184" s="5">
        <v>-2.2568000000000001</v>
      </c>
      <c r="AZ184" s="7" t="s">
        <v>91</v>
      </c>
    </row>
    <row r="185" spans="1:52" ht="18" customHeight="1" x14ac:dyDescent="0.25">
      <c r="A185" s="10">
        <v>92</v>
      </c>
      <c r="B185" s="10">
        <v>2</v>
      </c>
      <c r="C185" s="10">
        <v>92</v>
      </c>
      <c r="D185" s="86">
        <v>45124</v>
      </c>
      <c r="E185" s="86">
        <v>45126</v>
      </c>
      <c r="F185" s="86">
        <v>45134</v>
      </c>
      <c r="G185" s="11">
        <v>19711.45</v>
      </c>
      <c r="H185" s="11">
        <v>19833.150000000001</v>
      </c>
      <c r="I185" s="12"/>
      <c r="J185" s="12"/>
      <c r="K185" s="91">
        <f t="array" ref="K185">MAX(IF((D185&lt;[1]Nifty_D!$B$2:$B$6600)*(E185&gt;=[1]Nifty_D!$B$2:$B$6600),[1]Nifty_D!$F$2:$F$6600,""))</f>
        <v>19833.150000000001</v>
      </c>
      <c r="L185" s="92">
        <f t="shared" si="10"/>
        <v>6.1740764885385158E-3</v>
      </c>
      <c r="M185" s="91">
        <f t="shared" si="11"/>
        <v>8209.2500000000018</v>
      </c>
      <c r="N185" s="93">
        <f t="array" ref="N185">INDEX([1]Nifty_D!$B$2:$B$6600,MATCH(E185,[1]Nifty_D!$B$2:$B$6600,0)-1)</f>
        <v>45125</v>
      </c>
      <c r="O185" s="89">
        <f>VLOOKUP(N185,[1]Nifty_D!$B$2:$F$6600,5,0)</f>
        <v>19749.25</v>
      </c>
      <c r="P185" s="92">
        <f t="shared" si="12"/>
        <v>1.9176671427012515E-3</v>
      </c>
      <c r="Q185" s="12" t="s">
        <v>40</v>
      </c>
      <c r="R185" s="10">
        <v>19500</v>
      </c>
      <c r="S185" s="103">
        <f>MROUND(G185,500)</f>
        <v>19500</v>
      </c>
      <c r="T185" s="103">
        <f>S185-R185</f>
        <v>0</v>
      </c>
      <c r="U185" s="12" t="s">
        <v>92</v>
      </c>
      <c r="V185" s="10">
        <v>65</v>
      </c>
      <c r="W185" s="11">
        <v>57.65</v>
      </c>
      <c r="X185" s="11">
        <v>24.75</v>
      </c>
      <c r="Y185" s="13">
        <v>-0.17319999999999999</v>
      </c>
      <c r="Z185" s="13">
        <v>2.87E-2</v>
      </c>
      <c r="AA185" s="10">
        <v>0</v>
      </c>
      <c r="AB185" s="14">
        <v>0</v>
      </c>
      <c r="AC185" s="11">
        <v>-32.9</v>
      </c>
      <c r="AD185" s="14">
        <v>-1.66908066124004E-3</v>
      </c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 t="s">
        <v>91</v>
      </c>
    </row>
    <row r="186" spans="1:52" ht="18" hidden="1" customHeight="1" x14ac:dyDescent="0.25">
      <c r="A186" s="4">
        <v>93</v>
      </c>
      <c r="B186" s="4">
        <v>1</v>
      </c>
      <c r="C186" s="4">
        <v>93</v>
      </c>
      <c r="D186" s="85">
        <v>45126</v>
      </c>
      <c r="E186" s="85">
        <v>45127</v>
      </c>
      <c r="F186" s="85">
        <v>45134</v>
      </c>
      <c r="G186" s="5">
        <v>19833.150000000001</v>
      </c>
      <c r="H186" s="5">
        <v>19979.150000000001</v>
      </c>
      <c r="I186" s="4">
        <v>146</v>
      </c>
      <c r="J186" s="6">
        <v>7.3614125844860736E-3</v>
      </c>
      <c r="K186" s="91">
        <f t="array" ref="K186">MAX(IF((D186&lt;[1]Nifty_D!$B$2:$B$6600)*(E186&gt;=[1]Nifty_D!$B$2:$B$6600),[1]Nifty_D!$F$2:$F$6600,""))</f>
        <v>19979.150000000001</v>
      </c>
      <c r="L186" s="92">
        <f t="shared" si="10"/>
        <v>7.3614125844860823E-3</v>
      </c>
      <c r="M186" s="91">
        <f t="shared" si="11"/>
        <v>8355.2500000000018</v>
      </c>
      <c r="N186" s="93">
        <f t="array" ref="N186">INDEX([1]Nifty_D!$B$2:$B$6600,MATCH(E186,[1]Nifty_D!$B$2:$B$6600,0)-1)</f>
        <v>45126</v>
      </c>
      <c r="O186" s="89">
        <f>VLOOKUP(N186,[1]Nifty_D!$B$2:$F$6600,5,0)</f>
        <v>19833.150000000001</v>
      </c>
      <c r="P186" s="92">
        <f t="shared" si="12"/>
        <v>0</v>
      </c>
      <c r="Q186" s="7" t="s">
        <v>28</v>
      </c>
      <c r="R186" s="4">
        <v>19800</v>
      </c>
      <c r="S186" s="102"/>
      <c r="T186" s="102"/>
      <c r="U186" s="7" t="s">
        <v>90</v>
      </c>
      <c r="V186" s="4">
        <v>65</v>
      </c>
      <c r="W186" s="5">
        <v>141.44999999999999</v>
      </c>
      <c r="X186" s="5">
        <v>222.2</v>
      </c>
      <c r="Y186" s="8">
        <v>-0.44850000000000001</v>
      </c>
      <c r="Z186" s="8">
        <v>0.1389</v>
      </c>
      <c r="AA186" s="5">
        <v>-80.75</v>
      </c>
      <c r="AB186" s="6">
        <v>-4.0714662068304826E-3</v>
      </c>
      <c r="AC186" s="4">
        <v>0</v>
      </c>
      <c r="AD186" s="6">
        <v>0</v>
      </c>
      <c r="AE186" s="4">
        <v>36839</v>
      </c>
      <c r="AF186" s="5">
        <v>36931.699999999997</v>
      </c>
      <c r="AG186" s="5">
        <v>92.7</v>
      </c>
      <c r="AH186" s="5">
        <v>0.25159999999999999</v>
      </c>
      <c r="AI186" s="4">
        <v>1</v>
      </c>
      <c r="AJ186" s="5">
        <v>-1.6667000000000001E-2</v>
      </c>
      <c r="AK186" s="5">
        <v>86.560199999999995</v>
      </c>
      <c r="AL186" s="5">
        <v>0.23499999999999999</v>
      </c>
      <c r="AM186" s="8">
        <v>5.0099999999999999E-2</v>
      </c>
      <c r="AN186" s="8">
        <v>0.32800000000000001</v>
      </c>
      <c r="AO186" s="9">
        <v>-3.1898</v>
      </c>
      <c r="AP186" s="9">
        <v>-0.2175</v>
      </c>
      <c r="AQ186" s="5">
        <v>106.27209999999999</v>
      </c>
      <c r="AR186" s="5">
        <v>108.27070000000001</v>
      </c>
      <c r="AS186" s="5">
        <v>-1.9984999999999999</v>
      </c>
      <c r="AT186" s="5">
        <v>-1.8459000000000001</v>
      </c>
      <c r="AU186" s="8">
        <v>-0.17319999999999999</v>
      </c>
      <c r="AV186" s="8">
        <v>0.2407</v>
      </c>
      <c r="AW186" s="8">
        <v>-0.2175</v>
      </c>
      <c r="AX186" s="5">
        <v>106.27209999999999</v>
      </c>
      <c r="AY186" s="5">
        <v>-1.8459000000000001</v>
      </c>
      <c r="AZ186" s="7" t="s">
        <v>96</v>
      </c>
    </row>
    <row r="187" spans="1:52" ht="18" customHeight="1" x14ac:dyDescent="0.25">
      <c r="A187" s="10">
        <v>93</v>
      </c>
      <c r="B187" s="10">
        <v>2</v>
      </c>
      <c r="C187" s="10">
        <v>93</v>
      </c>
      <c r="D187" s="86">
        <v>45126</v>
      </c>
      <c r="E187" s="86">
        <v>45127</v>
      </c>
      <c r="F187" s="86">
        <v>45134</v>
      </c>
      <c r="G187" s="11">
        <v>19833.150000000001</v>
      </c>
      <c r="H187" s="11">
        <v>19979.150000000001</v>
      </c>
      <c r="I187" s="12"/>
      <c r="J187" s="12"/>
      <c r="K187" s="91">
        <f t="array" ref="K187">MAX(IF((D187&lt;[1]Nifty_D!$B$2:$B$6600)*(E187&gt;=[1]Nifty_D!$B$2:$B$6600),[1]Nifty_D!$F$2:$F$6600,""))</f>
        <v>19979.150000000001</v>
      </c>
      <c r="L187" s="92">
        <f t="shared" si="10"/>
        <v>7.3614125844860823E-3</v>
      </c>
      <c r="M187" s="91">
        <f t="shared" si="11"/>
        <v>8355.2500000000018</v>
      </c>
      <c r="N187" s="93">
        <f t="array" ref="N187">INDEX([1]Nifty_D!$B$2:$B$6600,MATCH(E187,[1]Nifty_D!$B$2:$B$6600,0)-1)</f>
        <v>45126</v>
      </c>
      <c r="O187" s="89">
        <f>VLOOKUP(N187,[1]Nifty_D!$B$2:$F$6600,5,0)</f>
        <v>19833.150000000001</v>
      </c>
      <c r="P187" s="92">
        <f t="shared" si="12"/>
        <v>0</v>
      </c>
      <c r="Q187" s="12" t="s">
        <v>40</v>
      </c>
      <c r="R187" s="10">
        <v>19500</v>
      </c>
      <c r="S187" s="103">
        <f>MROUND(G187,500)</f>
        <v>20000</v>
      </c>
      <c r="T187" s="103">
        <f>S187-R187</f>
        <v>500</v>
      </c>
      <c r="U187" s="12" t="s">
        <v>92</v>
      </c>
      <c r="V187" s="10">
        <v>65</v>
      </c>
      <c r="W187" s="11">
        <v>24.75</v>
      </c>
      <c r="X187" s="11">
        <v>15.75</v>
      </c>
      <c r="Y187" s="13">
        <v>-5.2699999999999997E-2</v>
      </c>
      <c r="Z187" s="13">
        <v>5.1700000000000003E-2</v>
      </c>
      <c r="AA187" s="10">
        <v>0</v>
      </c>
      <c r="AB187" s="14">
        <v>0</v>
      </c>
      <c r="AC187" s="10">
        <v>-9</v>
      </c>
      <c r="AD187" s="14">
        <v>-4.5378570726284021E-4</v>
      </c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 t="s">
        <v>96</v>
      </c>
    </row>
    <row r="188" spans="1:52" ht="18" hidden="1" customHeight="1" x14ac:dyDescent="0.25">
      <c r="A188" s="4">
        <v>94</v>
      </c>
      <c r="B188" s="4">
        <v>1</v>
      </c>
      <c r="C188" s="4">
        <v>94</v>
      </c>
      <c r="D188" s="85">
        <v>45127</v>
      </c>
      <c r="E188" s="85">
        <v>45133</v>
      </c>
      <c r="F188" s="85">
        <v>45134</v>
      </c>
      <c r="G188" s="5">
        <v>19979.150000000001</v>
      </c>
      <c r="H188" s="5">
        <v>19778.3</v>
      </c>
      <c r="I188" s="5">
        <v>-200.85</v>
      </c>
      <c r="J188" s="6">
        <v>-1.005298023189175E-2</v>
      </c>
      <c r="K188" s="91">
        <f t="array" ref="K188">MAX(IF((D188&lt;[1]Nifty_D!$B$2:$B$6600)*(E188&gt;=[1]Nifty_D!$B$2:$B$6600),[1]Nifty_D!$F$2:$F$6600,""))</f>
        <v>19778.3</v>
      </c>
      <c r="L188" s="92">
        <f t="shared" si="10"/>
        <v>-1.0052980231891828E-2</v>
      </c>
      <c r="M188" s="91">
        <f t="shared" si="11"/>
        <v>8154.4</v>
      </c>
      <c r="N188" s="93">
        <f t="array" ref="N188">INDEX([1]Nifty_D!$B$2:$B$6600,MATCH(E188,[1]Nifty_D!$B$2:$B$6600,0)-1)</f>
        <v>45132</v>
      </c>
      <c r="O188" s="89">
        <f>VLOOKUP(N188,[1]Nifty_D!$B$2:$F$6600,5,0)</f>
        <v>19680.599999999999</v>
      </c>
      <c r="P188" s="92">
        <f t="shared" si="12"/>
        <v>-1.4943078158980883E-2</v>
      </c>
      <c r="Q188" s="7" t="s">
        <v>28</v>
      </c>
      <c r="R188" s="4">
        <v>20000</v>
      </c>
      <c r="S188" s="102"/>
      <c r="T188" s="102"/>
      <c r="U188" s="7" t="s">
        <v>90</v>
      </c>
      <c r="V188" s="4">
        <v>65</v>
      </c>
      <c r="W188" s="5">
        <v>100.3</v>
      </c>
      <c r="X188" s="5">
        <v>4.75</v>
      </c>
      <c r="Y188" s="8">
        <v>0.1472</v>
      </c>
      <c r="Z188" s="8">
        <v>0.48280000000000001</v>
      </c>
      <c r="AA188" s="5">
        <v>95.55</v>
      </c>
      <c r="AB188" s="6">
        <v>4.7824857413853944E-3</v>
      </c>
      <c r="AC188" s="4">
        <v>0</v>
      </c>
      <c r="AD188" s="6">
        <v>0</v>
      </c>
      <c r="AE188" s="5">
        <v>36931.699999999997</v>
      </c>
      <c r="AF188" s="5">
        <v>37050.1</v>
      </c>
      <c r="AG188" s="5">
        <v>118.4</v>
      </c>
      <c r="AH188" s="5">
        <v>0.3206</v>
      </c>
      <c r="AI188" s="4">
        <v>6</v>
      </c>
      <c r="AJ188" s="5">
        <v>-0.1</v>
      </c>
      <c r="AK188" s="5">
        <v>81.468299999999999</v>
      </c>
      <c r="AL188" s="5">
        <v>0.22059999999999999</v>
      </c>
      <c r="AM188" s="8">
        <v>-0.83120000000000005</v>
      </c>
      <c r="AN188" s="8">
        <v>0.40379999999999999</v>
      </c>
      <c r="AO188" s="15">
        <v>278.41829999999999</v>
      </c>
      <c r="AP188" s="15">
        <v>1.2063999999999999</v>
      </c>
      <c r="AQ188" s="5">
        <v>107.55419999999999</v>
      </c>
      <c r="AR188" s="5">
        <v>108.27070000000001</v>
      </c>
      <c r="AS188" s="5">
        <v>-0.71650000000000003</v>
      </c>
      <c r="AT188" s="5">
        <v>-0.66169999999999995</v>
      </c>
      <c r="AU188" s="8">
        <v>0.65259999999999996</v>
      </c>
      <c r="AV188" s="8">
        <v>0.87609999999999999</v>
      </c>
      <c r="AW188" s="8">
        <v>0.65259999999999996</v>
      </c>
      <c r="AX188" s="5">
        <v>106.9657</v>
      </c>
      <c r="AY188" s="5">
        <v>-1.2053</v>
      </c>
      <c r="AZ188" s="7" t="s">
        <v>91</v>
      </c>
    </row>
    <row r="189" spans="1:52" ht="18" customHeight="1" x14ac:dyDescent="0.25">
      <c r="A189" s="10">
        <v>94</v>
      </c>
      <c r="B189" s="10">
        <v>2</v>
      </c>
      <c r="C189" s="10">
        <v>94</v>
      </c>
      <c r="D189" s="86">
        <v>45127</v>
      </c>
      <c r="E189" s="86">
        <v>45133</v>
      </c>
      <c r="F189" s="86">
        <v>45134</v>
      </c>
      <c r="G189" s="11">
        <v>19979.150000000001</v>
      </c>
      <c r="H189" s="11">
        <v>19778.3</v>
      </c>
      <c r="I189" s="12"/>
      <c r="J189" s="12"/>
      <c r="K189" s="91">
        <f t="array" ref="K189">MAX(IF((D189&lt;[1]Nifty_D!$B$2:$B$6600)*(E189&gt;=[1]Nifty_D!$B$2:$B$6600),[1]Nifty_D!$F$2:$F$6600,""))</f>
        <v>19778.3</v>
      </c>
      <c r="L189" s="92">
        <f t="shared" si="10"/>
        <v>-1.0052980231891828E-2</v>
      </c>
      <c r="M189" s="91">
        <f t="shared" si="11"/>
        <v>8154.4</v>
      </c>
      <c r="N189" s="93">
        <f t="array" ref="N189">INDEX([1]Nifty_D!$B$2:$B$6600,MATCH(E189,[1]Nifty_D!$B$2:$B$6600,0)-1)</f>
        <v>45132</v>
      </c>
      <c r="O189" s="89">
        <f>VLOOKUP(N189,[1]Nifty_D!$B$2:$F$6600,5,0)</f>
        <v>19680.599999999999</v>
      </c>
      <c r="P189" s="92">
        <f t="shared" si="12"/>
        <v>-1.4943078158980883E-2</v>
      </c>
      <c r="Q189" s="12" t="s">
        <v>40</v>
      </c>
      <c r="R189" s="10">
        <v>20000</v>
      </c>
      <c r="S189" s="103">
        <f>MROUND(G189,500)</f>
        <v>20000</v>
      </c>
      <c r="T189" s="103">
        <f>S189-R189</f>
        <v>0</v>
      </c>
      <c r="U189" s="12" t="s">
        <v>92</v>
      </c>
      <c r="V189" s="10">
        <v>65</v>
      </c>
      <c r="W189" s="11">
        <v>129.69999999999999</v>
      </c>
      <c r="X189" s="11">
        <v>231.1</v>
      </c>
      <c r="Y189" s="13">
        <v>0.1016</v>
      </c>
      <c r="Z189" s="13">
        <v>1.2244999999999999</v>
      </c>
      <c r="AA189" s="10">
        <v>0</v>
      </c>
      <c r="AB189" s="14">
        <v>0</v>
      </c>
      <c r="AC189" s="11">
        <v>101.4</v>
      </c>
      <c r="AD189" s="14">
        <v>5.0752909908579691E-3</v>
      </c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 t="s">
        <v>91</v>
      </c>
    </row>
    <row r="190" spans="1:52" ht="18" hidden="1" customHeight="1" x14ac:dyDescent="0.25">
      <c r="A190" s="4">
        <v>95</v>
      </c>
      <c r="B190" s="4">
        <v>1</v>
      </c>
      <c r="C190" s="4">
        <v>95</v>
      </c>
      <c r="D190" s="85">
        <v>45133</v>
      </c>
      <c r="E190" s="85">
        <v>45140</v>
      </c>
      <c r="F190" s="85">
        <v>45141</v>
      </c>
      <c r="G190" s="5">
        <v>19778.3</v>
      </c>
      <c r="H190" s="5">
        <v>19526.55</v>
      </c>
      <c r="I190" s="5">
        <v>-251.75</v>
      </c>
      <c r="J190" s="6">
        <v>-1.27285964921151E-2</v>
      </c>
      <c r="K190" s="91">
        <f t="array" ref="K190">MAX(IF((D190&lt;[1]Nifty_D!$B$2:$B$6600)*(E190&gt;=[1]Nifty_D!$B$2:$B$6600),[1]Nifty_D!$F$2:$F$6600,""))</f>
        <v>19753.8</v>
      </c>
      <c r="L190" s="92">
        <f t="shared" si="10"/>
        <v>-1.2387313368692476E-3</v>
      </c>
      <c r="M190" s="91">
        <f t="shared" si="11"/>
        <v>8129.9</v>
      </c>
      <c r="N190" s="93">
        <f t="array" ref="N190">INDEX([1]Nifty_D!$B$2:$B$6600,MATCH(E190,[1]Nifty_D!$B$2:$B$6600,0)-1)</f>
        <v>45139</v>
      </c>
      <c r="O190" s="89">
        <f>VLOOKUP(N190,[1]Nifty_D!$B$2:$F$6600,5,0)</f>
        <v>19733.55</v>
      </c>
      <c r="P190" s="92">
        <f t="shared" si="12"/>
        <v>-2.2625807071385839E-3</v>
      </c>
      <c r="Q190" s="7" t="s">
        <v>28</v>
      </c>
      <c r="R190" s="4">
        <v>19800</v>
      </c>
      <c r="S190" s="102"/>
      <c r="T190" s="102"/>
      <c r="U190" s="7" t="s">
        <v>90</v>
      </c>
      <c r="V190" s="4">
        <v>65</v>
      </c>
      <c r="W190" s="5">
        <v>127.2</v>
      </c>
      <c r="X190" s="5">
        <v>3.5</v>
      </c>
      <c r="Y190" s="8">
        <v>-0.26319999999999999</v>
      </c>
      <c r="Z190" s="8">
        <v>0.628</v>
      </c>
      <c r="AA190" s="5">
        <v>123.7</v>
      </c>
      <c r="AB190" s="6">
        <v>6.2543292396212017E-3</v>
      </c>
      <c r="AC190" s="4">
        <v>0</v>
      </c>
      <c r="AD190" s="6">
        <v>0</v>
      </c>
      <c r="AE190" s="5">
        <v>37050.1</v>
      </c>
      <c r="AF190" s="5">
        <v>37232.699999999997</v>
      </c>
      <c r="AG190" s="5">
        <v>182.6</v>
      </c>
      <c r="AH190" s="5">
        <v>0.49280000000000002</v>
      </c>
      <c r="AI190" s="4">
        <v>7</v>
      </c>
      <c r="AJ190" s="5">
        <v>-0.11666700000000001</v>
      </c>
      <c r="AK190" s="5">
        <v>139.3749</v>
      </c>
      <c r="AL190" s="5">
        <v>0.37619999999999998</v>
      </c>
      <c r="AM190" s="8">
        <v>-0.59130000000000005</v>
      </c>
      <c r="AN190" s="8">
        <v>2.1497999999999999</v>
      </c>
      <c r="AO190" s="15">
        <v>417.97489999999999</v>
      </c>
      <c r="AP190" s="15">
        <v>1.7847999999999999</v>
      </c>
      <c r="AQ190" s="5">
        <v>109.4738</v>
      </c>
      <c r="AR190" s="5">
        <v>109.4738</v>
      </c>
      <c r="AS190" s="4">
        <v>0</v>
      </c>
      <c r="AT190" s="4">
        <v>0</v>
      </c>
      <c r="AU190" s="8">
        <v>1.6117999999999999</v>
      </c>
      <c r="AV190" s="8">
        <v>1.1816</v>
      </c>
      <c r="AW190" s="8">
        <v>1.1816</v>
      </c>
      <c r="AX190" s="5">
        <v>108.82510000000001</v>
      </c>
      <c r="AY190" s="5">
        <v>0.51200000000000001</v>
      </c>
      <c r="AZ190" s="7" t="s">
        <v>91</v>
      </c>
    </row>
    <row r="191" spans="1:52" ht="18" customHeight="1" x14ac:dyDescent="0.25">
      <c r="A191" s="10">
        <v>95</v>
      </c>
      <c r="B191" s="10">
        <v>2</v>
      </c>
      <c r="C191" s="10">
        <v>95</v>
      </c>
      <c r="D191" s="86">
        <v>45133</v>
      </c>
      <c r="E191" s="86">
        <v>45140</v>
      </c>
      <c r="F191" s="86">
        <v>45169</v>
      </c>
      <c r="G191" s="11">
        <v>19778.3</v>
      </c>
      <c r="H191" s="11">
        <v>19526.55</v>
      </c>
      <c r="I191" s="12"/>
      <c r="J191" s="12"/>
      <c r="K191" s="91">
        <f t="array" ref="K191">MAX(IF((D191&lt;[1]Nifty_D!$B$2:$B$6600)*(E191&gt;=[1]Nifty_D!$B$2:$B$6600),[1]Nifty_D!$F$2:$F$6600,""))</f>
        <v>19753.8</v>
      </c>
      <c r="L191" s="92">
        <f t="shared" si="10"/>
        <v>-1.2387313368692476E-3</v>
      </c>
      <c r="M191" s="91">
        <f t="shared" si="11"/>
        <v>8129.9</v>
      </c>
      <c r="N191" s="93">
        <f t="array" ref="N191">INDEX([1]Nifty_D!$B$2:$B$6600,MATCH(E191,[1]Nifty_D!$B$2:$B$6600,0)-1)</f>
        <v>45139</v>
      </c>
      <c r="O191" s="89">
        <f>VLOOKUP(N191,[1]Nifty_D!$B$2:$F$6600,5,0)</f>
        <v>19733.55</v>
      </c>
      <c r="P191" s="92">
        <f t="shared" si="12"/>
        <v>-2.2625807071385839E-3</v>
      </c>
      <c r="Q191" s="12" t="s">
        <v>40</v>
      </c>
      <c r="R191" s="10">
        <v>20000</v>
      </c>
      <c r="S191" s="103">
        <f>MROUND(G191,500)</f>
        <v>20000</v>
      </c>
      <c r="T191" s="103">
        <f>S191-R191</f>
        <v>0</v>
      </c>
      <c r="U191" s="12" t="s">
        <v>92</v>
      </c>
      <c r="V191" s="10">
        <v>65</v>
      </c>
      <c r="W191" s="11">
        <v>315.39999999999998</v>
      </c>
      <c r="X191" s="11">
        <v>470.3</v>
      </c>
      <c r="Y191" s="13">
        <v>-0.27479999999999999</v>
      </c>
      <c r="Z191" s="13">
        <v>1.1449</v>
      </c>
      <c r="AA191" s="10">
        <v>0</v>
      </c>
      <c r="AB191" s="14">
        <v>0</v>
      </c>
      <c r="AC191" s="11">
        <v>154.9</v>
      </c>
      <c r="AD191" s="14">
        <v>7.8318156767770743E-3</v>
      </c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 t="s">
        <v>91</v>
      </c>
    </row>
    <row r="192" spans="1:52" ht="18" hidden="1" customHeight="1" x14ac:dyDescent="0.25">
      <c r="A192" s="4">
        <v>96</v>
      </c>
      <c r="B192" s="4">
        <v>1</v>
      </c>
      <c r="C192" s="4">
        <v>96</v>
      </c>
      <c r="D192" s="85">
        <v>45140</v>
      </c>
      <c r="E192" s="85">
        <v>45147</v>
      </c>
      <c r="F192" s="85">
        <v>45148</v>
      </c>
      <c r="G192" s="5">
        <v>19526.55</v>
      </c>
      <c r="H192" s="5">
        <v>19632.55</v>
      </c>
      <c r="I192" s="4">
        <v>106</v>
      </c>
      <c r="J192" s="6">
        <v>5.428506315759825E-3</v>
      </c>
      <c r="K192" s="91">
        <f t="array" ref="K192">MAX(IF((D192&lt;[1]Nifty_D!$B$2:$B$6600)*(E192&gt;=[1]Nifty_D!$B$2:$B$6600),[1]Nifty_D!$F$2:$F$6600,""))</f>
        <v>19632.55</v>
      </c>
      <c r="L192" s="92">
        <f t="shared" si="10"/>
        <v>5.4285063157597513E-3</v>
      </c>
      <c r="M192" s="91">
        <f t="shared" si="11"/>
        <v>8008.65</v>
      </c>
      <c r="N192" s="93">
        <f t="array" ref="N192">INDEX([1]Nifty_D!$B$2:$B$6600,MATCH(E192,[1]Nifty_D!$B$2:$B$6600,0)-1)</f>
        <v>45146</v>
      </c>
      <c r="O192" s="89">
        <f>VLOOKUP(N192,[1]Nifty_D!$B$2:$F$6600,5,0)</f>
        <v>19570.849999999999</v>
      </c>
      <c r="P192" s="92">
        <f t="shared" si="12"/>
        <v>2.2687059413977195E-3</v>
      </c>
      <c r="Q192" s="7" t="s">
        <v>28</v>
      </c>
      <c r="R192" s="4">
        <v>19500</v>
      </c>
      <c r="S192" s="102"/>
      <c r="T192" s="102"/>
      <c r="U192" s="7" t="s">
        <v>90</v>
      </c>
      <c r="V192" s="4">
        <v>65</v>
      </c>
      <c r="W192" s="5">
        <v>148.1</v>
      </c>
      <c r="X192" s="5">
        <v>148.35</v>
      </c>
      <c r="Y192" s="8">
        <v>-8.5300000000000001E-2</v>
      </c>
      <c r="Z192" s="8">
        <v>0.53620000000000001</v>
      </c>
      <c r="AA192" s="5">
        <v>-0.25</v>
      </c>
      <c r="AB192" s="6">
        <v>-1.280308093339581E-5</v>
      </c>
      <c r="AC192" s="4">
        <v>0</v>
      </c>
      <c r="AD192" s="6">
        <v>0</v>
      </c>
      <c r="AE192" s="5">
        <v>37232.699999999997</v>
      </c>
      <c r="AF192" s="4">
        <v>38037</v>
      </c>
      <c r="AG192" s="5">
        <v>804.3</v>
      </c>
      <c r="AH192" s="5">
        <v>2.1602000000000001</v>
      </c>
      <c r="AI192" s="4">
        <v>7</v>
      </c>
      <c r="AJ192" s="5">
        <v>-0.11666700000000001</v>
      </c>
      <c r="AK192" s="5">
        <v>760.86189999999999</v>
      </c>
      <c r="AL192" s="5">
        <v>2.0434999999999999</v>
      </c>
      <c r="AM192" s="8">
        <v>-0.37069999999999997</v>
      </c>
      <c r="AN192" s="8">
        <v>2.0985999999999998</v>
      </c>
      <c r="AO192" s="15">
        <v>656.61189999999999</v>
      </c>
      <c r="AP192" s="15">
        <v>1.5096000000000001</v>
      </c>
      <c r="AQ192" s="5">
        <v>111.1264</v>
      </c>
      <c r="AR192" s="5">
        <v>111.1264</v>
      </c>
      <c r="AS192" s="4">
        <v>0</v>
      </c>
      <c r="AT192" s="4">
        <v>0</v>
      </c>
      <c r="AU192" s="8">
        <v>1.4346000000000001</v>
      </c>
      <c r="AV192" s="8">
        <v>1.0645</v>
      </c>
      <c r="AW192" s="8">
        <v>1.0645</v>
      </c>
      <c r="AX192" s="5">
        <v>110.6392</v>
      </c>
      <c r="AY192" s="5">
        <v>1.0645</v>
      </c>
      <c r="AZ192" s="7" t="s">
        <v>91</v>
      </c>
    </row>
    <row r="193" spans="1:52" ht="18" customHeight="1" x14ac:dyDescent="0.25">
      <c r="A193" s="10">
        <v>96</v>
      </c>
      <c r="B193" s="10">
        <v>2</v>
      </c>
      <c r="C193" s="10">
        <v>96</v>
      </c>
      <c r="D193" s="86">
        <v>45140</v>
      </c>
      <c r="E193" s="86">
        <v>45147</v>
      </c>
      <c r="F193" s="86">
        <v>45169</v>
      </c>
      <c r="G193" s="11">
        <v>19526.55</v>
      </c>
      <c r="H193" s="11">
        <v>19632.55</v>
      </c>
      <c r="I193" s="12"/>
      <c r="J193" s="12"/>
      <c r="K193" s="91">
        <f t="array" ref="K193">MAX(IF((D193&lt;[1]Nifty_D!$B$2:$B$6600)*(E193&gt;=[1]Nifty_D!$B$2:$B$6600),[1]Nifty_D!$F$2:$F$6600,""))</f>
        <v>19632.55</v>
      </c>
      <c r="L193" s="92">
        <f t="shared" si="10"/>
        <v>5.4285063157597513E-3</v>
      </c>
      <c r="M193" s="91">
        <f t="shared" si="11"/>
        <v>8008.65</v>
      </c>
      <c r="N193" s="93">
        <f t="array" ref="N193">INDEX([1]Nifty_D!$B$2:$B$6600,MATCH(E193,[1]Nifty_D!$B$2:$B$6600,0)-1)</f>
        <v>45146</v>
      </c>
      <c r="O193" s="89">
        <f>VLOOKUP(N193,[1]Nifty_D!$B$2:$F$6600,5,0)</f>
        <v>19570.849999999999</v>
      </c>
      <c r="P193" s="92">
        <f t="shared" si="12"/>
        <v>2.2687059413977195E-3</v>
      </c>
      <c r="Q193" s="12" t="s">
        <v>40</v>
      </c>
      <c r="R193" s="10">
        <v>20000</v>
      </c>
      <c r="S193" s="103">
        <f>MROUND(G193,500)</f>
        <v>19500</v>
      </c>
      <c r="T193" s="103">
        <f>S193-R193</f>
        <v>-500</v>
      </c>
      <c r="U193" s="12" t="s">
        <v>92</v>
      </c>
      <c r="V193" s="10">
        <v>65</v>
      </c>
      <c r="W193" s="11">
        <v>470.3</v>
      </c>
      <c r="X193" s="11">
        <v>366.3</v>
      </c>
      <c r="Y193" s="13">
        <v>-0.57869999999999999</v>
      </c>
      <c r="Z193" s="13">
        <v>0.89900000000000002</v>
      </c>
      <c r="AA193" s="10">
        <v>0</v>
      </c>
      <c r="AB193" s="14">
        <v>0</v>
      </c>
      <c r="AC193" s="10">
        <v>-104</v>
      </c>
      <c r="AD193" s="14">
        <v>-5.3260816682926581E-3</v>
      </c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 t="s">
        <v>91</v>
      </c>
    </row>
    <row r="194" spans="1:52" ht="18" hidden="1" customHeight="1" x14ac:dyDescent="0.25">
      <c r="A194" s="4">
        <v>97</v>
      </c>
      <c r="B194" s="4">
        <v>1</v>
      </c>
      <c r="C194" s="4">
        <v>97</v>
      </c>
      <c r="D194" s="85">
        <v>45147</v>
      </c>
      <c r="E194" s="85">
        <v>45154</v>
      </c>
      <c r="F194" s="85">
        <v>45155</v>
      </c>
      <c r="G194" s="5">
        <v>19632.55</v>
      </c>
      <c r="H194" s="4">
        <v>19465</v>
      </c>
      <c r="I194" s="5">
        <v>-167.55</v>
      </c>
      <c r="J194" s="6">
        <v>-8.5342963598717438E-3</v>
      </c>
      <c r="K194" s="91">
        <f t="array" ref="K194">MAX(IF((D194&lt;[1]Nifty_D!$B$2:$B$6600)*(E194&gt;=[1]Nifty_D!$B$2:$B$6600),[1]Nifty_D!$F$2:$F$6600,""))</f>
        <v>19543.099999999999</v>
      </c>
      <c r="L194" s="92">
        <f t="shared" si="10"/>
        <v>-4.5562089489139534E-3</v>
      </c>
      <c r="M194" s="91">
        <f t="shared" si="11"/>
        <v>7919.1999999999989</v>
      </c>
      <c r="N194" s="93">
        <f t="array" ref="N194">INDEX([1]Nifty_D!$B$2:$B$6600,MATCH(E194,[1]Nifty_D!$B$2:$B$6600,0)-1)</f>
        <v>45152</v>
      </c>
      <c r="O194" s="89">
        <f>VLOOKUP(N194,[1]Nifty_D!$B$2:$F$6600,5,0)</f>
        <v>19434.55</v>
      </c>
      <c r="P194" s="92">
        <f t="shared" si="12"/>
        <v>-1.0085292027780413E-2</v>
      </c>
      <c r="Q194" s="7" t="s">
        <v>28</v>
      </c>
      <c r="R194" s="4">
        <v>19600</v>
      </c>
      <c r="S194" s="102"/>
      <c r="T194" s="102"/>
      <c r="U194" s="7" t="s">
        <v>90</v>
      </c>
      <c r="V194" s="4">
        <v>65</v>
      </c>
      <c r="W194" s="5">
        <v>134.75</v>
      </c>
      <c r="X194" s="5">
        <v>6.45</v>
      </c>
      <c r="Y194" s="8">
        <v>-2.3699999999999999E-2</v>
      </c>
      <c r="Z194" s="8">
        <v>0.66649999999999998</v>
      </c>
      <c r="AA194" s="5">
        <v>128.30000000000001</v>
      </c>
      <c r="AB194" s="6">
        <v>6.5350654907284089E-3</v>
      </c>
      <c r="AC194" s="4">
        <v>0</v>
      </c>
      <c r="AD194" s="6">
        <v>0</v>
      </c>
      <c r="AE194" s="4">
        <v>38037</v>
      </c>
      <c r="AF194" s="5">
        <v>37801.65</v>
      </c>
      <c r="AG194" s="5">
        <v>-235.35</v>
      </c>
      <c r="AH194" s="5">
        <v>-0.61870000000000003</v>
      </c>
      <c r="AI194" s="4">
        <v>7</v>
      </c>
      <c r="AJ194" s="5">
        <v>-0.11666700000000001</v>
      </c>
      <c r="AK194" s="5">
        <v>-279.72649999999999</v>
      </c>
      <c r="AL194" s="5">
        <v>-0.73540000000000005</v>
      </c>
      <c r="AM194" s="8">
        <v>-2.1280000000000001</v>
      </c>
      <c r="AN194" s="8">
        <v>0.31709999999999999</v>
      </c>
      <c r="AO194" s="15">
        <v>11.573499999999999</v>
      </c>
      <c r="AP194" s="15">
        <v>0.74839999999999995</v>
      </c>
      <c r="AQ194" s="5">
        <v>111.9581</v>
      </c>
      <c r="AR194" s="5">
        <v>111.9581</v>
      </c>
      <c r="AS194" s="4">
        <v>0</v>
      </c>
      <c r="AT194" s="4">
        <v>0</v>
      </c>
      <c r="AU194" s="8">
        <v>0.379</v>
      </c>
      <c r="AV194" s="8">
        <v>0.2077</v>
      </c>
      <c r="AW194" s="8">
        <v>0.2077</v>
      </c>
      <c r="AX194" s="5">
        <v>111.35720000000001</v>
      </c>
      <c r="AY194" s="5">
        <v>0.2077</v>
      </c>
      <c r="AZ194" s="7" t="s">
        <v>91</v>
      </c>
    </row>
    <row r="195" spans="1:52" ht="18" customHeight="1" x14ac:dyDescent="0.25">
      <c r="A195" s="10">
        <v>97</v>
      </c>
      <c r="B195" s="10">
        <v>2</v>
      </c>
      <c r="C195" s="10">
        <v>97</v>
      </c>
      <c r="D195" s="86">
        <v>45147</v>
      </c>
      <c r="E195" s="86">
        <v>45154</v>
      </c>
      <c r="F195" s="86">
        <v>45169</v>
      </c>
      <c r="G195" s="11">
        <v>19632.55</v>
      </c>
      <c r="H195" s="10">
        <v>19465</v>
      </c>
      <c r="I195" s="12"/>
      <c r="J195" s="12"/>
      <c r="K195" s="91">
        <f t="array" ref="K195">MAX(IF((D195&lt;[1]Nifty_D!$B$2:$B$6600)*(E195&gt;=[1]Nifty_D!$B$2:$B$6600),[1]Nifty_D!$F$2:$F$6600,""))</f>
        <v>19543.099999999999</v>
      </c>
      <c r="L195" s="92">
        <f t="shared" si="10"/>
        <v>-4.5562089489139534E-3</v>
      </c>
      <c r="M195" s="91">
        <f t="shared" si="11"/>
        <v>7919.1999999999989</v>
      </c>
      <c r="N195" s="93">
        <f t="array" ref="N195">INDEX([1]Nifty_D!$B$2:$B$6600,MATCH(E195,[1]Nifty_D!$B$2:$B$6600,0)-1)</f>
        <v>45152</v>
      </c>
      <c r="O195" s="89">
        <f>VLOOKUP(N195,[1]Nifty_D!$B$2:$F$6600,5,0)</f>
        <v>19434.55</v>
      </c>
      <c r="P195" s="92">
        <f t="shared" si="12"/>
        <v>-1.0085292027780413E-2</v>
      </c>
      <c r="Q195" s="12" t="s">
        <v>40</v>
      </c>
      <c r="R195" s="10">
        <v>20000</v>
      </c>
      <c r="S195" s="103">
        <f>MROUND(G195,500)</f>
        <v>19500</v>
      </c>
      <c r="T195" s="103">
        <f>S195-R195</f>
        <v>-500</v>
      </c>
      <c r="U195" s="12" t="s">
        <v>92</v>
      </c>
      <c r="V195" s="10">
        <v>65</v>
      </c>
      <c r="W195" s="11">
        <v>366.3</v>
      </c>
      <c r="X195" s="11">
        <v>529.29999999999995</v>
      </c>
      <c r="Y195" s="13">
        <v>8.5599999999999996E-2</v>
      </c>
      <c r="Z195" s="13">
        <v>1.6692</v>
      </c>
      <c r="AA195" s="10">
        <v>0</v>
      </c>
      <c r="AB195" s="14">
        <v>0</v>
      </c>
      <c r="AC195" s="10">
        <v>163</v>
      </c>
      <c r="AD195" s="14">
        <v>8.302538386506084E-3</v>
      </c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 t="s">
        <v>91</v>
      </c>
    </row>
    <row r="196" spans="1:52" ht="18" hidden="1" customHeight="1" x14ac:dyDescent="0.25">
      <c r="A196" s="4">
        <v>98</v>
      </c>
      <c r="B196" s="4">
        <v>1</v>
      </c>
      <c r="C196" s="4">
        <v>98</v>
      </c>
      <c r="D196" s="85">
        <v>45154</v>
      </c>
      <c r="E196" s="85">
        <v>45161</v>
      </c>
      <c r="F196" s="85">
        <v>45162</v>
      </c>
      <c r="G196" s="4">
        <v>19465</v>
      </c>
      <c r="H196" s="4">
        <v>19444</v>
      </c>
      <c r="I196" s="4">
        <v>-21</v>
      </c>
      <c r="J196" s="6">
        <v>-1.0788594913948111E-3</v>
      </c>
      <c r="K196" s="91">
        <f t="array" ref="K196">MAX(IF((D196&lt;[1]Nifty_D!$B$2:$B$6600)*(E196&gt;=[1]Nifty_D!$B$2:$B$6600),[1]Nifty_D!$F$2:$F$6600,""))</f>
        <v>19444</v>
      </c>
      <c r="L196" s="92">
        <f t="shared" si="10"/>
        <v>-1.0788594913948568E-3</v>
      </c>
      <c r="M196" s="91">
        <f t="shared" si="11"/>
        <v>7820.1</v>
      </c>
      <c r="N196" s="93">
        <f t="array" ref="N196">INDEX([1]Nifty_D!$B$2:$B$6600,MATCH(E196,[1]Nifty_D!$B$2:$B$6600,0)-1)</f>
        <v>45160</v>
      </c>
      <c r="O196" s="89">
        <f>VLOOKUP(N196,[1]Nifty_D!$B$2:$F$6600,5,0)</f>
        <v>19396.45</v>
      </c>
      <c r="P196" s="92">
        <f t="shared" si="12"/>
        <v>-3.521705625481597E-3</v>
      </c>
      <c r="Q196" s="7" t="s">
        <v>28</v>
      </c>
      <c r="R196" s="4">
        <v>19500</v>
      </c>
      <c r="S196" s="102"/>
      <c r="T196" s="102"/>
      <c r="U196" s="7" t="s">
        <v>90</v>
      </c>
      <c r="V196" s="4">
        <v>65</v>
      </c>
      <c r="W196" s="4">
        <v>90</v>
      </c>
      <c r="X196" s="5">
        <v>19.45</v>
      </c>
      <c r="Y196" s="8">
        <v>3.6700000000000003E-2</v>
      </c>
      <c r="Z196" s="8">
        <v>0.41720000000000002</v>
      </c>
      <c r="AA196" s="5">
        <v>70.55</v>
      </c>
      <c r="AB196" s="6">
        <v>3.6244541484716161E-3</v>
      </c>
      <c r="AC196" s="4">
        <v>0</v>
      </c>
      <c r="AD196" s="6">
        <v>0</v>
      </c>
      <c r="AE196" s="5">
        <v>37801.65</v>
      </c>
      <c r="AF196" s="5">
        <v>38694.65</v>
      </c>
      <c r="AG196" s="4">
        <v>893</v>
      </c>
      <c r="AH196" s="5">
        <v>2.3622999999999998</v>
      </c>
      <c r="AI196" s="4">
        <v>7</v>
      </c>
      <c r="AJ196" s="5">
        <v>-0.11666700000000001</v>
      </c>
      <c r="AK196" s="5">
        <v>848.8981</v>
      </c>
      <c r="AL196" s="5">
        <v>2.2456999999999998</v>
      </c>
      <c r="AM196" s="8">
        <v>-0.26200000000000001</v>
      </c>
      <c r="AN196" s="8">
        <v>2.6053999999999999</v>
      </c>
      <c r="AO196" s="15">
        <v>957.04809999999998</v>
      </c>
      <c r="AP196" s="15">
        <v>2.8012999999999999</v>
      </c>
      <c r="AQ196" s="5">
        <v>115.09439999999999</v>
      </c>
      <c r="AR196" s="5">
        <v>115.09439999999999</v>
      </c>
      <c r="AS196" s="4">
        <v>0</v>
      </c>
      <c r="AT196" s="4">
        <v>0</v>
      </c>
      <c r="AU196" s="8">
        <v>2.6503000000000001</v>
      </c>
      <c r="AV196" s="8">
        <v>1.1732</v>
      </c>
      <c r="AW196" s="8">
        <v>1.1732</v>
      </c>
      <c r="AX196" s="5">
        <v>113.27160000000001</v>
      </c>
      <c r="AY196" s="5">
        <v>1.1732</v>
      </c>
      <c r="AZ196" s="7" t="s">
        <v>91</v>
      </c>
    </row>
    <row r="197" spans="1:52" ht="18" customHeight="1" x14ac:dyDescent="0.25">
      <c r="A197" s="10">
        <v>98</v>
      </c>
      <c r="B197" s="10">
        <v>2</v>
      </c>
      <c r="C197" s="10">
        <v>98</v>
      </c>
      <c r="D197" s="86">
        <v>45154</v>
      </c>
      <c r="E197" s="86">
        <v>45161</v>
      </c>
      <c r="F197" s="86">
        <v>45169</v>
      </c>
      <c r="G197" s="10">
        <v>19465</v>
      </c>
      <c r="H197" s="10">
        <v>19444</v>
      </c>
      <c r="I197" s="12"/>
      <c r="J197" s="12"/>
      <c r="K197" s="91">
        <f t="array" ref="K197">MAX(IF((D197&lt;[1]Nifty_D!$B$2:$B$6600)*(E197&gt;=[1]Nifty_D!$B$2:$B$6600),[1]Nifty_D!$F$2:$F$6600,""))</f>
        <v>19444</v>
      </c>
      <c r="L197" s="92">
        <f t="shared" si="10"/>
        <v>-1.0788594913948568E-3</v>
      </c>
      <c r="M197" s="91">
        <f t="shared" si="11"/>
        <v>7820.1</v>
      </c>
      <c r="N197" s="93">
        <f t="array" ref="N197">INDEX([1]Nifty_D!$B$2:$B$6600,MATCH(E197,[1]Nifty_D!$B$2:$B$6600,0)-1)</f>
        <v>45160</v>
      </c>
      <c r="O197" s="89">
        <f>VLOOKUP(N197,[1]Nifty_D!$B$2:$F$6600,5,0)</f>
        <v>19396.45</v>
      </c>
      <c r="P197" s="92">
        <f t="shared" si="12"/>
        <v>-3.521705625481597E-3</v>
      </c>
      <c r="Q197" s="12" t="s">
        <v>40</v>
      </c>
      <c r="R197" s="10">
        <v>20000</v>
      </c>
      <c r="S197" s="103">
        <f>MROUND(G197,500)</f>
        <v>19500</v>
      </c>
      <c r="T197" s="103">
        <f>S197-R197</f>
        <v>-500</v>
      </c>
      <c r="U197" s="12" t="s">
        <v>92</v>
      </c>
      <c r="V197" s="10">
        <v>65</v>
      </c>
      <c r="W197" s="11">
        <v>529.29999999999995</v>
      </c>
      <c r="X197" s="11">
        <v>566.9</v>
      </c>
      <c r="Y197" s="13">
        <v>8.2000000000000007E-3</v>
      </c>
      <c r="Z197" s="13">
        <v>1.018</v>
      </c>
      <c r="AA197" s="10">
        <v>0</v>
      </c>
      <c r="AB197" s="14">
        <v>0</v>
      </c>
      <c r="AC197" s="11">
        <v>37.6</v>
      </c>
      <c r="AD197" s="14">
        <v>1.931672232211662E-3</v>
      </c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 t="s">
        <v>91</v>
      </c>
    </row>
    <row r="198" spans="1:52" ht="18" hidden="1" customHeight="1" x14ac:dyDescent="0.25">
      <c r="A198" s="4">
        <v>99</v>
      </c>
      <c r="B198" s="4">
        <v>1</v>
      </c>
      <c r="C198" s="4">
        <v>99</v>
      </c>
      <c r="D198" s="85">
        <v>45161</v>
      </c>
      <c r="E198" s="85">
        <v>45168</v>
      </c>
      <c r="F198" s="85">
        <v>45169</v>
      </c>
      <c r="G198" s="4">
        <v>19444</v>
      </c>
      <c r="H198" s="5">
        <v>19347.45</v>
      </c>
      <c r="I198" s="5">
        <v>-96.55</v>
      </c>
      <c r="J198" s="6">
        <v>-4.9655420695330181E-3</v>
      </c>
      <c r="K198" s="91">
        <f t="array" ref="K198">MAX(IF((D198&lt;[1]Nifty_D!$B$2:$B$6600)*(E198&gt;=[1]Nifty_D!$B$2:$B$6600),[1]Nifty_D!$F$2:$F$6600,""))</f>
        <v>19386.7</v>
      </c>
      <c r="L198" s="92">
        <f t="shared" si="10"/>
        <v>-2.9469245011314316E-3</v>
      </c>
      <c r="M198" s="91">
        <f t="shared" si="11"/>
        <v>7762.8000000000011</v>
      </c>
      <c r="N198" s="93">
        <f t="array" ref="N198">INDEX([1]Nifty_D!$B$2:$B$6600,MATCH(E198,[1]Nifty_D!$B$2:$B$6600,0)-1)</f>
        <v>45167</v>
      </c>
      <c r="O198" s="89">
        <f>VLOOKUP(N198,[1]Nifty_D!$B$2:$F$6600,5,0)</f>
        <v>19342.650000000001</v>
      </c>
      <c r="P198" s="92">
        <f t="shared" si="12"/>
        <v>-5.2124048549679891E-3</v>
      </c>
      <c r="Q198" s="7" t="s">
        <v>28</v>
      </c>
      <c r="R198" s="4">
        <v>19400</v>
      </c>
      <c r="S198" s="102"/>
      <c r="T198" s="102"/>
      <c r="U198" s="7" t="s">
        <v>90</v>
      </c>
      <c r="V198" s="4">
        <v>65</v>
      </c>
      <c r="W198" s="5">
        <v>121.35</v>
      </c>
      <c r="X198" s="5">
        <v>19.100000000000001</v>
      </c>
      <c r="Y198" s="8">
        <v>-0.4708</v>
      </c>
      <c r="Z198" s="8">
        <v>0.53800000000000003</v>
      </c>
      <c r="AA198" s="5">
        <v>102.25</v>
      </c>
      <c r="AB198" s="6">
        <v>5.2586916272371938E-3</v>
      </c>
      <c r="AC198" s="4">
        <v>0</v>
      </c>
      <c r="AD198" s="6">
        <v>0</v>
      </c>
      <c r="AE198" s="5">
        <v>38694.65</v>
      </c>
      <c r="AF198" s="5">
        <v>39077.550000000003</v>
      </c>
      <c r="AG198" s="5">
        <v>382.9</v>
      </c>
      <c r="AH198" s="5">
        <v>0.98950000000000005</v>
      </c>
      <c r="AI198" s="4">
        <v>7</v>
      </c>
      <c r="AJ198" s="5">
        <v>-0.11666700000000001</v>
      </c>
      <c r="AK198" s="5">
        <v>337.75619999999998</v>
      </c>
      <c r="AL198" s="5">
        <v>0.87290000000000001</v>
      </c>
      <c r="AM198" s="8">
        <v>-0.83289999999999997</v>
      </c>
      <c r="AN198" s="8">
        <v>1.0638000000000001</v>
      </c>
      <c r="AO198" s="15">
        <v>525.65620000000001</v>
      </c>
      <c r="AP198" s="15">
        <v>1.8392999999999999</v>
      </c>
      <c r="AQ198" s="5">
        <v>117.21129999999999</v>
      </c>
      <c r="AR198" s="5">
        <v>117.21129999999999</v>
      </c>
      <c r="AS198" s="4">
        <v>0</v>
      </c>
      <c r="AT198" s="4">
        <v>0</v>
      </c>
      <c r="AU198" s="8">
        <v>-0.1057</v>
      </c>
      <c r="AV198" s="8">
        <v>0.8054</v>
      </c>
      <c r="AW198" s="8">
        <v>-0.1057</v>
      </c>
      <c r="AX198" s="5">
        <v>114.9727</v>
      </c>
      <c r="AY198" s="5">
        <v>-0.1057</v>
      </c>
      <c r="AZ198" s="7" t="s">
        <v>91</v>
      </c>
    </row>
    <row r="199" spans="1:52" ht="18" customHeight="1" x14ac:dyDescent="0.25">
      <c r="A199" s="10">
        <v>99</v>
      </c>
      <c r="B199" s="10">
        <v>2</v>
      </c>
      <c r="C199" s="10">
        <v>99</v>
      </c>
      <c r="D199" s="86">
        <v>45161</v>
      </c>
      <c r="E199" s="86">
        <v>45168</v>
      </c>
      <c r="F199" s="86">
        <v>45169</v>
      </c>
      <c r="G199" s="10">
        <v>19444</v>
      </c>
      <c r="H199" s="11">
        <v>19347.45</v>
      </c>
      <c r="I199" s="12"/>
      <c r="J199" s="12"/>
      <c r="K199" s="91">
        <f t="array" ref="K199">MAX(IF((D199&lt;[1]Nifty_D!$B$2:$B$6600)*(E199&gt;=[1]Nifty_D!$B$2:$B$6600),[1]Nifty_D!$F$2:$F$6600,""))</f>
        <v>19386.7</v>
      </c>
      <c r="L199" s="92">
        <f t="shared" si="10"/>
        <v>-2.9469245011314316E-3</v>
      </c>
      <c r="M199" s="91">
        <f t="shared" si="11"/>
        <v>7762.8000000000011</v>
      </c>
      <c r="N199" s="93">
        <f t="array" ref="N199">INDEX([1]Nifty_D!$B$2:$B$6600,MATCH(E199,[1]Nifty_D!$B$2:$B$6600,0)-1)</f>
        <v>45167</v>
      </c>
      <c r="O199" s="89">
        <f>VLOOKUP(N199,[1]Nifty_D!$B$2:$F$6600,5,0)</f>
        <v>19342.650000000001</v>
      </c>
      <c r="P199" s="92">
        <f t="shared" si="12"/>
        <v>-5.2124048549679891E-3</v>
      </c>
      <c r="Q199" s="12" t="s">
        <v>40</v>
      </c>
      <c r="R199" s="10">
        <v>20000</v>
      </c>
      <c r="S199" s="103">
        <f>MROUND(G199,500)</f>
        <v>19500</v>
      </c>
      <c r="T199" s="103">
        <f>S199-R199</f>
        <v>-500</v>
      </c>
      <c r="U199" s="12" t="s">
        <v>92</v>
      </c>
      <c r="V199" s="10">
        <v>65</v>
      </c>
      <c r="W199" s="11">
        <v>566.9</v>
      </c>
      <c r="X199" s="11">
        <v>652.54999999999995</v>
      </c>
      <c r="Y199" s="13">
        <v>-0.69869999999999999</v>
      </c>
      <c r="Z199" s="13">
        <v>1.1003000000000001</v>
      </c>
      <c r="AA199" s="10">
        <v>0</v>
      </c>
      <c r="AB199" s="14">
        <v>0</v>
      </c>
      <c r="AC199" s="11">
        <v>85.65</v>
      </c>
      <c r="AD199" s="14">
        <v>4.4049578276074888E-3</v>
      </c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 t="s">
        <v>91</v>
      </c>
    </row>
    <row r="200" spans="1:52" ht="18" hidden="1" customHeight="1" x14ac:dyDescent="0.25">
      <c r="A200" s="4">
        <v>100</v>
      </c>
      <c r="B200" s="4">
        <v>1</v>
      </c>
      <c r="C200" s="4">
        <v>100</v>
      </c>
      <c r="D200" s="85">
        <v>45168</v>
      </c>
      <c r="E200" s="85">
        <v>45174</v>
      </c>
      <c r="F200" s="85">
        <v>45176</v>
      </c>
      <c r="G200" s="5">
        <v>19347.45</v>
      </c>
      <c r="H200" s="5">
        <v>19574.900000000001</v>
      </c>
      <c r="I200" s="5">
        <v>227.45</v>
      </c>
      <c r="J200" s="6">
        <v>1.1756071213519089E-2</v>
      </c>
      <c r="K200" s="91">
        <f t="array" ref="K200">MAX(IF((D200&lt;[1]Nifty_D!$B$2:$B$6600)*(E200&gt;=[1]Nifty_D!$B$2:$B$6600),[1]Nifty_D!$F$2:$F$6600,""))</f>
        <v>19574.900000000001</v>
      </c>
      <c r="L200" s="92">
        <f t="shared" ref="L200:L263" si="13">K200/G200-1</f>
        <v>1.1756071213519181E-2</v>
      </c>
      <c r="M200" s="91">
        <f t="shared" ref="M200:M263" si="14">K200-$G$2</f>
        <v>7951.0000000000018</v>
      </c>
      <c r="N200" s="93">
        <f t="array" ref="N200">INDEX([1]Nifty_D!$B$2:$B$6600,MATCH(E200,[1]Nifty_D!$B$2:$B$6600,0)-1)</f>
        <v>45173</v>
      </c>
      <c r="O200" s="89">
        <f>VLOOKUP(N200,[1]Nifty_D!$B$2:$F$6600,5,0)</f>
        <v>19528.8</v>
      </c>
      <c r="P200" s="92">
        <f t="shared" ref="P200:P263" si="15">O200/G200-1</f>
        <v>9.373328268066361E-3</v>
      </c>
      <c r="Q200" s="7" t="s">
        <v>28</v>
      </c>
      <c r="R200" s="4">
        <v>19300</v>
      </c>
      <c r="S200" s="102"/>
      <c r="T200" s="102"/>
      <c r="U200" s="7" t="s">
        <v>90</v>
      </c>
      <c r="V200" s="4">
        <v>65</v>
      </c>
      <c r="W200" s="5">
        <v>156.80000000000001</v>
      </c>
      <c r="X200" s="5">
        <v>285.8</v>
      </c>
      <c r="Y200" s="8">
        <v>-0.71950000000000003</v>
      </c>
      <c r="Z200" s="8">
        <v>0.31269999999999998</v>
      </c>
      <c r="AA200" s="4">
        <v>-129</v>
      </c>
      <c r="AB200" s="6">
        <v>-6.6675453354318008E-3</v>
      </c>
      <c r="AC200" s="4">
        <v>0</v>
      </c>
      <c r="AD200" s="6">
        <v>0</v>
      </c>
      <c r="AE200" s="5">
        <v>39077.550000000003</v>
      </c>
      <c r="AF200" s="5">
        <v>40253.599999999999</v>
      </c>
      <c r="AG200" s="5">
        <v>1176.05</v>
      </c>
      <c r="AH200" s="5">
        <v>3.0095000000000001</v>
      </c>
      <c r="AI200" s="4">
        <v>6</v>
      </c>
      <c r="AJ200" s="5">
        <v>-0.1</v>
      </c>
      <c r="AK200" s="5">
        <v>1136.9724000000001</v>
      </c>
      <c r="AL200" s="5">
        <v>2.9095</v>
      </c>
      <c r="AM200" s="8">
        <v>-0.30230000000000001</v>
      </c>
      <c r="AN200" s="8">
        <v>3.0051999999999999</v>
      </c>
      <c r="AO200" s="15">
        <v>879.87239999999997</v>
      </c>
      <c r="AP200" s="15">
        <v>1.5806</v>
      </c>
      <c r="AQ200" s="5">
        <v>119.06399999999999</v>
      </c>
      <c r="AR200" s="5">
        <v>119.06399999999999</v>
      </c>
      <c r="AS200" s="4">
        <v>0</v>
      </c>
      <c r="AT200" s="4">
        <v>0</v>
      </c>
      <c r="AU200" s="8">
        <v>1.6057999999999999</v>
      </c>
      <c r="AV200" s="8">
        <v>0.1706</v>
      </c>
      <c r="AW200" s="8">
        <v>0.1706</v>
      </c>
      <c r="AX200" s="5">
        <v>117.4113</v>
      </c>
      <c r="AY200" s="5">
        <v>0.1706</v>
      </c>
      <c r="AZ200" s="7" t="s">
        <v>97</v>
      </c>
    </row>
    <row r="201" spans="1:52" ht="18" customHeight="1" x14ac:dyDescent="0.25">
      <c r="A201" s="10">
        <v>100</v>
      </c>
      <c r="B201" s="10">
        <v>2</v>
      </c>
      <c r="C201" s="10">
        <v>100</v>
      </c>
      <c r="D201" s="86">
        <v>45168</v>
      </c>
      <c r="E201" s="86">
        <v>45174</v>
      </c>
      <c r="F201" s="86">
        <v>45197</v>
      </c>
      <c r="G201" s="11">
        <v>19347.45</v>
      </c>
      <c r="H201" s="11">
        <v>19574.900000000001</v>
      </c>
      <c r="I201" s="12"/>
      <c r="J201" s="12"/>
      <c r="K201" s="91">
        <f t="array" ref="K201">MAX(IF((D201&lt;[1]Nifty_D!$B$2:$B$6600)*(E201&gt;=[1]Nifty_D!$B$2:$B$6600),[1]Nifty_D!$F$2:$F$6600,""))</f>
        <v>19574.900000000001</v>
      </c>
      <c r="L201" s="92">
        <f t="shared" si="13"/>
        <v>1.1756071213519181E-2</v>
      </c>
      <c r="M201" s="91">
        <f t="shared" si="14"/>
        <v>7951.0000000000018</v>
      </c>
      <c r="N201" s="93">
        <f t="array" ref="N201">INDEX([1]Nifty_D!$B$2:$B$6600,MATCH(E201,[1]Nifty_D!$B$2:$B$6600,0)-1)</f>
        <v>45173</v>
      </c>
      <c r="O201" s="89">
        <f>VLOOKUP(N201,[1]Nifty_D!$B$2:$F$6600,5,0)</f>
        <v>19528.8</v>
      </c>
      <c r="P201" s="92">
        <f t="shared" si="15"/>
        <v>9.373328268066361E-3</v>
      </c>
      <c r="Q201" s="12" t="s">
        <v>40</v>
      </c>
      <c r="R201" s="10">
        <v>19500</v>
      </c>
      <c r="S201" s="103">
        <f>MROUND(G201,500)</f>
        <v>19500</v>
      </c>
      <c r="T201" s="103">
        <f>S201-R201</f>
        <v>0</v>
      </c>
      <c r="U201" s="12" t="s">
        <v>92</v>
      </c>
      <c r="V201" s="10">
        <v>65</v>
      </c>
      <c r="W201" s="11">
        <v>247.15</v>
      </c>
      <c r="X201" s="11">
        <v>119.05</v>
      </c>
      <c r="Y201" s="13">
        <v>-0.67989999999999995</v>
      </c>
      <c r="Z201" s="13">
        <v>0.16020000000000001</v>
      </c>
      <c r="AA201" s="10">
        <v>0</v>
      </c>
      <c r="AB201" s="14">
        <v>0</v>
      </c>
      <c r="AC201" s="11">
        <v>-128.1</v>
      </c>
      <c r="AD201" s="14">
        <v>-6.6210275772776248E-3</v>
      </c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 t="s">
        <v>97</v>
      </c>
    </row>
    <row r="202" spans="1:52" ht="18" hidden="1" customHeight="1" x14ac:dyDescent="0.25">
      <c r="A202" s="4">
        <v>101</v>
      </c>
      <c r="B202" s="4">
        <v>1</v>
      </c>
      <c r="C202" s="4">
        <v>101</v>
      </c>
      <c r="D202" s="85">
        <v>45174</v>
      </c>
      <c r="E202" s="85">
        <v>45175</v>
      </c>
      <c r="F202" s="85">
        <v>45176</v>
      </c>
      <c r="G202" s="5">
        <v>19574.900000000001</v>
      </c>
      <c r="H202" s="5">
        <v>19611.05</v>
      </c>
      <c r="I202" s="5">
        <v>36.15</v>
      </c>
      <c r="J202" s="6">
        <v>1.8467527292604299E-3</v>
      </c>
      <c r="K202" s="91">
        <f t="array" ref="K202">MAX(IF((D202&lt;[1]Nifty_D!$B$2:$B$6600)*(E202&gt;=[1]Nifty_D!$B$2:$B$6600),[1]Nifty_D!$F$2:$F$6600,""))</f>
        <v>19611.05</v>
      </c>
      <c r="L202" s="92">
        <f t="shared" si="13"/>
        <v>1.8467527292602703E-3</v>
      </c>
      <c r="M202" s="91">
        <f t="shared" si="14"/>
        <v>7987.15</v>
      </c>
      <c r="N202" s="93">
        <f t="array" ref="N202">INDEX([1]Nifty_D!$B$2:$B$6600,MATCH(E202,[1]Nifty_D!$B$2:$B$6600,0)-1)</f>
        <v>45174</v>
      </c>
      <c r="O202" s="89">
        <f>VLOOKUP(N202,[1]Nifty_D!$B$2:$F$6600,5,0)</f>
        <v>19574.900000000001</v>
      </c>
      <c r="P202" s="92">
        <f t="shared" si="15"/>
        <v>0</v>
      </c>
      <c r="Q202" s="7" t="s">
        <v>28</v>
      </c>
      <c r="R202" s="4">
        <v>19600</v>
      </c>
      <c r="S202" s="102"/>
      <c r="T202" s="102"/>
      <c r="U202" s="7" t="s">
        <v>90</v>
      </c>
      <c r="V202" s="4">
        <v>65</v>
      </c>
      <c r="W202" s="5">
        <v>40.799999999999997</v>
      </c>
      <c r="X202" s="5">
        <v>32.450000000000003</v>
      </c>
      <c r="Y202" s="8">
        <v>-1.5100000000000001E-2</v>
      </c>
      <c r="Z202" s="8">
        <v>0.1663</v>
      </c>
      <c r="AA202" s="5">
        <v>8.35</v>
      </c>
      <c r="AB202" s="6">
        <v>4.265666746701132E-4</v>
      </c>
      <c r="AC202" s="4">
        <v>0</v>
      </c>
      <c r="AD202" s="6">
        <v>0</v>
      </c>
      <c r="AE202" s="5">
        <v>40253.599999999999</v>
      </c>
      <c r="AF202" s="5">
        <v>40284.1</v>
      </c>
      <c r="AG202" s="5">
        <v>30.5</v>
      </c>
      <c r="AH202" s="5">
        <v>7.5800000000000006E-2</v>
      </c>
      <c r="AI202" s="4">
        <v>1</v>
      </c>
      <c r="AJ202" s="5">
        <v>-1.6667000000000001E-2</v>
      </c>
      <c r="AK202" s="5">
        <v>23.7911</v>
      </c>
      <c r="AL202" s="5">
        <v>5.91E-2</v>
      </c>
      <c r="AM202" s="8">
        <v>-0.2621</v>
      </c>
      <c r="AN202" s="8">
        <v>0.29060000000000002</v>
      </c>
      <c r="AO202" s="15">
        <v>26.641100000000002</v>
      </c>
      <c r="AP202" s="15">
        <v>7.3700000000000002E-2</v>
      </c>
      <c r="AQ202" s="5">
        <v>119.15170000000001</v>
      </c>
      <c r="AR202" s="5">
        <v>119.15170000000001</v>
      </c>
      <c r="AS202" s="4">
        <v>0</v>
      </c>
      <c r="AT202" s="4">
        <v>0</v>
      </c>
      <c r="AU202" s="8">
        <v>0.22209999999999999</v>
      </c>
      <c r="AV202" s="8">
        <v>9.2499999999999999E-2</v>
      </c>
      <c r="AW202" s="8">
        <v>7.3700000000000002E-2</v>
      </c>
      <c r="AX202" s="5">
        <v>119.15170000000001</v>
      </c>
      <c r="AY202" s="5">
        <v>7.3700000000000002E-2</v>
      </c>
      <c r="AZ202" s="7" t="s">
        <v>91</v>
      </c>
    </row>
    <row r="203" spans="1:52" ht="18" customHeight="1" x14ac:dyDescent="0.25">
      <c r="A203" s="10">
        <v>101</v>
      </c>
      <c r="B203" s="10">
        <v>2</v>
      </c>
      <c r="C203" s="10">
        <v>101</v>
      </c>
      <c r="D203" s="86">
        <v>45174</v>
      </c>
      <c r="E203" s="86">
        <v>45175</v>
      </c>
      <c r="F203" s="86">
        <v>45197</v>
      </c>
      <c r="G203" s="11">
        <v>19574.900000000001</v>
      </c>
      <c r="H203" s="11">
        <v>19611.05</v>
      </c>
      <c r="I203" s="12"/>
      <c r="J203" s="12"/>
      <c r="K203" s="91">
        <f t="array" ref="K203">MAX(IF((D203&lt;[1]Nifty_D!$B$2:$B$6600)*(E203&gt;=[1]Nifty_D!$B$2:$B$6600),[1]Nifty_D!$F$2:$F$6600,""))</f>
        <v>19611.05</v>
      </c>
      <c r="L203" s="92">
        <f t="shared" si="13"/>
        <v>1.8467527292602703E-3</v>
      </c>
      <c r="M203" s="91">
        <f t="shared" si="14"/>
        <v>7987.15</v>
      </c>
      <c r="N203" s="93">
        <f t="array" ref="N203">INDEX([1]Nifty_D!$B$2:$B$6600,MATCH(E203,[1]Nifty_D!$B$2:$B$6600,0)-1)</f>
        <v>45174</v>
      </c>
      <c r="O203" s="89">
        <f>VLOOKUP(N203,[1]Nifty_D!$B$2:$F$6600,5,0)</f>
        <v>19574.900000000001</v>
      </c>
      <c r="P203" s="92">
        <f t="shared" si="15"/>
        <v>0</v>
      </c>
      <c r="Q203" s="12" t="s">
        <v>40</v>
      </c>
      <c r="R203" s="10">
        <v>19500</v>
      </c>
      <c r="S203" s="103">
        <f>MROUND(G203,500)</f>
        <v>19500</v>
      </c>
      <c r="T203" s="103">
        <f>S203-R203</f>
        <v>0</v>
      </c>
      <c r="U203" s="12" t="s">
        <v>92</v>
      </c>
      <c r="V203" s="10">
        <v>65</v>
      </c>
      <c r="W203" s="11">
        <v>119.05</v>
      </c>
      <c r="X203" s="11">
        <v>113.55</v>
      </c>
      <c r="Y203" s="13">
        <v>-5.3400000000000003E-2</v>
      </c>
      <c r="Z203" s="13">
        <v>0.1883</v>
      </c>
      <c r="AA203" s="10">
        <v>0</v>
      </c>
      <c r="AB203" s="14">
        <v>0</v>
      </c>
      <c r="AC203" s="11">
        <v>-5.5</v>
      </c>
      <c r="AD203" s="14">
        <v>-2.8097206115995481E-4</v>
      </c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 t="s">
        <v>91</v>
      </c>
    </row>
    <row r="204" spans="1:52" ht="18" hidden="1" customHeight="1" x14ac:dyDescent="0.25">
      <c r="A204" s="4">
        <v>102</v>
      </c>
      <c r="B204" s="4">
        <v>1</v>
      </c>
      <c r="C204" s="4">
        <v>102</v>
      </c>
      <c r="D204" s="85">
        <v>45175</v>
      </c>
      <c r="E204" s="85">
        <v>45177</v>
      </c>
      <c r="F204" s="85">
        <v>45183</v>
      </c>
      <c r="G204" s="5">
        <v>19611.05</v>
      </c>
      <c r="H204" s="5">
        <v>19819.95</v>
      </c>
      <c r="I204" s="5">
        <v>208.9</v>
      </c>
      <c r="J204" s="6">
        <v>1.0652157839585339E-2</v>
      </c>
      <c r="K204" s="91">
        <f t="array" ref="K204">MAX(IF((D204&lt;[1]Nifty_D!$B$2:$B$6600)*(E204&gt;=[1]Nifty_D!$B$2:$B$6600),[1]Nifty_D!$F$2:$F$6600,""))</f>
        <v>19819.95</v>
      </c>
      <c r="L204" s="92">
        <f t="shared" si="13"/>
        <v>1.0652157839585508E-2</v>
      </c>
      <c r="M204" s="91">
        <f t="shared" si="14"/>
        <v>8196.0500000000011</v>
      </c>
      <c r="N204" s="93">
        <f t="array" ref="N204">INDEX([1]Nifty_D!$B$2:$B$6600,MATCH(E204,[1]Nifty_D!$B$2:$B$6600,0)-1)</f>
        <v>45176</v>
      </c>
      <c r="O204" s="89">
        <f>VLOOKUP(N204,[1]Nifty_D!$B$2:$F$6600,5,0)</f>
        <v>19727.05</v>
      </c>
      <c r="P204" s="92">
        <f t="shared" si="15"/>
        <v>5.91503259641879E-3</v>
      </c>
      <c r="Q204" s="7" t="s">
        <v>28</v>
      </c>
      <c r="R204" s="4">
        <v>19600</v>
      </c>
      <c r="S204" s="102"/>
      <c r="T204" s="102"/>
      <c r="U204" s="7" t="s">
        <v>90</v>
      </c>
      <c r="V204" s="4">
        <v>65</v>
      </c>
      <c r="W204" s="5">
        <v>102.5</v>
      </c>
      <c r="X204" s="5">
        <v>252.05</v>
      </c>
      <c r="Y204" s="8">
        <v>-0.96730000000000005</v>
      </c>
      <c r="Z204" s="8">
        <v>0.14180000000000001</v>
      </c>
      <c r="AA204" s="5">
        <v>-149.55000000000001</v>
      </c>
      <c r="AB204" s="6">
        <v>-7.6258027999520691E-3</v>
      </c>
      <c r="AC204" s="4">
        <v>0</v>
      </c>
      <c r="AD204" s="6">
        <v>0</v>
      </c>
      <c r="AE204" s="5">
        <v>40284.1</v>
      </c>
      <c r="AF204" s="5">
        <v>40977.75</v>
      </c>
      <c r="AG204" s="5">
        <v>693.65</v>
      </c>
      <c r="AH204" s="5">
        <v>1.7219</v>
      </c>
      <c r="AI204" s="4">
        <v>2</v>
      </c>
      <c r="AJ204" s="5">
        <v>-3.3333000000000002E-2</v>
      </c>
      <c r="AK204" s="5">
        <v>680.22199999999998</v>
      </c>
      <c r="AL204" s="5">
        <v>1.6886000000000001</v>
      </c>
      <c r="AM204" s="8">
        <v>-1.67E-2</v>
      </c>
      <c r="AN204" s="8">
        <v>1.7708999999999999</v>
      </c>
      <c r="AO204" s="15">
        <v>477.42200000000003</v>
      </c>
      <c r="AP204" s="15">
        <v>0.65449999999999997</v>
      </c>
      <c r="AQ204" s="5">
        <v>119.9316</v>
      </c>
      <c r="AR204" s="5">
        <v>119.9316</v>
      </c>
      <c r="AS204" s="4">
        <v>0</v>
      </c>
      <c r="AT204" s="4">
        <v>0</v>
      </c>
      <c r="AU204" s="8">
        <v>0.504</v>
      </c>
      <c r="AV204" s="8">
        <v>0.23169999999999999</v>
      </c>
      <c r="AW204" s="8">
        <v>0.23169999999999999</v>
      </c>
      <c r="AX204" s="5">
        <v>119.4278</v>
      </c>
      <c r="AY204" s="5">
        <v>0.23169999999999999</v>
      </c>
      <c r="AZ204" s="7" t="s">
        <v>97</v>
      </c>
    </row>
    <row r="205" spans="1:52" ht="18" customHeight="1" x14ac:dyDescent="0.25">
      <c r="A205" s="10">
        <v>102</v>
      </c>
      <c r="B205" s="10">
        <v>2</v>
      </c>
      <c r="C205" s="10">
        <v>102</v>
      </c>
      <c r="D205" s="86">
        <v>45175</v>
      </c>
      <c r="E205" s="86">
        <v>45177</v>
      </c>
      <c r="F205" s="86">
        <v>45197</v>
      </c>
      <c r="G205" s="11">
        <v>19611.05</v>
      </c>
      <c r="H205" s="11">
        <v>19819.95</v>
      </c>
      <c r="I205" s="12"/>
      <c r="J205" s="12"/>
      <c r="K205" s="91">
        <f t="array" ref="K205">MAX(IF((D205&lt;[1]Nifty_D!$B$2:$B$6600)*(E205&gt;=[1]Nifty_D!$B$2:$B$6600),[1]Nifty_D!$F$2:$F$6600,""))</f>
        <v>19819.95</v>
      </c>
      <c r="L205" s="92">
        <f t="shared" si="13"/>
        <v>1.0652157839585508E-2</v>
      </c>
      <c r="M205" s="91">
        <f t="shared" si="14"/>
        <v>8196.0500000000011</v>
      </c>
      <c r="N205" s="93">
        <f t="array" ref="N205">INDEX([1]Nifty_D!$B$2:$B$6600,MATCH(E205,[1]Nifty_D!$B$2:$B$6600,0)-1)</f>
        <v>45176</v>
      </c>
      <c r="O205" s="89">
        <f>VLOOKUP(N205,[1]Nifty_D!$B$2:$F$6600,5,0)</f>
        <v>19727.05</v>
      </c>
      <c r="P205" s="92">
        <f t="shared" si="15"/>
        <v>5.91503259641879E-3</v>
      </c>
      <c r="Q205" s="12" t="s">
        <v>40</v>
      </c>
      <c r="R205" s="10">
        <v>19500</v>
      </c>
      <c r="S205" s="103">
        <f>MROUND(G205,500)</f>
        <v>19500</v>
      </c>
      <c r="T205" s="103">
        <f>S205-R205</f>
        <v>0</v>
      </c>
      <c r="U205" s="12" t="s">
        <v>92</v>
      </c>
      <c r="V205" s="10">
        <v>65</v>
      </c>
      <c r="W205" s="11">
        <v>113.55</v>
      </c>
      <c r="X205" s="11">
        <v>60.3</v>
      </c>
      <c r="Y205" s="13">
        <v>-0.29959999999999998</v>
      </c>
      <c r="Z205" s="13">
        <v>0.1066</v>
      </c>
      <c r="AA205" s="10">
        <v>0</v>
      </c>
      <c r="AB205" s="14">
        <v>0</v>
      </c>
      <c r="AC205" s="11">
        <v>-53.25</v>
      </c>
      <c r="AD205" s="14">
        <v>-2.7153059117181388E-3</v>
      </c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 t="s">
        <v>97</v>
      </c>
    </row>
    <row r="206" spans="1:52" ht="18" hidden="1" customHeight="1" x14ac:dyDescent="0.25">
      <c r="A206" s="4">
        <v>103</v>
      </c>
      <c r="B206" s="4">
        <v>1</v>
      </c>
      <c r="C206" s="4">
        <v>103</v>
      </c>
      <c r="D206" s="85">
        <v>45177</v>
      </c>
      <c r="E206" s="85">
        <v>45182</v>
      </c>
      <c r="F206" s="85">
        <v>45183</v>
      </c>
      <c r="G206" s="5">
        <v>19819.95</v>
      </c>
      <c r="H206" s="4">
        <v>20070</v>
      </c>
      <c r="I206" s="5">
        <v>250.05</v>
      </c>
      <c r="J206" s="6">
        <v>1.2616076226226611E-2</v>
      </c>
      <c r="K206" s="91">
        <f t="array" ref="K206">MAX(IF((D206&lt;[1]Nifty_D!$B$2:$B$6600)*(E206&gt;=[1]Nifty_D!$B$2:$B$6600),[1]Nifty_D!$F$2:$F$6600,""))</f>
        <v>20070</v>
      </c>
      <c r="L206" s="92">
        <f t="shared" si="13"/>
        <v>1.2616076226226625E-2</v>
      </c>
      <c r="M206" s="91">
        <f t="shared" si="14"/>
        <v>8446.1</v>
      </c>
      <c r="N206" s="93">
        <f t="array" ref="N206">INDEX([1]Nifty_D!$B$2:$B$6600,MATCH(E206,[1]Nifty_D!$B$2:$B$6600,0)-1)</f>
        <v>45181</v>
      </c>
      <c r="O206" s="89">
        <f>VLOOKUP(N206,[1]Nifty_D!$B$2:$F$6600,5,0)</f>
        <v>19993.2</v>
      </c>
      <c r="P206" s="92">
        <f t="shared" si="15"/>
        <v>8.7411925862577178E-3</v>
      </c>
      <c r="Q206" s="7" t="s">
        <v>28</v>
      </c>
      <c r="R206" s="4">
        <v>19800</v>
      </c>
      <c r="S206" s="102"/>
      <c r="T206" s="102"/>
      <c r="U206" s="7" t="s">
        <v>90</v>
      </c>
      <c r="V206" s="4">
        <v>65</v>
      </c>
      <c r="W206" s="5">
        <v>103.5</v>
      </c>
      <c r="X206" s="5">
        <v>276.05</v>
      </c>
      <c r="Y206" s="8">
        <v>-1.0336000000000001</v>
      </c>
      <c r="Z206" s="8">
        <v>-8.6300000000000002E-2</v>
      </c>
      <c r="AA206" s="5">
        <v>-172.55</v>
      </c>
      <c r="AB206" s="6">
        <v>-8.7058746364143194E-3</v>
      </c>
      <c r="AC206" s="4">
        <v>0</v>
      </c>
      <c r="AD206" s="6">
        <v>0</v>
      </c>
      <c r="AE206" s="5">
        <v>40977.75</v>
      </c>
      <c r="AF206" s="5">
        <v>40245.1</v>
      </c>
      <c r="AG206" s="5">
        <v>-732.65</v>
      </c>
      <c r="AH206" s="5">
        <v>-1.7879</v>
      </c>
      <c r="AI206" s="4">
        <v>5</v>
      </c>
      <c r="AJ206" s="5">
        <v>-8.3333000000000004E-2</v>
      </c>
      <c r="AK206" s="5">
        <v>-766.79809999999998</v>
      </c>
      <c r="AL206" s="5">
        <v>-1.8713</v>
      </c>
      <c r="AM206" s="8">
        <v>-3.4338000000000002</v>
      </c>
      <c r="AN206" s="8">
        <v>1.6624000000000001</v>
      </c>
      <c r="AO206" s="9">
        <v>-1056.2981</v>
      </c>
      <c r="AP206" s="9">
        <v>-3.3319000000000001</v>
      </c>
      <c r="AQ206" s="5">
        <v>115.93559999999999</v>
      </c>
      <c r="AR206" s="5">
        <v>119.9316</v>
      </c>
      <c r="AS206" s="5">
        <v>-3.996</v>
      </c>
      <c r="AT206" s="5">
        <v>-3.3319000000000001</v>
      </c>
      <c r="AU206" s="8">
        <v>-4.9099999999999998E-2</v>
      </c>
      <c r="AV206" s="8">
        <v>-3.6446999999999998</v>
      </c>
      <c r="AW206" s="8">
        <v>-3.6446999999999998</v>
      </c>
      <c r="AX206" s="5">
        <v>115.5604</v>
      </c>
      <c r="AY206" s="5">
        <v>-3.6446999999999998</v>
      </c>
      <c r="AZ206" s="7" t="s">
        <v>91</v>
      </c>
    </row>
    <row r="207" spans="1:52" ht="18" customHeight="1" x14ac:dyDescent="0.25">
      <c r="A207" s="10">
        <v>103</v>
      </c>
      <c r="B207" s="10">
        <v>2</v>
      </c>
      <c r="C207" s="10">
        <v>103</v>
      </c>
      <c r="D207" s="86">
        <v>45177</v>
      </c>
      <c r="E207" s="86">
        <v>45182</v>
      </c>
      <c r="F207" s="86">
        <v>45197</v>
      </c>
      <c r="G207" s="11">
        <v>19819.95</v>
      </c>
      <c r="H207" s="10">
        <v>20070</v>
      </c>
      <c r="I207" s="12"/>
      <c r="J207" s="12"/>
      <c r="K207" s="91">
        <f t="array" ref="K207">MAX(IF((D207&lt;[1]Nifty_D!$B$2:$B$6600)*(E207&gt;=[1]Nifty_D!$B$2:$B$6600),[1]Nifty_D!$F$2:$F$6600,""))</f>
        <v>20070</v>
      </c>
      <c r="L207" s="92">
        <f t="shared" si="13"/>
        <v>1.2616076226226625E-2</v>
      </c>
      <c r="M207" s="91">
        <f t="shared" si="14"/>
        <v>8446.1</v>
      </c>
      <c r="N207" s="93">
        <f t="array" ref="N207">INDEX([1]Nifty_D!$B$2:$B$6600,MATCH(E207,[1]Nifty_D!$B$2:$B$6600,0)-1)</f>
        <v>45181</v>
      </c>
      <c r="O207" s="89">
        <f>VLOOKUP(N207,[1]Nifty_D!$B$2:$F$6600,5,0)</f>
        <v>19993.2</v>
      </c>
      <c r="P207" s="92">
        <f t="shared" si="15"/>
        <v>8.7411925862577178E-3</v>
      </c>
      <c r="Q207" s="12" t="s">
        <v>40</v>
      </c>
      <c r="R207" s="10">
        <v>20000</v>
      </c>
      <c r="S207" s="103">
        <f>MROUND(G207,500)</f>
        <v>20000</v>
      </c>
      <c r="T207" s="103">
        <f>S207-R207</f>
        <v>0</v>
      </c>
      <c r="U207" s="12" t="s">
        <v>92</v>
      </c>
      <c r="V207" s="10">
        <v>65</v>
      </c>
      <c r="W207" s="11">
        <v>232.3</v>
      </c>
      <c r="X207" s="11">
        <v>115.35</v>
      </c>
      <c r="Y207" s="13">
        <v>-0.67789999999999995</v>
      </c>
      <c r="Z207" s="13">
        <v>-0.1246</v>
      </c>
      <c r="AA207" s="10">
        <v>0</v>
      </c>
      <c r="AB207" s="14">
        <v>0</v>
      </c>
      <c r="AC207" s="11">
        <v>-116.95</v>
      </c>
      <c r="AD207" s="14">
        <v>-5.9006203345618926E-3</v>
      </c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 t="s">
        <v>91</v>
      </c>
    </row>
    <row r="208" spans="1:52" ht="18" hidden="1" customHeight="1" x14ac:dyDescent="0.25">
      <c r="A208" s="4">
        <v>104</v>
      </c>
      <c r="B208" s="4">
        <v>1</v>
      </c>
      <c r="C208" s="4">
        <v>104</v>
      </c>
      <c r="D208" s="85">
        <v>45182</v>
      </c>
      <c r="E208" s="85">
        <v>45189</v>
      </c>
      <c r="F208" s="85">
        <v>45190</v>
      </c>
      <c r="G208" s="4">
        <v>20070</v>
      </c>
      <c r="H208" s="5">
        <v>19901.400000000001</v>
      </c>
      <c r="I208" s="5">
        <v>-168.6</v>
      </c>
      <c r="J208" s="6">
        <v>-8.4005979073243642E-3</v>
      </c>
      <c r="K208" s="91">
        <f t="array" ref="K208">MAX(IF((D208&lt;[1]Nifty_D!$B$2:$B$6600)*(E208&gt;=[1]Nifty_D!$B$2:$B$6600),[1]Nifty_D!$F$2:$F$6600,""))</f>
        <v>20192.349999999999</v>
      </c>
      <c r="L208" s="92">
        <f t="shared" si="13"/>
        <v>6.0961634280018995E-3</v>
      </c>
      <c r="M208" s="91">
        <f t="shared" si="14"/>
        <v>8568.4499999999989</v>
      </c>
      <c r="N208" s="93">
        <f t="array" ref="N208">INDEX([1]Nifty_D!$B$2:$B$6600,MATCH(E208,[1]Nifty_D!$B$2:$B$6600,0)-1)</f>
        <v>45187</v>
      </c>
      <c r="O208" s="89">
        <f>VLOOKUP(N208,[1]Nifty_D!$B$2:$F$6600,5,0)</f>
        <v>20133.3</v>
      </c>
      <c r="P208" s="92">
        <f t="shared" si="15"/>
        <v>3.1539611360238418E-3</v>
      </c>
      <c r="Q208" s="7" t="s">
        <v>28</v>
      </c>
      <c r="R208" s="4">
        <v>20100</v>
      </c>
      <c r="S208" s="102"/>
      <c r="T208" s="102"/>
      <c r="U208" s="7" t="s">
        <v>90</v>
      </c>
      <c r="V208" s="4">
        <v>65</v>
      </c>
      <c r="W208" s="4">
        <v>118</v>
      </c>
      <c r="X208" s="5">
        <v>5.0999999999999996</v>
      </c>
      <c r="Y208" s="8">
        <v>-0.31390000000000001</v>
      </c>
      <c r="Z208" s="8">
        <v>0.56530000000000002</v>
      </c>
      <c r="AA208" s="5">
        <v>112.9</v>
      </c>
      <c r="AB208" s="6">
        <v>5.6253114100647738E-3</v>
      </c>
      <c r="AC208" s="4">
        <v>0</v>
      </c>
      <c r="AD208" s="6">
        <v>0</v>
      </c>
      <c r="AE208" s="5">
        <v>40245.1</v>
      </c>
      <c r="AF208" s="5">
        <v>40543.85</v>
      </c>
      <c r="AG208" s="5">
        <v>298.75</v>
      </c>
      <c r="AH208" s="5">
        <v>0.74229999999999996</v>
      </c>
      <c r="AI208" s="4">
        <v>7</v>
      </c>
      <c r="AJ208" s="5">
        <v>-0.11666700000000001</v>
      </c>
      <c r="AK208" s="5">
        <v>251.79740000000001</v>
      </c>
      <c r="AL208" s="5">
        <v>0.62570000000000003</v>
      </c>
      <c r="AM208" s="8">
        <v>4.8599999999999997E-2</v>
      </c>
      <c r="AN208" s="8">
        <v>1.7989999999999999</v>
      </c>
      <c r="AO208" s="15">
        <v>379.04739999999998</v>
      </c>
      <c r="AP208" s="15">
        <v>1.2597</v>
      </c>
      <c r="AQ208" s="5">
        <v>117.396</v>
      </c>
      <c r="AR208" s="5">
        <v>119.9316</v>
      </c>
      <c r="AS208" s="5">
        <v>-2.5356000000000001</v>
      </c>
      <c r="AT208" s="5">
        <v>-2.1141999999999999</v>
      </c>
      <c r="AU208" s="8">
        <v>1.1679999999999999</v>
      </c>
      <c r="AV208" s="8">
        <v>0.84040000000000004</v>
      </c>
      <c r="AW208" s="8">
        <v>0.84040000000000004</v>
      </c>
      <c r="AX208" s="5">
        <v>116.90989999999999</v>
      </c>
      <c r="AY208" s="5">
        <v>-2.5194999999999999</v>
      </c>
      <c r="AZ208" s="7" t="s">
        <v>91</v>
      </c>
    </row>
    <row r="209" spans="1:52" ht="18" customHeight="1" x14ac:dyDescent="0.25">
      <c r="A209" s="10">
        <v>104</v>
      </c>
      <c r="B209" s="10">
        <v>2</v>
      </c>
      <c r="C209" s="10">
        <v>104</v>
      </c>
      <c r="D209" s="86">
        <v>45182</v>
      </c>
      <c r="E209" s="86">
        <v>45189</v>
      </c>
      <c r="F209" s="86">
        <v>45197</v>
      </c>
      <c r="G209" s="10">
        <v>20070</v>
      </c>
      <c r="H209" s="11">
        <v>19901.400000000001</v>
      </c>
      <c r="I209" s="12"/>
      <c r="J209" s="12"/>
      <c r="K209" s="91">
        <f t="array" ref="K209">MAX(IF((D209&lt;[1]Nifty_D!$B$2:$B$6600)*(E209&gt;=[1]Nifty_D!$B$2:$B$6600),[1]Nifty_D!$F$2:$F$6600,""))</f>
        <v>20192.349999999999</v>
      </c>
      <c r="L209" s="92">
        <f t="shared" si="13"/>
        <v>6.0961634280018995E-3</v>
      </c>
      <c r="M209" s="91">
        <f t="shared" si="14"/>
        <v>8568.4499999999989</v>
      </c>
      <c r="N209" s="93">
        <f t="array" ref="N209">INDEX([1]Nifty_D!$B$2:$B$6600,MATCH(E209,[1]Nifty_D!$B$2:$B$6600,0)-1)</f>
        <v>45187</v>
      </c>
      <c r="O209" s="89">
        <f>VLOOKUP(N209,[1]Nifty_D!$B$2:$F$6600,5,0)</f>
        <v>20133.3</v>
      </c>
      <c r="P209" s="92">
        <f t="shared" si="15"/>
        <v>3.1539611360238418E-3</v>
      </c>
      <c r="Q209" s="12" t="s">
        <v>40</v>
      </c>
      <c r="R209" s="10">
        <v>20000</v>
      </c>
      <c r="S209" s="103">
        <f>MROUND(G209,500)</f>
        <v>20000</v>
      </c>
      <c r="T209" s="103">
        <f>S209-R209</f>
        <v>0</v>
      </c>
      <c r="U209" s="12" t="s">
        <v>92</v>
      </c>
      <c r="V209" s="10">
        <v>65</v>
      </c>
      <c r="W209" s="11">
        <v>115.35</v>
      </c>
      <c r="X209" s="11">
        <v>129.69999999999999</v>
      </c>
      <c r="Y209" s="13">
        <v>-0.31709999999999999</v>
      </c>
      <c r="Z209" s="13">
        <v>0.22650000000000001</v>
      </c>
      <c r="AA209" s="10">
        <v>0</v>
      </c>
      <c r="AB209" s="14">
        <v>0</v>
      </c>
      <c r="AC209" s="11">
        <v>14.35</v>
      </c>
      <c r="AD209" s="14">
        <v>7.1499750871948178E-4</v>
      </c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 t="s">
        <v>91</v>
      </c>
    </row>
    <row r="210" spans="1:52" ht="18" hidden="1" customHeight="1" x14ac:dyDescent="0.25">
      <c r="A210" s="4">
        <v>105</v>
      </c>
      <c r="B210" s="4">
        <v>1</v>
      </c>
      <c r="C210" s="4">
        <v>105</v>
      </c>
      <c r="D210" s="85">
        <v>45189</v>
      </c>
      <c r="E210" s="85">
        <v>45196</v>
      </c>
      <c r="F210" s="85">
        <v>45197</v>
      </c>
      <c r="G210" s="5">
        <v>19901.400000000001</v>
      </c>
      <c r="H210" s="5">
        <v>19716.45</v>
      </c>
      <c r="I210" s="5">
        <v>-184.95</v>
      </c>
      <c r="J210" s="6">
        <v>-9.2933160481172162E-3</v>
      </c>
      <c r="K210" s="91">
        <f t="array" ref="K210">MAX(IF((D210&lt;[1]Nifty_D!$B$2:$B$6600)*(E210&gt;=[1]Nifty_D!$B$2:$B$6600),[1]Nifty_D!$F$2:$F$6600,""))</f>
        <v>19742.349999999999</v>
      </c>
      <c r="L210" s="92">
        <f t="shared" si="13"/>
        <v>-7.9919000673320806E-3</v>
      </c>
      <c r="M210" s="91">
        <f t="shared" si="14"/>
        <v>8118.4499999999989</v>
      </c>
      <c r="N210" s="93">
        <f t="array" ref="N210">INDEX([1]Nifty_D!$B$2:$B$6600,MATCH(E210,[1]Nifty_D!$B$2:$B$6600,0)-1)</f>
        <v>45195</v>
      </c>
      <c r="O210" s="89">
        <f>VLOOKUP(N210,[1]Nifty_D!$B$2:$F$6600,5,0)</f>
        <v>19664.7</v>
      </c>
      <c r="P210" s="92">
        <f t="shared" si="15"/>
        <v>-1.1893635623624554E-2</v>
      </c>
      <c r="Q210" s="7" t="s">
        <v>28</v>
      </c>
      <c r="R210" s="4">
        <v>19900</v>
      </c>
      <c r="S210" s="102"/>
      <c r="T210" s="102"/>
      <c r="U210" s="7" t="s">
        <v>90</v>
      </c>
      <c r="V210" s="4">
        <v>65</v>
      </c>
      <c r="W210" s="5">
        <v>161.69999999999999</v>
      </c>
      <c r="X210" s="4">
        <v>3</v>
      </c>
      <c r="Y210" s="8">
        <v>0.1711</v>
      </c>
      <c r="Z210" s="8">
        <v>0.80149999999999999</v>
      </c>
      <c r="AA210" s="5">
        <v>158.69999999999999</v>
      </c>
      <c r="AB210" s="6">
        <v>7.9743133648889006E-3</v>
      </c>
      <c r="AC210" s="4">
        <v>0</v>
      </c>
      <c r="AD210" s="6">
        <v>0</v>
      </c>
      <c r="AE210" s="5">
        <v>40543.85</v>
      </c>
      <c r="AF210" s="5">
        <v>40640.800000000003</v>
      </c>
      <c r="AG210" s="5">
        <v>96.95</v>
      </c>
      <c r="AH210" s="5">
        <v>0.23910000000000001</v>
      </c>
      <c r="AI210" s="4">
        <v>7</v>
      </c>
      <c r="AJ210" s="5">
        <v>-0.11666700000000001</v>
      </c>
      <c r="AK210" s="5">
        <v>49.648800000000001</v>
      </c>
      <c r="AL210" s="5">
        <v>0.1225</v>
      </c>
      <c r="AM210" s="8">
        <v>-1.6456999999999999</v>
      </c>
      <c r="AN210" s="8">
        <v>0.28199999999999997</v>
      </c>
      <c r="AO210" s="15">
        <v>363.64879999999999</v>
      </c>
      <c r="AP210" s="15">
        <v>1.7002999999999999</v>
      </c>
      <c r="AQ210" s="5">
        <v>119.3921</v>
      </c>
      <c r="AR210" s="5">
        <v>119.9316</v>
      </c>
      <c r="AS210" s="5">
        <v>-0.53949999999999998</v>
      </c>
      <c r="AT210" s="5">
        <v>-0.44979999999999998</v>
      </c>
      <c r="AU210" s="8">
        <v>0.53</v>
      </c>
      <c r="AV210" s="8">
        <v>0.81399999999999995</v>
      </c>
      <c r="AW210" s="8">
        <v>0.53</v>
      </c>
      <c r="AX210" s="5">
        <v>118.01819999999999</v>
      </c>
      <c r="AY210" s="5">
        <v>-1.5953999999999999</v>
      </c>
      <c r="AZ210" s="7" t="s">
        <v>91</v>
      </c>
    </row>
    <row r="211" spans="1:52" ht="18" customHeight="1" x14ac:dyDescent="0.25">
      <c r="A211" s="10">
        <v>105</v>
      </c>
      <c r="B211" s="10">
        <v>2</v>
      </c>
      <c r="C211" s="10">
        <v>105</v>
      </c>
      <c r="D211" s="86">
        <v>45189</v>
      </c>
      <c r="E211" s="86">
        <v>45196</v>
      </c>
      <c r="F211" s="86">
        <v>45197</v>
      </c>
      <c r="G211" s="11">
        <v>19901.400000000001</v>
      </c>
      <c r="H211" s="11">
        <v>19716.45</v>
      </c>
      <c r="I211" s="12"/>
      <c r="J211" s="12"/>
      <c r="K211" s="91">
        <f t="array" ref="K211">MAX(IF((D211&lt;[1]Nifty_D!$B$2:$B$6600)*(E211&gt;=[1]Nifty_D!$B$2:$B$6600),[1]Nifty_D!$F$2:$F$6600,""))</f>
        <v>19742.349999999999</v>
      </c>
      <c r="L211" s="92">
        <f t="shared" si="13"/>
        <v>-7.9919000673320806E-3</v>
      </c>
      <c r="M211" s="91">
        <f t="shared" si="14"/>
        <v>8118.4499999999989</v>
      </c>
      <c r="N211" s="93">
        <f t="array" ref="N211">INDEX([1]Nifty_D!$B$2:$B$6600,MATCH(E211,[1]Nifty_D!$B$2:$B$6600,0)-1)</f>
        <v>45195</v>
      </c>
      <c r="O211" s="89">
        <f>VLOOKUP(N211,[1]Nifty_D!$B$2:$F$6600,5,0)</f>
        <v>19664.7</v>
      </c>
      <c r="P211" s="92">
        <f t="shared" si="15"/>
        <v>-1.1893635623624554E-2</v>
      </c>
      <c r="Q211" s="12" t="s">
        <v>40</v>
      </c>
      <c r="R211" s="10">
        <v>20000</v>
      </c>
      <c r="S211" s="103">
        <f>MROUND(G211,500)</f>
        <v>20000</v>
      </c>
      <c r="T211" s="103">
        <f>S211-R211</f>
        <v>0</v>
      </c>
      <c r="U211" s="12" t="s">
        <v>92</v>
      </c>
      <c r="V211" s="10">
        <v>65</v>
      </c>
      <c r="W211" s="11">
        <v>129.69999999999999</v>
      </c>
      <c r="X211" s="10">
        <v>285</v>
      </c>
      <c r="Y211" s="13">
        <v>7.6899999999999996E-2</v>
      </c>
      <c r="Z211" s="13">
        <v>1.6581999999999999</v>
      </c>
      <c r="AA211" s="10">
        <v>0</v>
      </c>
      <c r="AB211" s="14">
        <v>0</v>
      </c>
      <c r="AC211" s="11">
        <v>155.30000000000001</v>
      </c>
      <c r="AD211" s="14">
        <v>7.8034711125850439E-3</v>
      </c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 t="s">
        <v>91</v>
      </c>
    </row>
    <row r="212" spans="1:52" ht="18" hidden="1" customHeight="1" x14ac:dyDescent="0.25">
      <c r="A212" s="4">
        <v>106</v>
      </c>
      <c r="B212" s="4">
        <v>1</v>
      </c>
      <c r="C212" s="4">
        <v>106</v>
      </c>
      <c r="D212" s="85">
        <v>45196</v>
      </c>
      <c r="E212" s="85">
        <v>45203</v>
      </c>
      <c r="F212" s="85">
        <v>45204</v>
      </c>
      <c r="G212" s="5">
        <v>19716.45</v>
      </c>
      <c r="H212" s="5">
        <v>19436.099999999999</v>
      </c>
      <c r="I212" s="5">
        <v>-280.35000000000002</v>
      </c>
      <c r="J212" s="6">
        <v>-1.4219091164991669E-2</v>
      </c>
      <c r="K212" s="91">
        <f t="array" ref="K212">MAX(IF((D212&lt;[1]Nifty_D!$B$2:$B$6600)*(E212&gt;=[1]Nifty_D!$B$2:$B$6600),[1]Nifty_D!$F$2:$F$6600,""))</f>
        <v>19638.3</v>
      </c>
      <c r="L212" s="92">
        <f t="shared" si="13"/>
        <v>-3.9636952899736455E-3</v>
      </c>
      <c r="M212" s="91">
        <f t="shared" si="14"/>
        <v>8014.4</v>
      </c>
      <c r="N212" s="93">
        <f t="array" ref="N212">INDEX([1]Nifty_D!$B$2:$B$6600,MATCH(E212,[1]Nifty_D!$B$2:$B$6600,0)-1)</f>
        <v>45202</v>
      </c>
      <c r="O212" s="89">
        <f>VLOOKUP(N212,[1]Nifty_D!$B$2:$F$6600,5,0)</f>
        <v>19528.75</v>
      </c>
      <c r="P212" s="92">
        <f t="shared" si="15"/>
        <v>-9.5199693656820017E-3</v>
      </c>
      <c r="Q212" s="7" t="s">
        <v>28</v>
      </c>
      <c r="R212" s="4">
        <v>19700</v>
      </c>
      <c r="S212" s="102"/>
      <c r="T212" s="102"/>
      <c r="U212" s="7" t="s">
        <v>90</v>
      </c>
      <c r="V212" s="4">
        <v>65</v>
      </c>
      <c r="W212" s="5">
        <v>145.55000000000001</v>
      </c>
      <c r="X212" s="5">
        <v>1.4</v>
      </c>
      <c r="Y212" s="8">
        <v>-7.3499999999999996E-2</v>
      </c>
      <c r="Z212" s="8">
        <v>0.73240000000000005</v>
      </c>
      <c r="AA212" s="5">
        <v>144.15</v>
      </c>
      <c r="AB212" s="6">
        <v>7.3111538841931483E-3</v>
      </c>
      <c r="AC212" s="4">
        <v>0</v>
      </c>
      <c r="AD212" s="6">
        <v>0</v>
      </c>
      <c r="AE212" s="5">
        <v>40640.800000000003</v>
      </c>
      <c r="AF212" s="5">
        <v>40047.5</v>
      </c>
      <c r="AG212" s="5">
        <v>-593.29999999999995</v>
      </c>
      <c r="AH212" s="5">
        <v>-1.4599</v>
      </c>
      <c r="AI212" s="4">
        <v>7</v>
      </c>
      <c r="AJ212" s="5">
        <v>-0.11666700000000001</v>
      </c>
      <c r="AK212" s="5">
        <v>-640.71429999999998</v>
      </c>
      <c r="AL212" s="5">
        <v>-1.5765</v>
      </c>
      <c r="AM212" s="8">
        <v>-2.3136000000000001</v>
      </c>
      <c r="AN212" s="8">
        <v>0.29320000000000002</v>
      </c>
      <c r="AO212" s="9">
        <v>-400.46429999999998</v>
      </c>
      <c r="AP212" s="9">
        <v>-0.35799999999999998</v>
      </c>
      <c r="AQ212" s="5">
        <v>118.96469999999999</v>
      </c>
      <c r="AR212" s="5">
        <v>119.9316</v>
      </c>
      <c r="AS212" s="5">
        <v>-0.96689999999999998</v>
      </c>
      <c r="AT212" s="5">
        <v>-0.80620000000000003</v>
      </c>
      <c r="AU212" s="8">
        <v>0.15989999999999999</v>
      </c>
      <c r="AV212" s="8">
        <v>-0.76670000000000005</v>
      </c>
      <c r="AW212" s="8">
        <v>-0.76670000000000005</v>
      </c>
      <c r="AX212" s="5">
        <v>118.47669999999999</v>
      </c>
      <c r="AY212" s="5">
        <v>-1.2131000000000001</v>
      </c>
      <c r="AZ212" s="7" t="s">
        <v>91</v>
      </c>
    </row>
    <row r="213" spans="1:52" ht="18" customHeight="1" x14ac:dyDescent="0.25">
      <c r="A213" s="10">
        <v>106</v>
      </c>
      <c r="B213" s="10">
        <v>2</v>
      </c>
      <c r="C213" s="10">
        <v>106</v>
      </c>
      <c r="D213" s="86">
        <v>45196</v>
      </c>
      <c r="E213" s="86">
        <v>45203</v>
      </c>
      <c r="F213" s="86">
        <v>45225</v>
      </c>
      <c r="G213" s="11">
        <v>19716.45</v>
      </c>
      <c r="H213" s="11">
        <v>19436.099999999999</v>
      </c>
      <c r="I213" s="12"/>
      <c r="J213" s="12"/>
      <c r="K213" s="91">
        <f t="array" ref="K213">MAX(IF((D213&lt;[1]Nifty_D!$B$2:$B$6600)*(E213&gt;=[1]Nifty_D!$B$2:$B$6600),[1]Nifty_D!$F$2:$F$6600,""))</f>
        <v>19638.3</v>
      </c>
      <c r="L213" s="92">
        <f t="shared" si="13"/>
        <v>-3.9636952899736455E-3</v>
      </c>
      <c r="M213" s="91">
        <f t="shared" si="14"/>
        <v>8014.4</v>
      </c>
      <c r="N213" s="93">
        <f t="array" ref="N213">INDEX([1]Nifty_D!$B$2:$B$6600,MATCH(E213,[1]Nifty_D!$B$2:$B$6600,0)-1)</f>
        <v>45202</v>
      </c>
      <c r="O213" s="89">
        <f>VLOOKUP(N213,[1]Nifty_D!$B$2:$F$6600,5,0)</f>
        <v>19528.75</v>
      </c>
      <c r="P213" s="92">
        <f t="shared" si="15"/>
        <v>-9.5199693656820017E-3</v>
      </c>
      <c r="Q213" s="12" t="s">
        <v>40</v>
      </c>
      <c r="R213" s="10">
        <v>19500</v>
      </c>
      <c r="S213" s="103">
        <f>MROUND(G213,500)</f>
        <v>19500</v>
      </c>
      <c r="T213" s="103">
        <f>S213-R213</f>
        <v>0</v>
      </c>
      <c r="U213" s="12" t="s">
        <v>92</v>
      </c>
      <c r="V213" s="10">
        <v>65</v>
      </c>
      <c r="W213" s="11">
        <v>126.8</v>
      </c>
      <c r="X213" s="11">
        <v>222.9</v>
      </c>
      <c r="Y213" s="13">
        <v>-5.9799999999999999E-2</v>
      </c>
      <c r="Z213" s="13">
        <v>0.8145</v>
      </c>
      <c r="AA213" s="10">
        <v>0</v>
      </c>
      <c r="AB213" s="14">
        <v>0</v>
      </c>
      <c r="AC213" s="11">
        <v>96.1</v>
      </c>
      <c r="AD213" s="14">
        <v>4.8741025894620989E-3</v>
      </c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 t="s">
        <v>91</v>
      </c>
    </row>
    <row r="214" spans="1:52" ht="18" hidden="1" customHeight="1" x14ac:dyDescent="0.25">
      <c r="A214" s="4">
        <v>107</v>
      </c>
      <c r="B214" s="4">
        <v>1</v>
      </c>
      <c r="C214" s="4">
        <v>107</v>
      </c>
      <c r="D214" s="85">
        <v>45203</v>
      </c>
      <c r="E214" s="85">
        <v>45205</v>
      </c>
      <c r="F214" s="85">
        <v>45211</v>
      </c>
      <c r="G214" s="5">
        <v>19436.099999999999</v>
      </c>
      <c r="H214" s="5">
        <v>19653.5</v>
      </c>
      <c r="I214" s="5">
        <v>217.4</v>
      </c>
      <c r="J214" s="6">
        <v>1.1185371550876981E-2</v>
      </c>
      <c r="K214" s="91">
        <f t="array" ref="K214">MAX(IF((D214&lt;[1]Nifty_D!$B$2:$B$6600)*(E214&gt;=[1]Nifty_D!$B$2:$B$6600),[1]Nifty_D!$F$2:$F$6600,""))</f>
        <v>19653.5</v>
      </c>
      <c r="L214" s="92">
        <f t="shared" si="13"/>
        <v>1.1185371550876955E-2</v>
      </c>
      <c r="M214" s="91">
        <f t="shared" si="14"/>
        <v>8029.6</v>
      </c>
      <c r="N214" s="93">
        <f t="array" ref="N214">INDEX([1]Nifty_D!$B$2:$B$6600,MATCH(E214,[1]Nifty_D!$B$2:$B$6600,0)-1)</f>
        <v>45204</v>
      </c>
      <c r="O214" s="89">
        <f>VLOOKUP(N214,[1]Nifty_D!$B$2:$F$6600,5,0)</f>
        <v>19545.75</v>
      </c>
      <c r="P214" s="92">
        <f t="shared" si="15"/>
        <v>5.6415638939910639E-3</v>
      </c>
      <c r="Q214" s="7" t="s">
        <v>28</v>
      </c>
      <c r="R214" s="4">
        <v>19400</v>
      </c>
      <c r="S214" s="102"/>
      <c r="T214" s="102"/>
      <c r="U214" s="7" t="s">
        <v>90</v>
      </c>
      <c r="V214" s="4">
        <v>65</v>
      </c>
      <c r="W214" s="5">
        <v>139.94999999999999</v>
      </c>
      <c r="X214" s="5">
        <v>282.25</v>
      </c>
      <c r="Y214" s="8">
        <v>-0.81830000000000003</v>
      </c>
      <c r="Z214" s="8">
        <v>-8.77E-2</v>
      </c>
      <c r="AA214" s="5">
        <v>-142.30000000000001</v>
      </c>
      <c r="AB214" s="6">
        <v>-7.3214276526669458E-3</v>
      </c>
      <c r="AC214" s="4">
        <v>0</v>
      </c>
      <c r="AD214" s="6">
        <v>0</v>
      </c>
      <c r="AE214" s="5">
        <v>40047.5</v>
      </c>
      <c r="AF214" s="5">
        <v>40284.699999999997</v>
      </c>
      <c r="AG214" s="5">
        <v>237.2</v>
      </c>
      <c r="AH214" s="5">
        <v>0.59230000000000005</v>
      </c>
      <c r="AI214" s="4">
        <v>2</v>
      </c>
      <c r="AJ214" s="5">
        <v>-3.3333000000000002E-2</v>
      </c>
      <c r="AK214" s="5">
        <v>223.85079999999999</v>
      </c>
      <c r="AL214" s="5">
        <v>0.55900000000000005</v>
      </c>
      <c r="AM214" s="8">
        <v>-0.1002</v>
      </c>
      <c r="AN214" s="8">
        <v>0.86939999999999995</v>
      </c>
      <c r="AO214" s="9">
        <v>-35.3992</v>
      </c>
      <c r="AP214" s="9">
        <v>-0.77490000000000003</v>
      </c>
      <c r="AQ214" s="5">
        <v>118.0428</v>
      </c>
      <c r="AR214" s="5">
        <v>119.9316</v>
      </c>
      <c r="AS214" s="5">
        <v>-1.8888</v>
      </c>
      <c r="AT214" s="5">
        <v>-1.5749</v>
      </c>
      <c r="AU214" s="8">
        <v>-0.57250000000000001</v>
      </c>
      <c r="AV214" s="8">
        <v>-0.26019999999999999</v>
      </c>
      <c r="AW214" s="8">
        <v>-0.77490000000000003</v>
      </c>
      <c r="AX214" s="5">
        <v>118.0428</v>
      </c>
      <c r="AY214" s="5">
        <v>-1.5749</v>
      </c>
      <c r="AZ214" s="7" t="s">
        <v>95</v>
      </c>
    </row>
    <row r="215" spans="1:52" ht="18" customHeight="1" x14ac:dyDescent="0.25">
      <c r="A215" s="10">
        <v>107</v>
      </c>
      <c r="B215" s="10">
        <v>2</v>
      </c>
      <c r="C215" s="10">
        <v>107</v>
      </c>
      <c r="D215" s="86">
        <v>45203</v>
      </c>
      <c r="E215" s="86">
        <v>45205</v>
      </c>
      <c r="F215" s="86">
        <v>45225</v>
      </c>
      <c r="G215" s="11">
        <v>19436.099999999999</v>
      </c>
      <c r="H215" s="11">
        <v>19653.5</v>
      </c>
      <c r="I215" s="12"/>
      <c r="J215" s="12"/>
      <c r="K215" s="91">
        <f t="array" ref="K215">MAX(IF((D215&lt;[1]Nifty_D!$B$2:$B$6600)*(E215&gt;=[1]Nifty_D!$B$2:$B$6600),[1]Nifty_D!$F$2:$F$6600,""))</f>
        <v>19653.5</v>
      </c>
      <c r="L215" s="92">
        <f t="shared" si="13"/>
        <v>1.1185371550876955E-2</v>
      </c>
      <c r="M215" s="91">
        <f t="shared" si="14"/>
        <v>8029.6</v>
      </c>
      <c r="N215" s="93">
        <f t="array" ref="N215">INDEX([1]Nifty_D!$B$2:$B$6600,MATCH(E215,[1]Nifty_D!$B$2:$B$6600,0)-1)</f>
        <v>45204</v>
      </c>
      <c r="O215" s="89">
        <f>VLOOKUP(N215,[1]Nifty_D!$B$2:$F$6600,5,0)</f>
        <v>19545.75</v>
      </c>
      <c r="P215" s="92">
        <f t="shared" si="15"/>
        <v>5.6415638939910639E-3</v>
      </c>
      <c r="Q215" s="12" t="s">
        <v>40</v>
      </c>
      <c r="R215" s="10">
        <v>19500</v>
      </c>
      <c r="S215" s="103">
        <f>MROUND(G215,500)</f>
        <v>19500</v>
      </c>
      <c r="T215" s="103">
        <f>S215-R215</f>
        <v>0</v>
      </c>
      <c r="U215" s="12" t="s">
        <v>92</v>
      </c>
      <c r="V215" s="10">
        <v>65</v>
      </c>
      <c r="W215" s="11">
        <v>222.9</v>
      </c>
      <c r="X215" s="11">
        <v>105.95</v>
      </c>
      <c r="Y215" s="13">
        <v>-0.62360000000000004</v>
      </c>
      <c r="Z215" s="13">
        <v>-7.2300000000000003E-2</v>
      </c>
      <c r="AA215" s="10">
        <v>0</v>
      </c>
      <c r="AB215" s="14">
        <v>0</v>
      </c>
      <c r="AC215" s="11">
        <v>-116.95</v>
      </c>
      <c r="AD215" s="14">
        <v>-6.0171536470794047E-3</v>
      </c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 t="s">
        <v>95</v>
      </c>
    </row>
    <row r="216" spans="1:52" ht="18" hidden="1" customHeight="1" x14ac:dyDescent="0.25">
      <c r="A216" s="4">
        <v>108</v>
      </c>
      <c r="B216" s="4">
        <v>1</v>
      </c>
      <c r="C216" s="4">
        <v>108</v>
      </c>
      <c r="D216" s="85">
        <v>45205</v>
      </c>
      <c r="E216" s="85">
        <v>45210</v>
      </c>
      <c r="F216" s="85">
        <v>45211</v>
      </c>
      <c r="G216" s="5">
        <v>19653.5</v>
      </c>
      <c r="H216" s="5">
        <v>19811.349999999999</v>
      </c>
      <c r="I216" s="5">
        <v>157.85</v>
      </c>
      <c r="J216" s="6">
        <v>8.0316483069173428E-3</v>
      </c>
      <c r="K216" s="91">
        <f t="array" ref="K216">MAX(IF((D216&lt;[1]Nifty_D!$B$2:$B$6600)*(E216&gt;=[1]Nifty_D!$B$2:$B$6600),[1]Nifty_D!$F$2:$F$6600,""))</f>
        <v>19811.349999999999</v>
      </c>
      <c r="L216" s="92">
        <f t="shared" si="13"/>
        <v>8.0316483069171607E-3</v>
      </c>
      <c r="M216" s="91">
        <f t="shared" si="14"/>
        <v>8187.4499999999989</v>
      </c>
      <c r="N216" s="93">
        <f t="array" ref="N216">INDEX([1]Nifty_D!$B$2:$B$6600,MATCH(E216,[1]Nifty_D!$B$2:$B$6600,0)-1)</f>
        <v>45209</v>
      </c>
      <c r="O216" s="89">
        <f>VLOOKUP(N216,[1]Nifty_D!$B$2:$F$6600,5,0)</f>
        <v>19689.849999999999</v>
      </c>
      <c r="P216" s="92">
        <f t="shared" si="15"/>
        <v>1.8495433383365345E-3</v>
      </c>
      <c r="Q216" s="7" t="s">
        <v>28</v>
      </c>
      <c r="R216" s="4">
        <v>19700</v>
      </c>
      <c r="S216" s="102"/>
      <c r="T216" s="102"/>
      <c r="U216" s="7" t="s">
        <v>90</v>
      </c>
      <c r="V216" s="4">
        <v>65</v>
      </c>
      <c r="W216" s="4">
        <v>68</v>
      </c>
      <c r="X216" s="5">
        <v>134.30000000000001</v>
      </c>
      <c r="Y216" s="8">
        <v>-0.48309999999999997</v>
      </c>
      <c r="Z216" s="8">
        <v>0.25009999999999999</v>
      </c>
      <c r="AA216" s="5">
        <v>-66.3</v>
      </c>
      <c r="AB216" s="6">
        <v>-3.3734449334724089E-3</v>
      </c>
      <c r="AC216" s="4">
        <v>0</v>
      </c>
      <c r="AD216" s="6">
        <v>0</v>
      </c>
      <c r="AE216" s="5">
        <v>40284.699999999997</v>
      </c>
      <c r="AF216" s="5">
        <v>40486.25</v>
      </c>
      <c r="AG216" s="5">
        <v>201.55</v>
      </c>
      <c r="AH216" s="5">
        <v>0.50029999999999997</v>
      </c>
      <c r="AI216" s="4">
        <v>5</v>
      </c>
      <c r="AJ216" s="5">
        <v>-8.3333000000000004E-2</v>
      </c>
      <c r="AK216" s="5">
        <v>167.9794</v>
      </c>
      <c r="AL216" s="5">
        <v>0.41699999999999998</v>
      </c>
      <c r="AM216" s="8">
        <v>-1.6627000000000001</v>
      </c>
      <c r="AN216" s="8">
        <v>1.0241</v>
      </c>
      <c r="AO216" s="15">
        <v>54.129399999999997</v>
      </c>
      <c r="AP216" s="15">
        <v>-0.1623</v>
      </c>
      <c r="AQ216" s="5">
        <v>117.85120000000001</v>
      </c>
      <c r="AR216" s="5">
        <v>119.9316</v>
      </c>
      <c r="AS216" s="5">
        <v>-2.0802999999999998</v>
      </c>
      <c r="AT216" s="5">
        <v>-1.7345999999999999</v>
      </c>
      <c r="AU216" s="8">
        <v>0.28179999999999999</v>
      </c>
      <c r="AV216" s="8">
        <v>-0.98719999999999997</v>
      </c>
      <c r="AW216" s="8">
        <v>-0.98719999999999997</v>
      </c>
      <c r="AX216" s="5">
        <v>116.8775</v>
      </c>
      <c r="AY216" s="5">
        <v>-2.5465</v>
      </c>
      <c r="AZ216" s="7" t="s">
        <v>91</v>
      </c>
    </row>
    <row r="217" spans="1:52" ht="18" customHeight="1" x14ac:dyDescent="0.25">
      <c r="A217" s="10">
        <v>108</v>
      </c>
      <c r="B217" s="10">
        <v>2</v>
      </c>
      <c r="C217" s="10">
        <v>108</v>
      </c>
      <c r="D217" s="86">
        <v>45205</v>
      </c>
      <c r="E217" s="86">
        <v>45210</v>
      </c>
      <c r="F217" s="86">
        <v>45225</v>
      </c>
      <c r="G217" s="11">
        <v>19653.5</v>
      </c>
      <c r="H217" s="11">
        <v>19811.349999999999</v>
      </c>
      <c r="I217" s="12"/>
      <c r="J217" s="12"/>
      <c r="K217" s="91">
        <f t="array" ref="K217">MAX(IF((D217&lt;[1]Nifty_D!$B$2:$B$6600)*(E217&gt;=[1]Nifty_D!$B$2:$B$6600),[1]Nifty_D!$F$2:$F$6600,""))</f>
        <v>19811.349999999999</v>
      </c>
      <c r="L217" s="92">
        <f t="shared" si="13"/>
        <v>8.0316483069171607E-3</v>
      </c>
      <c r="M217" s="91">
        <f t="shared" si="14"/>
        <v>8187.4499999999989</v>
      </c>
      <c r="N217" s="93">
        <f t="array" ref="N217">INDEX([1]Nifty_D!$B$2:$B$6600,MATCH(E217,[1]Nifty_D!$B$2:$B$6600,0)-1)</f>
        <v>45209</v>
      </c>
      <c r="O217" s="89">
        <f>VLOOKUP(N217,[1]Nifty_D!$B$2:$F$6600,5,0)</f>
        <v>19689.849999999999</v>
      </c>
      <c r="P217" s="92">
        <f t="shared" si="15"/>
        <v>1.8495433383365345E-3</v>
      </c>
      <c r="Q217" s="12" t="s">
        <v>40</v>
      </c>
      <c r="R217" s="10">
        <v>19500</v>
      </c>
      <c r="S217" s="103">
        <f>MROUND(G217,500)</f>
        <v>19500</v>
      </c>
      <c r="T217" s="103">
        <f>S217-R217</f>
        <v>0</v>
      </c>
      <c r="U217" s="12" t="s">
        <v>92</v>
      </c>
      <c r="V217" s="10">
        <v>65</v>
      </c>
      <c r="W217" s="11">
        <v>105.95</v>
      </c>
      <c r="X217" s="11">
        <v>58.4</v>
      </c>
      <c r="Y217" s="13">
        <v>-0.25919999999999999</v>
      </c>
      <c r="Z217" s="13">
        <v>0.4254</v>
      </c>
      <c r="AA217" s="10">
        <v>0</v>
      </c>
      <c r="AB217" s="14">
        <v>0</v>
      </c>
      <c r="AC217" s="11">
        <v>-47.55</v>
      </c>
      <c r="AD217" s="14">
        <v>-2.419416388938357E-3</v>
      </c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 t="s">
        <v>91</v>
      </c>
    </row>
    <row r="218" spans="1:52" ht="18" hidden="1" customHeight="1" x14ac:dyDescent="0.25">
      <c r="A218" s="4">
        <v>109</v>
      </c>
      <c r="B218" s="4">
        <v>1</v>
      </c>
      <c r="C218" s="4">
        <v>109</v>
      </c>
      <c r="D218" s="85">
        <v>45210</v>
      </c>
      <c r="E218" s="85">
        <v>45217</v>
      </c>
      <c r="F218" s="85">
        <v>45218</v>
      </c>
      <c r="G218" s="5">
        <v>19811.349999999999</v>
      </c>
      <c r="H218" s="5">
        <v>19671.099999999999</v>
      </c>
      <c r="I218" s="5">
        <v>-140.25</v>
      </c>
      <c r="J218" s="6">
        <v>-7.0792752639269917E-3</v>
      </c>
      <c r="K218" s="91">
        <f t="array" ref="K218">MAX(IF((D218&lt;[1]Nifty_D!$B$2:$B$6600)*(E218&gt;=[1]Nifty_D!$B$2:$B$6600),[1]Nifty_D!$F$2:$F$6600,""))</f>
        <v>19811.5</v>
      </c>
      <c r="L218" s="92">
        <f t="shared" si="13"/>
        <v>7.5714173946028751E-6</v>
      </c>
      <c r="M218" s="91">
        <f t="shared" si="14"/>
        <v>8187.6</v>
      </c>
      <c r="N218" s="93">
        <f t="array" ref="N218">INDEX([1]Nifty_D!$B$2:$B$6600,MATCH(E218,[1]Nifty_D!$B$2:$B$6600,0)-1)</f>
        <v>45216</v>
      </c>
      <c r="O218" s="89">
        <f>VLOOKUP(N218,[1]Nifty_D!$B$2:$F$6600,5,0)</f>
        <v>19811.5</v>
      </c>
      <c r="P218" s="92">
        <f t="shared" si="15"/>
        <v>7.5714173946028751E-6</v>
      </c>
      <c r="Q218" s="7" t="s">
        <v>28</v>
      </c>
      <c r="R218" s="4">
        <v>19800</v>
      </c>
      <c r="S218" s="102"/>
      <c r="T218" s="102"/>
      <c r="U218" s="7" t="s">
        <v>90</v>
      </c>
      <c r="V218" s="4">
        <v>65</v>
      </c>
      <c r="W218" s="5">
        <v>139.85</v>
      </c>
      <c r="X218" s="5">
        <v>12.4</v>
      </c>
      <c r="Y218" s="8">
        <v>-7.6499999999999999E-2</v>
      </c>
      <c r="Z218" s="8">
        <v>0.6643</v>
      </c>
      <c r="AA218" s="5">
        <v>127.45</v>
      </c>
      <c r="AB218" s="6">
        <v>6.4331809795899831E-3</v>
      </c>
      <c r="AC218" s="4">
        <v>0</v>
      </c>
      <c r="AD218" s="6">
        <v>0</v>
      </c>
      <c r="AE218" s="5">
        <v>40486.25</v>
      </c>
      <c r="AF218" s="5">
        <v>40367.15</v>
      </c>
      <c r="AG218" s="5">
        <v>-119.1</v>
      </c>
      <c r="AH218" s="5">
        <v>-0.29420000000000002</v>
      </c>
      <c r="AI218" s="4">
        <v>7</v>
      </c>
      <c r="AJ218" s="5">
        <v>-0.11666700000000001</v>
      </c>
      <c r="AK218" s="5">
        <v>-166.334</v>
      </c>
      <c r="AL218" s="5">
        <v>-0.4108</v>
      </c>
      <c r="AM218" s="8">
        <v>-0.52949999999999997</v>
      </c>
      <c r="AN218" s="8">
        <v>0.79630000000000001</v>
      </c>
      <c r="AO218" s="9">
        <v>-37.984000000000002</v>
      </c>
      <c r="AP218" s="9">
        <v>0.23710000000000001</v>
      </c>
      <c r="AQ218" s="5">
        <v>118.1306</v>
      </c>
      <c r="AR218" s="5">
        <v>119.9316</v>
      </c>
      <c r="AS218" s="5">
        <v>-1.8008999999999999</v>
      </c>
      <c r="AT218" s="5">
        <v>-1.5016</v>
      </c>
      <c r="AU218" s="8">
        <v>0.55900000000000005</v>
      </c>
      <c r="AV218" s="8">
        <v>0.3271</v>
      </c>
      <c r="AW218" s="8">
        <v>0.23710000000000001</v>
      </c>
      <c r="AX218" s="5">
        <v>118.1306</v>
      </c>
      <c r="AY218" s="5">
        <v>-1.5016</v>
      </c>
      <c r="AZ218" s="7" t="s">
        <v>91</v>
      </c>
    </row>
    <row r="219" spans="1:52" ht="18" customHeight="1" x14ac:dyDescent="0.25">
      <c r="A219" s="10">
        <v>109</v>
      </c>
      <c r="B219" s="10">
        <v>2</v>
      </c>
      <c r="C219" s="10">
        <v>109</v>
      </c>
      <c r="D219" s="86">
        <v>45210</v>
      </c>
      <c r="E219" s="86">
        <v>45217</v>
      </c>
      <c r="F219" s="86">
        <v>45225</v>
      </c>
      <c r="G219" s="11">
        <v>19811.349999999999</v>
      </c>
      <c r="H219" s="11">
        <v>19671.099999999999</v>
      </c>
      <c r="I219" s="12"/>
      <c r="J219" s="12"/>
      <c r="K219" s="91">
        <f t="array" ref="K219">MAX(IF((D219&lt;[1]Nifty_D!$B$2:$B$6600)*(E219&gt;=[1]Nifty_D!$B$2:$B$6600),[1]Nifty_D!$F$2:$F$6600,""))</f>
        <v>19811.5</v>
      </c>
      <c r="L219" s="92">
        <f t="shared" si="13"/>
        <v>7.5714173946028751E-6</v>
      </c>
      <c r="M219" s="91">
        <f t="shared" si="14"/>
        <v>8187.6</v>
      </c>
      <c r="N219" s="93">
        <f t="array" ref="N219">INDEX([1]Nifty_D!$B$2:$B$6600,MATCH(E219,[1]Nifty_D!$B$2:$B$6600,0)-1)</f>
        <v>45216</v>
      </c>
      <c r="O219" s="89">
        <f>VLOOKUP(N219,[1]Nifty_D!$B$2:$F$6600,5,0)</f>
        <v>19811.5</v>
      </c>
      <c r="P219" s="92">
        <f t="shared" si="15"/>
        <v>7.5714173946028751E-6</v>
      </c>
      <c r="Q219" s="12" t="s">
        <v>40</v>
      </c>
      <c r="R219" s="10">
        <v>19500</v>
      </c>
      <c r="S219" s="103">
        <f>MROUND(G219,500)</f>
        <v>20000</v>
      </c>
      <c r="T219" s="103">
        <f>S219-R219</f>
        <v>500</v>
      </c>
      <c r="U219" s="12" t="s">
        <v>92</v>
      </c>
      <c r="V219" s="10">
        <v>65</v>
      </c>
      <c r="W219" s="11">
        <v>58.4</v>
      </c>
      <c r="X219" s="11">
        <v>59.3</v>
      </c>
      <c r="Y219" s="13">
        <v>-0.1608</v>
      </c>
      <c r="Z219" s="13">
        <v>0.1923</v>
      </c>
      <c r="AA219" s="10">
        <v>0</v>
      </c>
      <c r="AB219" s="14">
        <v>0</v>
      </c>
      <c r="AC219" s="11">
        <v>0.9</v>
      </c>
      <c r="AD219" s="14">
        <v>4.542850436744594E-5</v>
      </c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 t="s">
        <v>91</v>
      </c>
    </row>
    <row r="220" spans="1:52" ht="18" hidden="1" customHeight="1" x14ac:dyDescent="0.25">
      <c r="A220" s="4">
        <v>110</v>
      </c>
      <c r="B220" s="4">
        <v>1</v>
      </c>
      <c r="C220" s="4">
        <v>110</v>
      </c>
      <c r="D220" s="85">
        <v>45217</v>
      </c>
      <c r="E220" s="85">
        <v>45224</v>
      </c>
      <c r="F220" s="85">
        <v>45225</v>
      </c>
      <c r="G220" s="5">
        <v>19671.099999999999</v>
      </c>
      <c r="H220" s="5">
        <v>19122.150000000001</v>
      </c>
      <c r="I220" s="5">
        <v>-548.95000000000005</v>
      </c>
      <c r="J220" s="6">
        <v>-2.790642109490573E-2</v>
      </c>
      <c r="K220" s="91">
        <f t="array" ref="K220">MAX(IF((D220&lt;[1]Nifty_D!$B$2:$B$6600)*(E220&gt;=[1]Nifty_D!$B$2:$B$6600),[1]Nifty_D!$F$2:$F$6600,""))</f>
        <v>19624.7</v>
      </c>
      <c r="L220" s="92">
        <f t="shared" si="13"/>
        <v>-2.358790306591807E-3</v>
      </c>
      <c r="M220" s="91">
        <f t="shared" si="14"/>
        <v>8000.8000000000011</v>
      </c>
      <c r="N220" s="93">
        <f t="array" ref="N220">INDEX([1]Nifty_D!$B$2:$B$6600,MATCH(E220,[1]Nifty_D!$B$2:$B$6600,0)-1)</f>
        <v>45222</v>
      </c>
      <c r="O220" s="89">
        <f>VLOOKUP(N220,[1]Nifty_D!$B$2:$F$6600,5,0)</f>
        <v>19281.75</v>
      </c>
      <c r="P220" s="92">
        <f t="shared" si="15"/>
        <v>-1.9792995816197312E-2</v>
      </c>
      <c r="Q220" s="7" t="s">
        <v>28</v>
      </c>
      <c r="R220" s="4">
        <v>19700</v>
      </c>
      <c r="S220" s="102"/>
      <c r="T220" s="102"/>
      <c r="U220" s="7" t="s">
        <v>90</v>
      </c>
      <c r="V220" s="4">
        <v>65</v>
      </c>
      <c r="W220" s="5">
        <v>115.3</v>
      </c>
      <c r="X220" s="5">
        <v>1.95</v>
      </c>
      <c r="Y220" s="8">
        <v>0.1167</v>
      </c>
      <c r="Z220" s="8">
        <v>0.57850000000000001</v>
      </c>
      <c r="AA220" s="5">
        <v>113.35</v>
      </c>
      <c r="AB220" s="6">
        <v>5.7622603718144897E-3</v>
      </c>
      <c r="AC220" s="4">
        <v>0</v>
      </c>
      <c r="AD220" s="6">
        <v>0</v>
      </c>
      <c r="AE220" s="5">
        <v>40367.15</v>
      </c>
      <c r="AF220" s="5">
        <v>38564.25</v>
      </c>
      <c r="AG220" s="5">
        <v>-1802.9</v>
      </c>
      <c r="AH220" s="5">
        <v>-4.4663000000000004</v>
      </c>
      <c r="AI220" s="4">
        <v>7</v>
      </c>
      <c r="AJ220" s="5">
        <v>-0.11666700000000001</v>
      </c>
      <c r="AK220" s="5">
        <v>-1849.9949999999999</v>
      </c>
      <c r="AL220" s="5">
        <v>-4.5829000000000004</v>
      </c>
      <c r="AM220" s="8">
        <v>-5.5094000000000003</v>
      </c>
      <c r="AN220" s="8">
        <v>4.3E-3</v>
      </c>
      <c r="AO220" s="9">
        <v>-1419.7449999999999</v>
      </c>
      <c r="AP220" s="9">
        <v>-2.3957000000000002</v>
      </c>
      <c r="AQ220" s="5">
        <v>115.3006</v>
      </c>
      <c r="AR220" s="5">
        <v>119.9316</v>
      </c>
      <c r="AS220" s="5">
        <v>-4.6310000000000002</v>
      </c>
      <c r="AT220" s="5">
        <v>-3.8613</v>
      </c>
      <c r="AU220" s="8">
        <v>5.57E-2</v>
      </c>
      <c r="AV220" s="8">
        <v>-3.0169000000000001</v>
      </c>
      <c r="AW220" s="8">
        <v>-3.0169000000000001</v>
      </c>
      <c r="AX220" s="5">
        <v>114.5668</v>
      </c>
      <c r="AY220" s="5">
        <v>-4.4732000000000003</v>
      </c>
      <c r="AZ220" s="7" t="s">
        <v>91</v>
      </c>
    </row>
    <row r="221" spans="1:52" ht="18" customHeight="1" x14ac:dyDescent="0.25">
      <c r="A221" s="10">
        <v>110</v>
      </c>
      <c r="B221" s="10">
        <v>2</v>
      </c>
      <c r="C221" s="10">
        <v>110</v>
      </c>
      <c r="D221" s="86">
        <v>45217</v>
      </c>
      <c r="E221" s="86">
        <v>45224</v>
      </c>
      <c r="F221" s="86">
        <v>45225</v>
      </c>
      <c r="G221" s="11">
        <v>19671.099999999999</v>
      </c>
      <c r="H221" s="11">
        <v>19122.150000000001</v>
      </c>
      <c r="I221" s="12"/>
      <c r="J221" s="12"/>
      <c r="K221" s="91">
        <f t="array" ref="K221">MAX(IF((D221&lt;[1]Nifty_D!$B$2:$B$6600)*(E221&gt;=[1]Nifty_D!$B$2:$B$6600),[1]Nifty_D!$F$2:$F$6600,""))</f>
        <v>19624.7</v>
      </c>
      <c r="L221" s="92">
        <f t="shared" si="13"/>
        <v>-2.358790306591807E-3</v>
      </c>
      <c r="M221" s="91">
        <f t="shared" si="14"/>
        <v>8000.8000000000011</v>
      </c>
      <c r="N221" s="93">
        <f t="array" ref="N221">INDEX([1]Nifty_D!$B$2:$B$6600,MATCH(E221,[1]Nifty_D!$B$2:$B$6600,0)-1)</f>
        <v>45222</v>
      </c>
      <c r="O221" s="89">
        <f>VLOOKUP(N221,[1]Nifty_D!$B$2:$F$6600,5,0)</f>
        <v>19281.75</v>
      </c>
      <c r="P221" s="92">
        <f t="shared" si="15"/>
        <v>-1.9792995816197312E-2</v>
      </c>
      <c r="Q221" s="12" t="s">
        <v>40</v>
      </c>
      <c r="R221" s="10">
        <v>19500</v>
      </c>
      <c r="S221" s="103">
        <f>MROUND(G221,500)</f>
        <v>19500</v>
      </c>
      <c r="T221" s="103">
        <f>S221-R221</f>
        <v>0</v>
      </c>
      <c r="U221" s="12" t="s">
        <v>92</v>
      </c>
      <c r="V221" s="10">
        <v>65</v>
      </c>
      <c r="W221" s="11">
        <v>59.3</v>
      </c>
      <c r="X221" s="11">
        <v>376.2</v>
      </c>
      <c r="Y221" s="13">
        <v>-6.5299999999999997E-2</v>
      </c>
      <c r="Z221" s="13">
        <v>1.9139999999999999</v>
      </c>
      <c r="AA221" s="10">
        <v>0</v>
      </c>
      <c r="AB221" s="14">
        <v>0</v>
      </c>
      <c r="AC221" s="11">
        <v>316.89999999999998</v>
      </c>
      <c r="AD221" s="14">
        <v>1.6109927762046859E-2</v>
      </c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 t="s">
        <v>91</v>
      </c>
    </row>
    <row r="222" spans="1:52" ht="18" hidden="1" customHeight="1" x14ac:dyDescent="0.25">
      <c r="A222" s="4">
        <v>111</v>
      </c>
      <c r="B222" s="4">
        <v>1</v>
      </c>
      <c r="C222" s="4">
        <v>111</v>
      </c>
      <c r="D222" s="85">
        <v>45224</v>
      </c>
      <c r="E222" s="85">
        <v>45231</v>
      </c>
      <c r="F222" s="85">
        <v>45232</v>
      </c>
      <c r="G222" s="5">
        <v>19122.150000000001</v>
      </c>
      <c r="H222" s="5">
        <v>18989.150000000001</v>
      </c>
      <c r="I222" s="4">
        <v>-133</v>
      </c>
      <c r="J222" s="6">
        <v>-6.9552848398323408E-3</v>
      </c>
      <c r="K222" s="91">
        <f t="array" ref="K222">MAX(IF((D222&lt;[1]Nifty_D!$B$2:$B$6600)*(E222&gt;=[1]Nifty_D!$B$2:$B$6600),[1]Nifty_D!$F$2:$F$6600,""))</f>
        <v>19140.900000000001</v>
      </c>
      <c r="L222" s="92">
        <f t="shared" si="13"/>
        <v>9.8053827629218659E-4</v>
      </c>
      <c r="M222" s="91">
        <f t="shared" si="14"/>
        <v>7517.0000000000018</v>
      </c>
      <c r="N222" s="93">
        <f t="array" ref="N222">INDEX([1]Nifty_D!$B$2:$B$6600,MATCH(E222,[1]Nifty_D!$B$2:$B$6600,0)-1)</f>
        <v>45230</v>
      </c>
      <c r="O222" s="89">
        <f>VLOOKUP(N222,[1]Nifty_D!$B$2:$F$6600,5,0)</f>
        <v>19079.599999999999</v>
      </c>
      <c r="P222" s="92">
        <f t="shared" si="15"/>
        <v>-2.2251681949991831E-3</v>
      </c>
      <c r="Q222" s="7" t="s">
        <v>28</v>
      </c>
      <c r="R222" s="4">
        <v>19100</v>
      </c>
      <c r="S222" s="102"/>
      <c r="T222" s="102"/>
      <c r="U222" s="7" t="s">
        <v>90</v>
      </c>
      <c r="V222" s="4">
        <v>65</v>
      </c>
      <c r="W222" s="5">
        <v>180.05</v>
      </c>
      <c r="X222" s="5">
        <v>16.75</v>
      </c>
      <c r="Y222" s="8">
        <v>0.13100000000000001</v>
      </c>
      <c r="Z222" s="8">
        <v>0.86499999999999999</v>
      </c>
      <c r="AA222" s="5">
        <v>163.30000000000001</v>
      </c>
      <c r="AB222" s="6">
        <v>8.5398346943204601E-3</v>
      </c>
      <c r="AC222" s="4">
        <v>0</v>
      </c>
      <c r="AD222" s="6">
        <v>0</v>
      </c>
      <c r="AE222" s="5">
        <v>38564.25</v>
      </c>
      <c r="AF222" s="5">
        <v>38775.1</v>
      </c>
      <c r="AG222" s="5">
        <v>210.85</v>
      </c>
      <c r="AH222" s="5">
        <v>0.54669999999999996</v>
      </c>
      <c r="AI222" s="4">
        <v>7</v>
      </c>
      <c r="AJ222" s="5">
        <v>-0.11666700000000001</v>
      </c>
      <c r="AK222" s="5">
        <v>165.85839999999999</v>
      </c>
      <c r="AL222" s="5">
        <v>0.43009999999999998</v>
      </c>
      <c r="AM222" s="8">
        <v>-2.3717999999999999</v>
      </c>
      <c r="AN222" s="8">
        <v>1.3310999999999999</v>
      </c>
      <c r="AO222" s="15">
        <v>348.15839999999997</v>
      </c>
      <c r="AP222" s="15">
        <v>1.3834</v>
      </c>
      <c r="AQ222" s="5">
        <v>116.89570000000001</v>
      </c>
      <c r="AR222" s="5">
        <v>119.9316</v>
      </c>
      <c r="AS222" s="5">
        <v>-3.0358999999999998</v>
      </c>
      <c r="AT222" s="5">
        <v>-2.5314000000000001</v>
      </c>
      <c r="AU222" s="8">
        <v>1.135</v>
      </c>
      <c r="AV222" s="8">
        <v>-0.84189999999999998</v>
      </c>
      <c r="AW222" s="8">
        <v>-0.84189999999999998</v>
      </c>
      <c r="AX222" s="5">
        <v>114.32989999999999</v>
      </c>
      <c r="AY222" s="5">
        <v>-4.6707000000000001</v>
      </c>
      <c r="AZ222" s="7" t="s">
        <v>91</v>
      </c>
    </row>
    <row r="223" spans="1:52" ht="18" customHeight="1" x14ac:dyDescent="0.25">
      <c r="A223" s="10">
        <v>111</v>
      </c>
      <c r="B223" s="10">
        <v>2</v>
      </c>
      <c r="C223" s="10">
        <v>111</v>
      </c>
      <c r="D223" s="86">
        <v>45224</v>
      </c>
      <c r="E223" s="86">
        <v>45231</v>
      </c>
      <c r="F223" s="86">
        <v>45260</v>
      </c>
      <c r="G223" s="11">
        <v>19122.150000000001</v>
      </c>
      <c r="H223" s="11">
        <v>18989.150000000001</v>
      </c>
      <c r="I223" s="12"/>
      <c r="J223" s="12"/>
      <c r="K223" s="91">
        <f t="array" ref="K223">MAX(IF((D223&lt;[1]Nifty_D!$B$2:$B$6600)*(E223&gt;=[1]Nifty_D!$B$2:$B$6600),[1]Nifty_D!$F$2:$F$6600,""))</f>
        <v>19140.900000000001</v>
      </c>
      <c r="L223" s="92">
        <f t="shared" si="13"/>
        <v>9.8053827629218659E-4</v>
      </c>
      <c r="M223" s="91">
        <f t="shared" si="14"/>
        <v>7517.0000000000018</v>
      </c>
      <c r="N223" s="93">
        <f t="array" ref="N223">INDEX([1]Nifty_D!$B$2:$B$6600,MATCH(E223,[1]Nifty_D!$B$2:$B$6600,0)-1)</f>
        <v>45230</v>
      </c>
      <c r="O223" s="89">
        <f>VLOOKUP(N223,[1]Nifty_D!$B$2:$F$6600,5,0)</f>
        <v>19079.599999999999</v>
      </c>
      <c r="P223" s="92">
        <f t="shared" si="15"/>
        <v>-2.2251681949991831E-3</v>
      </c>
      <c r="Q223" s="12" t="s">
        <v>40</v>
      </c>
      <c r="R223" s="10">
        <v>19000</v>
      </c>
      <c r="S223" s="103">
        <f>MROUND(G223,500)</f>
        <v>19000</v>
      </c>
      <c r="T223" s="103">
        <f>S223-R223</f>
        <v>0</v>
      </c>
      <c r="U223" s="12" t="s">
        <v>92</v>
      </c>
      <c r="V223" s="10">
        <v>65</v>
      </c>
      <c r="W223" s="11">
        <v>188.7</v>
      </c>
      <c r="X223" s="11">
        <v>207.7</v>
      </c>
      <c r="Y223" s="13">
        <v>-0.3271</v>
      </c>
      <c r="Z223" s="13">
        <v>0.66490000000000005</v>
      </c>
      <c r="AA223" s="10">
        <v>0</v>
      </c>
      <c r="AB223" s="14">
        <v>0</v>
      </c>
      <c r="AC223" s="10">
        <v>19</v>
      </c>
      <c r="AD223" s="14">
        <v>9.9361211997604868E-4</v>
      </c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 t="s">
        <v>91</v>
      </c>
    </row>
    <row r="224" spans="1:52" ht="18" hidden="1" customHeight="1" x14ac:dyDescent="0.25">
      <c r="A224" s="4">
        <v>112</v>
      </c>
      <c r="B224" s="4">
        <v>1</v>
      </c>
      <c r="C224" s="4">
        <v>112</v>
      </c>
      <c r="D224" s="85">
        <v>45231</v>
      </c>
      <c r="E224" s="85">
        <v>45233</v>
      </c>
      <c r="F224" s="85">
        <v>45239</v>
      </c>
      <c r="G224" s="5">
        <v>18989.150000000001</v>
      </c>
      <c r="H224" s="5">
        <v>19230.599999999999</v>
      </c>
      <c r="I224" s="5">
        <v>241.45</v>
      </c>
      <c r="J224" s="6">
        <v>1.2715155759999789E-2</v>
      </c>
      <c r="K224" s="91">
        <f t="array" ref="K224">MAX(IF((D224&lt;[1]Nifty_D!$B$2:$B$6600)*(E224&gt;=[1]Nifty_D!$B$2:$B$6600),[1]Nifty_D!$F$2:$F$6600,""))</f>
        <v>19230.599999999999</v>
      </c>
      <c r="L224" s="92">
        <f t="shared" si="13"/>
        <v>1.2715155759999597E-2</v>
      </c>
      <c r="M224" s="91">
        <f t="shared" si="14"/>
        <v>7606.6999999999989</v>
      </c>
      <c r="N224" s="93">
        <f t="array" ref="N224">INDEX([1]Nifty_D!$B$2:$B$6600,MATCH(E224,[1]Nifty_D!$B$2:$B$6600,0)-1)</f>
        <v>45232</v>
      </c>
      <c r="O224" s="89">
        <f>VLOOKUP(N224,[1]Nifty_D!$B$2:$F$6600,5,0)</f>
        <v>19133.25</v>
      </c>
      <c r="P224" s="92">
        <f t="shared" si="15"/>
        <v>7.5885439843277336E-3</v>
      </c>
      <c r="Q224" s="7" t="s">
        <v>28</v>
      </c>
      <c r="R224" s="4">
        <v>19000</v>
      </c>
      <c r="S224" s="102"/>
      <c r="T224" s="102"/>
      <c r="U224" s="7" t="s">
        <v>90</v>
      </c>
      <c r="V224" s="4">
        <v>65</v>
      </c>
      <c r="W224" s="5">
        <v>133.75</v>
      </c>
      <c r="X224" s="5">
        <v>272.55</v>
      </c>
      <c r="Y224" s="8">
        <v>-1.0545</v>
      </c>
      <c r="Z224" s="8">
        <v>-0.14380000000000001</v>
      </c>
      <c r="AA224" s="5">
        <v>-138.80000000000001</v>
      </c>
      <c r="AB224" s="6">
        <v>-7.3094372312610097E-3</v>
      </c>
      <c r="AC224" s="4">
        <v>0</v>
      </c>
      <c r="AD224" s="6">
        <v>0</v>
      </c>
      <c r="AE224" s="5">
        <v>38775.1</v>
      </c>
      <c r="AF224" s="5">
        <v>39587.4</v>
      </c>
      <c r="AG224" s="5">
        <v>812.3</v>
      </c>
      <c r="AH224" s="5">
        <v>2.0949</v>
      </c>
      <c r="AI224" s="4">
        <v>2</v>
      </c>
      <c r="AJ224" s="5">
        <v>-3.3333000000000002E-2</v>
      </c>
      <c r="AK224" s="5">
        <v>799.375</v>
      </c>
      <c r="AL224" s="5">
        <v>2.0615999999999999</v>
      </c>
      <c r="AM224" s="8">
        <v>0.70620000000000005</v>
      </c>
      <c r="AN224" s="8">
        <v>2.1966000000000001</v>
      </c>
      <c r="AO224" s="15">
        <v>548.72500000000002</v>
      </c>
      <c r="AP224" s="15">
        <v>0.74160000000000004</v>
      </c>
      <c r="AQ224" s="5">
        <v>117.76260000000001</v>
      </c>
      <c r="AR224" s="5">
        <v>119.9316</v>
      </c>
      <c r="AS224" s="5">
        <v>-2.169</v>
      </c>
      <c r="AT224" s="5">
        <v>-1.8085</v>
      </c>
      <c r="AU224" s="8">
        <v>0.47439999999999999</v>
      </c>
      <c r="AV224" s="8">
        <v>0.32169999999999999</v>
      </c>
      <c r="AW224" s="8">
        <v>0.32169999999999999</v>
      </c>
      <c r="AX224" s="5">
        <v>117.2717</v>
      </c>
      <c r="AY224" s="5">
        <v>-2.2178</v>
      </c>
      <c r="AZ224" s="7" t="s">
        <v>95</v>
      </c>
    </row>
    <row r="225" spans="1:52" ht="18" customHeight="1" x14ac:dyDescent="0.25">
      <c r="A225" s="10">
        <v>112</v>
      </c>
      <c r="B225" s="10">
        <v>2</v>
      </c>
      <c r="C225" s="10">
        <v>112</v>
      </c>
      <c r="D225" s="86">
        <v>45231</v>
      </c>
      <c r="E225" s="86">
        <v>45233</v>
      </c>
      <c r="F225" s="86">
        <v>45260</v>
      </c>
      <c r="G225" s="11">
        <v>18989.150000000001</v>
      </c>
      <c r="H225" s="11">
        <v>19230.599999999999</v>
      </c>
      <c r="I225" s="12"/>
      <c r="J225" s="12"/>
      <c r="K225" s="91">
        <f t="array" ref="K225">MAX(IF((D225&lt;[1]Nifty_D!$B$2:$B$6600)*(E225&gt;=[1]Nifty_D!$B$2:$B$6600),[1]Nifty_D!$F$2:$F$6600,""))</f>
        <v>19230.599999999999</v>
      </c>
      <c r="L225" s="92">
        <f t="shared" si="13"/>
        <v>1.2715155759999597E-2</v>
      </c>
      <c r="M225" s="91">
        <f t="shared" si="14"/>
        <v>7606.6999999999989</v>
      </c>
      <c r="N225" s="93">
        <f t="array" ref="N225">INDEX([1]Nifty_D!$B$2:$B$6600,MATCH(E225,[1]Nifty_D!$B$2:$B$6600,0)-1)</f>
        <v>45232</v>
      </c>
      <c r="O225" s="89">
        <f>VLOOKUP(N225,[1]Nifty_D!$B$2:$F$6600,5,0)</f>
        <v>19133.25</v>
      </c>
      <c r="P225" s="92">
        <f t="shared" si="15"/>
        <v>7.5885439843277336E-3</v>
      </c>
      <c r="Q225" s="12" t="s">
        <v>40</v>
      </c>
      <c r="R225" s="10">
        <v>19000</v>
      </c>
      <c r="S225" s="103">
        <f>MROUND(G225,500)</f>
        <v>19000</v>
      </c>
      <c r="T225" s="103">
        <f>S225-R225</f>
        <v>0</v>
      </c>
      <c r="U225" s="12" t="s">
        <v>92</v>
      </c>
      <c r="V225" s="10">
        <v>65</v>
      </c>
      <c r="W225" s="11">
        <v>207.7</v>
      </c>
      <c r="X225" s="11">
        <v>95.85</v>
      </c>
      <c r="Y225" s="13">
        <v>-0.66769999999999996</v>
      </c>
      <c r="Z225" s="13">
        <v>-0.2407</v>
      </c>
      <c r="AA225" s="10">
        <v>0</v>
      </c>
      <c r="AB225" s="14">
        <v>0</v>
      </c>
      <c r="AC225" s="11">
        <v>-111.85</v>
      </c>
      <c r="AD225" s="14">
        <v>-5.8902057227416703E-3</v>
      </c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 t="s">
        <v>95</v>
      </c>
    </row>
    <row r="226" spans="1:52" ht="18" hidden="1" customHeight="1" x14ac:dyDescent="0.25">
      <c r="A226" s="4">
        <v>113</v>
      </c>
      <c r="B226" s="4">
        <v>1</v>
      </c>
      <c r="C226" s="4">
        <v>113</v>
      </c>
      <c r="D226" s="85">
        <v>45233</v>
      </c>
      <c r="E226" s="85">
        <v>45236</v>
      </c>
      <c r="F226" s="85">
        <v>45239</v>
      </c>
      <c r="G226" s="5">
        <v>19230.599999999999</v>
      </c>
      <c r="H226" s="5">
        <v>19411.75</v>
      </c>
      <c r="I226" s="5">
        <v>181.15</v>
      </c>
      <c r="J226" s="6">
        <v>9.4198828949694762E-3</v>
      </c>
      <c r="K226" s="91">
        <f t="array" ref="K226">MAX(IF((D226&lt;[1]Nifty_D!$B$2:$B$6600)*(E226&gt;=[1]Nifty_D!$B$2:$B$6600),[1]Nifty_D!$F$2:$F$6600,""))</f>
        <v>19411.75</v>
      </c>
      <c r="L226" s="92">
        <f t="shared" si="13"/>
        <v>9.4198828949696445E-3</v>
      </c>
      <c r="M226" s="91">
        <f t="shared" si="14"/>
        <v>7787.85</v>
      </c>
      <c r="N226" s="93">
        <f t="array" ref="N226">INDEX([1]Nifty_D!$B$2:$B$6600,MATCH(E226,[1]Nifty_D!$B$2:$B$6600,0)-1)</f>
        <v>45233</v>
      </c>
      <c r="O226" s="89">
        <f>VLOOKUP(N226,[1]Nifty_D!$B$2:$F$6600,5,0)</f>
        <v>19230.599999999999</v>
      </c>
      <c r="P226" s="92">
        <f t="shared" si="15"/>
        <v>0</v>
      </c>
      <c r="Q226" s="7" t="s">
        <v>28</v>
      </c>
      <c r="R226" s="4">
        <v>19200</v>
      </c>
      <c r="S226" s="102"/>
      <c r="T226" s="102"/>
      <c r="U226" s="7" t="s">
        <v>90</v>
      </c>
      <c r="V226" s="4">
        <v>65</v>
      </c>
      <c r="W226" s="5">
        <v>120.45</v>
      </c>
      <c r="X226" s="5">
        <v>236.65</v>
      </c>
      <c r="Y226" s="8">
        <v>-0.64170000000000005</v>
      </c>
      <c r="Z226" s="8">
        <v>-0.1037</v>
      </c>
      <c r="AA226" s="5">
        <v>-116.2</v>
      </c>
      <c r="AB226" s="6">
        <v>-6.0424531735879276E-3</v>
      </c>
      <c r="AC226" s="4">
        <v>0</v>
      </c>
      <c r="AD226" s="6">
        <v>0</v>
      </c>
      <c r="AE226" s="5">
        <v>39587.4</v>
      </c>
      <c r="AF226" s="5">
        <v>39937.1</v>
      </c>
      <c r="AG226" s="5">
        <v>349.7</v>
      </c>
      <c r="AH226" s="5">
        <v>0.88339999999999996</v>
      </c>
      <c r="AI226" s="4">
        <v>3</v>
      </c>
      <c r="AJ226" s="5">
        <v>-0.05</v>
      </c>
      <c r="AK226" s="5">
        <v>329.90629999999999</v>
      </c>
      <c r="AL226" s="5">
        <v>0.83340000000000003</v>
      </c>
      <c r="AM226" s="8">
        <v>0.34389999999999998</v>
      </c>
      <c r="AN226" s="8">
        <v>0.91020000000000001</v>
      </c>
      <c r="AO226" s="15">
        <v>169.40629999999999</v>
      </c>
      <c r="AP226" s="15">
        <v>-1.1999999999999999E-3</v>
      </c>
      <c r="AQ226" s="5">
        <v>117.7611</v>
      </c>
      <c r="AR226" s="5">
        <v>119.9316</v>
      </c>
      <c r="AS226" s="5">
        <v>-2.1703999999999999</v>
      </c>
      <c r="AT226" s="5">
        <v>-1.8097000000000001</v>
      </c>
      <c r="AU226" s="8">
        <v>-1.15E-2</v>
      </c>
      <c r="AV226" s="8">
        <v>0.1578</v>
      </c>
      <c r="AW226" s="8">
        <v>-1.15E-2</v>
      </c>
      <c r="AX226" s="5">
        <v>117.749</v>
      </c>
      <c r="AY226" s="5">
        <v>-1.8198000000000001</v>
      </c>
      <c r="AZ226" s="7" t="s">
        <v>96</v>
      </c>
    </row>
    <row r="227" spans="1:52" ht="18" customHeight="1" x14ac:dyDescent="0.25">
      <c r="A227" s="10">
        <v>113</v>
      </c>
      <c r="B227" s="10">
        <v>2</v>
      </c>
      <c r="C227" s="10">
        <v>113</v>
      </c>
      <c r="D227" s="86">
        <v>45233</v>
      </c>
      <c r="E227" s="86">
        <v>45236</v>
      </c>
      <c r="F227" s="86">
        <v>45260</v>
      </c>
      <c r="G227" s="11">
        <v>19230.599999999999</v>
      </c>
      <c r="H227" s="11">
        <v>19411.75</v>
      </c>
      <c r="I227" s="12"/>
      <c r="J227" s="12"/>
      <c r="K227" s="91">
        <f t="array" ref="K227">MAX(IF((D227&lt;[1]Nifty_D!$B$2:$B$6600)*(E227&gt;=[1]Nifty_D!$B$2:$B$6600),[1]Nifty_D!$F$2:$F$6600,""))</f>
        <v>19411.75</v>
      </c>
      <c r="L227" s="92">
        <f t="shared" si="13"/>
        <v>9.4198828949696445E-3</v>
      </c>
      <c r="M227" s="91">
        <f t="shared" si="14"/>
        <v>7787.85</v>
      </c>
      <c r="N227" s="93">
        <f t="array" ref="N227">INDEX([1]Nifty_D!$B$2:$B$6600,MATCH(E227,[1]Nifty_D!$B$2:$B$6600,0)-1)</f>
        <v>45233</v>
      </c>
      <c r="O227" s="89">
        <f>VLOOKUP(N227,[1]Nifty_D!$B$2:$F$6600,5,0)</f>
        <v>19230.599999999999</v>
      </c>
      <c r="P227" s="92">
        <f t="shared" si="15"/>
        <v>0</v>
      </c>
      <c r="Q227" s="12" t="s">
        <v>40</v>
      </c>
      <c r="R227" s="10">
        <v>19000</v>
      </c>
      <c r="S227" s="103">
        <f>MROUND(G227,500)</f>
        <v>19000</v>
      </c>
      <c r="T227" s="103">
        <f>S227-R227</f>
        <v>0</v>
      </c>
      <c r="U227" s="12" t="s">
        <v>92</v>
      </c>
      <c r="V227" s="10">
        <v>65</v>
      </c>
      <c r="W227" s="11">
        <v>95.85</v>
      </c>
      <c r="X227" s="11">
        <v>51.55</v>
      </c>
      <c r="Y227" s="13">
        <v>-0.28000000000000003</v>
      </c>
      <c r="Z227" s="13">
        <v>-8.2400000000000001E-2</v>
      </c>
      <c r="AA227" s="10">
        <v>0</v>
      </c>
      <c r="AB227" s="14">
        <v>0</v>
      </c>
      <c r="AC227" s="11">
        <v>-44.3</v>
      </c>
      <c r="AD227" s="14">
        <v>-2.3036202718583918E-3</v>
      </c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 t="s">
        <v>96</v>
      </c>
    </row>
    <row r="228" spans="1:52" ht="18" hidden="1" customHeight="1" x14ac:dyDescent="0.25">
      <c r="A228" s="4">
        <v>114</v>
      </c>
      <c r="B228" s="4">
        <v>1</v>
      </c>
      <c r="C228" s="4">
        <v>114</v>
      </c>
      <c r="D228" s="85">
        <v>45236</v>
      </c>
      <c r="E228" s="85">
        <v>45238</v>
      </c>
      <c r="F228" s="85">
        <v>45239</v>
      </c>
      <c r="G228" s="5">
        <v>19411.75</v>
      </c>
      <c r="H228" s="5">
        <v>19443.5</v>
      </c>
      <c r="I228" s="5">
        <v>31.75</v>
      </c>
      <c r="J228" s="6">
        <v>1.6356072997025001E-3</v>
      </c>
      <c r="K228" s="91">
        <f t="array" ref="K228">MAX(IF((D228&lt;[1]Nifty_D!$B$2:$B$6600)*(E228&gt;=[1]Nifty_D!$B$2:$B$6600),[1]Nifty_D!$F$2:$F$6600,""))</f>
        <v>19443.5</v>
      </c>
      <c r="L228" s="92">
        <f t="shared" si="13"/>
        <v>1.6356072997025795E-3</v>
      </c>
      <c r="M228" s="91">
        <f t="shared" si="14"/>
        <v>7819.6</v>
      </c>
      <c r="N228" s="93">
        <f t="array" ref="N228">INDEX([1]Nifty_D!$B$2:$B$6600,MATCH(E228,[1]Nifty_D!$B$2:$B$6600,0)-1)</f>
        <v>45237</v>
      </c>
      <c r="O228" s="89">
        <f>VLOOKUP(N228,[1]Nifty_D!$B$2:$F$6600,5,0)</f>
        <v>19406.7</v>
      </c>
      <c r="P228" s="92">
        <f t="shared" si="15"/>
        <v>-2.6015171223614519E-4</v>
      </c>
      <c r="Q228" s="7" t="s">
        <v>28</v>
      </c>
      <c r="R228" s="4">
        <v>19400</v>
      </c>
      <c r="S228" s="102"/>
      <c r="T228" s="102"/>
      <c r="U228" s="7" t="s">
        <v>90</v>
      </c>
      <c r="V228" s="4">
        <v>65</v>
      </c>
      <c r="W228" s="5">
        <v>82.9</v>
      </c>
      <c r="X228" s="5">
        <v>61.1</v>
      </c>
      <c r="Y228" s="8">
        <v>-2.2200000000000001E-2</v>
      </c>
      <c r="Z228" s="8">
        <v>0.23849999999999999</v>
      </c>
      <c r="AA228" s="5">
        <v>21.8</v>
      </c>
      <c r="AB228" s="6">
        <v>1.1230311538114801E-3</v>
      </c>
      <c r="AC228" s="4">
        <v>0</v>
      </c>
      <c r="AD228" s="6">
        <v>0</v>
      </c>
      <c r="AE228" s="5">
        <v>39937.1</v>
      </c>
      <c r="AF228" s="5">
        <v>40446.85</v>
      </c>
      <c r="AG228" s="5">
        <v>509.75</v>
      </c>
      <c r="AH228" s="5">
        <v>1.2764</v>
      </c>
      <c r="AI228" s="4">
        <v>2</v>
      </c>
      <c r="AJ228" s="5">
        <v>-3.3333000000000002E-2</v>
      </c>
      <c r="AK228" s="5">
        <v>496.43759999999997</v>
      </c>
      <c r="AL228" s="5">
        <v>1.2430000000000001</v>
      </c>
      <c r="AM228" s="8">
        <v>-0.12809999999999999</v>
      </c>
      <c r="AN228" s="8">
        <v>1.3313999999999999</v>
      </c>
      <c r="AO228" s="15">
        <v>508.73759999999999</v>
      </c>
      <c r="AP228" s="15">
        <v>1.3064</v>
      </c>
      <c r="AQ228" s="5">
        <v>119.2996</v>
      </c>
      <c r="AR228" s="5">
        <v>119.9316</v>
      </c>
      <c r="AS228" s="5">
        <v>-0.63200000000000001</v>
      </c>
      <c r="AT228" s="5">
        <v>-0.52700000000000002</v>
      </c>
      <c r="AU228" s="8">
        <v>1.1825000000000001</v>
      </c>
      <c r="AV228" s="8">
        <v>0.2843</v>
      </c>
      <c r="AW228" s="8">
        <v>0.2843</v>
      </c>
      <c r="AX228" s="5">
        <v>118.0959</v>
      </c>
      <c r="AY228" s="5">
        <v>-1.5306</v>
      </c>
      <c r="AZ228" s="7" t="s">
        <v>91</v>
      </c>
    </row>
    <row r="229" spans="1:52" ht="18" customHeight="1" x14ac:dyDescent="0.25">
      <c r="A229" s="10">
        <v>114</v>
      </c>
      <c r="B229" s="10">
        <v>2</v>
      </c>
      <c r="C229" s="10">
        <v>114</v>
      </c>
      <c r="D229" s="86">
        <v>45236</v>
      </c>
      <c r="E229" s="86">
        <v>45238</v>
      </c>
      <c r="F229" s="86">
        <v>45260</v>
      </c>
      <c r="G229" s="11">
        <v>19411.75</v>
      </c>
      <c r="H229" s="11">
        <v>19443.5</v>
      </c>
      <c r="I229" s="12"/>
      <c r="J229" s="12"/>
      <c r="K229" s="91">
        <f t="array" ref="K229">MAX(IF((D229&lt;[1]Nifty_D!$B$2:$B$6600)*(E229&gt;=[1]Nifty_D!$B$2:$B$6600),[1]Nifty_D!$F$2:$F$6600,""))</f>
        <v>19443.5</v>
      </c>
      <c r="L229" s="92">
        <f t="shared" si="13"/>
        <v>1.6356072997025795E-3</v>
      </c>
      <c r="M229" s="91">
        <f t="shared" si="14"/>
        <v>7819.6</v>
      </c>
      <c r="N229" s="93">
        <f t="array" ref="N229">INDEX([1]Nifty_D!$B$2:$B$6600,MATCH(E229,[1]Nifty_D!$B$2:$B$6600,0)-1)</f>
        <v>45237</v>
      </c>
      <c r="O229" s="89">
        <f>VLOOKUP(N229,[1]Nifty_D!$B$2:$F$6600,5,0)</f>
        <v>19406.7</v>
      </c>
      <c r="P229" s="92">
        <f t="shared" si="15"/>
        <v>-2.6015171223614519E-4</v>
      </c>
      <c r="Q229" s="12" t="s">
        <v>40</v>
      </c>
      <c r="R229" s="10">
        <v>19500</v>
      </c>
      <c r="S229" s="103">
        <f>MROUND(G229,500)</f>
        <v>19500</v>
      </c>
      <c r="T229" s="103">
        <f>S229-R229</f>
        <v>0</v>
      </c>
      <c r="U229" s="12" t="s">
        <v>92</v>
      </c>
      <c r="V229" s="10">
        <v>65</v>
      </c>
      <c r="W229" s="11">
        <v>189.8</v>
      </c>
      <c r="X229" s="11">
        <v>180.3</v>
      </c>
      <c r="Y229" s="13">
        <v>-0.12670000000000001</v>
      </c>
      <c r="Z229" s="13">
        <v>0.1739</v>
      </c>
      <c r="AA229" s="10">
        <v>0</v>
      </c>
      <c r="AB229" s="14">
        <v>0</v>
      </c>
      <c r="AC229" s="11">
        <v>-9.5</v>
      </c>
      <c r="AD229" s="14">
        <v>-4.8939431014720467E-4</v>
      </c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 t="s">
        <v>91</v>
      </c>
    </row>
    <row r="230" spans="1:52" ht="18" hidden="1" customHeight="1" x14ac:dyDescent="0.25">
      <c r="A230" s="4">
        <v>115</v>
      </c>
      <c r="B230" s="4">
        <v>1</v>
      </c>
      <c r="C230" s="4">
        <v>115</v>
      </c>
      <c r="D230" s="85">
        <v>45238</v>
      </c>
      <c r="E230" s="85">
        <v>45245</v>
      </c>
      <c r="F230" s="85">
        <v>45246</v>
      </c>
      <c r="G230" s="5">
        <v>19443.5</v>
      </c>
      <c r="H230" s="5">
        <v>19675.45</v>
      </c>
      <c r="I230" s="5">
        <v>231.95</v>
      </c>
      <c r="J230" s="6">
        <v>1.1929436572633531E-2</v>
      </c>
      <c r="K230" s="91">
        <f t="array" ref="K230">MAX(IF((D230&lt;[1]Nifty_D!$B$2:$B$6600)*(E230&gt;=[1]Nifty_D!$B$2:$B$6600),[1]Nifty_D!$F$2:$F$6600,""))</f>
        <v>19675.45</v>
      </c>
      <c r="L230" s="92">
        <f t="shared" si="13"/>
        <v>1.1929436572633456E-2</v>
      </c>
      <c r="M230" s="91">
        <f t="shared" si="14"/>
        <v>8051.5500000000011</v>
      </c>
      <c r="N230" s="93">
        <f t="array" ref="N230">INDEX([1]Nifty_D!$B$2:$B$6600,MATCH(E230,[1]Nifty_D!$B$2:$B$6600,0)-1)</f>
        <v>45243</v>
      </c>
      <c r="O230" s="89">
        <f>VLOOKUP(N230,[1]Nifty_D!$B$2:$F$6600,5,0)</f>
        <v>19443.55</v>
      </c>
      <c r="P230" s="92">
        <f t="shared" si="15"/>
        <v>2.5715534754944258E-6</v>
      </c>
      <c r="Q230" s="7" t="s">
        <v>28</v>
      </c>
      <c r="R230" s="4">
        <v>19400</v>
      </c>
      <c r="S230" s="102"/>
      <c r="T230" s="102"/>
      <c r="U230" s="7" t="s">
        <v>90</v>
      </c>
      <c r="V230" s="4">
        <v>65</v>
      </c>
      <c r="W230" s="5">
        <v>137.44999999999999</v>
      </c>
      <c r="X230" s="4">
        <v>282</v>
      </c>
      <c r="Y230" s="8">
        <v>-0.93189999999999995</v>
      </c>
      <c r="Z230" s="8">
        <v>0.3916</v>
      </c>
      <c r="AA230" s="5">
        <v>-144.55000000000001</v>
      </c>
      <c r="AB230" s="6">
        <v>-7.4343610975390242E-3</v>
      </c>
      <c r="AC230" s="4">
        <v>0</v>
      </c>
      <c r="AD230" s="6">
        <v>0</v>
      </c>
      <c r="AE230" s="5">
        <v>40446.85</v>
      </c>
      <c r="AF230" s="5">
        <v>41404.85</v>
      </c>
      <c r="AG230" s="4">
        <v>958</v>
      </c>
      <c r="AH230" s="5">
        <v>2.3685</v>
      </c>
      <c r="AI230" s="4">
        <v>7</v>
      </c>
      <c r="AJ230" s="5">
        <v>-0.11666700000000001</v>
      </c>
      <c r="AK230" s="5">
        <v>910.81200000000001</v>
      </c>
      <c r="AL230" s="5">
        <v>2.2519</v>
      </c>
      <c r="AM230" s="8">
        <v>-0.40300000000000002</v>
      </c>
      <c r="AN230" s="8">
        <v>2.3176999999999999</v>
      </c>
      <c r="AO230" s="15">
        <v>649.06200000000001</v>
      </c>
      <c r="AP230" s="15">
        <v>0.90569999999999995</v>
      </c>
      <c r="AQ230" s="5">
        <v>120.3801</v>
      </c>
      <c r="AR230" s="5">
        <v>120.3801</v>
      </c>
      <c r="AS230" s="4">
        <v>0</v>
      </c>
      <c r="AT230" s="4">
        <v>0</v>
      </c>
      <c r="AU230" s="8">
        <v>0.74750000000000005</v>
      </c>
      <c r="AV230" s="8">
        <v>0.23319999999999999</v>
      </c>
      <c r="AW230" s="8">
        <v>0.23319999999999999</v>
      </c>
      <c r="AX230" s="5">
        <v>119.5778</v>
      </c>
      <c r="AY230" s="5">
        <v>-0.29499999999999998</v>
      </c>
      <c r="AZ230" s="7" t="s">
        <v>93</v>
      </c>
    </row>
    <row r="231" spans="1:52" ht="18" customHeight="1" x14ac:dyDescent="0.25">
      <c r="A231" s="10">
        <v>115</v>
      </c>
      <c r="B231" s="10">
        <v>2</v>
      </c>
      <c r="C231" s="10">
        <v>115</v>
      </c>
      <c r="D231" s="86">
        <v>45238</v>
      </c>
      <c r="E231" s="86">
        <v>45245</v>
      </c>
      <c r="F231" s="86">
        <v>45260</v>
      </c>
      <c r="G231" s="11">
        <v>19443.5</v>
      </c>
      <c r="H231" s="11">
        <v>19675.45</v>
      </c>
      <c r="I231" s="12"/>
      <c r="J231" s="12"/>
      <c r="K231" s="91">
        <f t="array" ref="K231">MAX(IF((D231&lt;[1]Nifty_D!$B$2:$B$6600)*(E231&gt;=[1]Nifty_D!$B$2:$B$6600),[1]Nifty_D!$F$2:$F$6600,""))</f>
        <v>19675.45</v>
      </c>
      <c r="L231" s="92">
        <f t="shared" si="13"/>
        <v>1.1929436572633456E-2</v>
      </c>
      <c r="M231" s="91">
        <f t="shared" si="14"/>
        <v>8051.5500000000011</v>
      </c>
      <c r="N231" s="93">
        <f t="array" ref="N231">INDEX([1]Nifty_D!$B$2:$B$6600,MATCH(E231,[1]Nifty_D!$B$2:$B$6600,0)-1)</f>
        <v>45243</v>
      </c>
      <c r="O231" s="89">
        <f>VLOOKUP(N231,[1]Nifty_D!$B$2:$F$6600,5,0)</f>
        <v>19443.55</v>
      </c>
      <c r="P231" s="92">
        <f t="shared" si="15"/>
        <v>2.5715534754944258E-6</v>
      </c>
      <c r="Q231" s="12" t="s">
        <v>40</v>
      </c>
      <c r="R231" s="10">
        <v>19500</v>
      </c>
      <c r="S231" s="103">
        <f>MROUND(G231,500)</f>
        <v>19500</v>
      </c>
      <c r="T231" s="103">
        <f>S231-R231</f>
        <v>0</v>
      </c>
      <c r="U231" s="12" t="s">
        <v>92</v>
      </c>
      <c r="V231" s="10">
        <v>65</v>
      </c>
      <c r="W231" s="11">
        <v>180.3</v>
      </c>
      <c r="X231" s="11">
        <v>63.1</v>
      </c>
      <c r="Y231" s="13">
        <v>-0.63829999999999998</v>
      </c>
      <c r="Z231" s="13">
        <v>0.24460000000000001</v>
      </c>
      <c r="AA231" s="10">
        <v>0</v>
      </c>
      <c r="AB231" s="14">
        <v>0</v>
      </c>
      <c r="AC231" s="11">
        <v>-117.2</v>
      </c>
      <c r="AD231" s="14">
        <v>-6.0277213464654004E-3</v>
      </c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 t="s">
        <v>93</v>
      </c>
    </row>
    <row r="232" spans="1:52" ht="18" hidden="1" customHeight="1" x14ac:dyDescent="0.25">
      <c r="A232" s="4">
        <v>116</v>
      </c>
      <c r="B232" s="4">
        <v>1</v>
      </c>
      <c r="C232" s="4">
        <v>116</v>
      </c>
      <c r="D232" s="85">
        <v>45245</v>
      </c>
      <c r="E232" s="85">
        <v>45252</v>
      </c>
      <c r="F232" s="85">
        <v>45253</v>
      </c>
      <c r="G232" s="5">
        <v>19675.45</v>
      </c>
      <c r="H232" s="5">
        <v>19811.849999999999</v>
      </c>
      <c r="I232" s="5">
        <v>136.4</v>
      </c>
      <c r="J232" s="6">
        <v>6.9324970966356553E-3</v>
      </c>
      <c r="K232" s="91">
        <f t="array" ref="K232">MAX(IF((D232&lt;[1]Nifty_D!$B$2:$B$6600)*(E232&gt;=[1]Nifty_D!$B$2:$B$6600),[1]Nifty_D!$F$2:$F$6600,""))</f>
        <v>19811.849999999999</v>
      </c>
      <c r="L232" s="92">
        <f t="shared" si="13"/>
        <v>6.9324970966355703E-3</v>
      </c>
      <c r="M232" s="91">
        <f t="shared" si="14"/>
        <v>8187.9499999999989</v>
      </c>
      <c r="N232" s="93">
        <f t="array" ref="N232">INDEX([1]Nifty_D!$B$2:$B$6600,MATCH(E232,[1]Nifty_D!$B$2:$B$6600,0)-1)</f>
        <v>45251</v>
      </c>
      <c r="O232" s="89">
        <f>VLOOKUP(N232,[1]Nifty_D!$B$2:$F$6600,5,0)</f>
        <v>19783.400000000001</v>
      </c>
      <c r="P232" s="92">
        <f t="shared" si="15"/>
        <v>5.4865327095441341E-3</v>
      </c>
      <c r="Q232" s="7" t="s">
        <v>28</v>
      </c>
      <c r="R232" s="4">
        <v>19700</v>
      </c>
      <c r="S232" s="102"/>
      <c r="T232" s="102"/>
      <c r="U232" s="7" t="s">
        <v>90</v>
      </c>
      <c r="V232" s="4">
        <v>65</v>
      </c>
      <c r="W232" s="4">
        <v>106</v>
      </c>
      <c r="X232" s="5">
        <v>149.65</v>
      </c>
      <c r="Y232" s="8">
        <v>-0.70420000000000005</v>
      </c>
      <c r="Z232" s="8">
        <v>0.23300000000000001</v>
      </c>
      <c r="AA232" s="5">
        <v>-43.65</v>
      </c>
      <c r="AB232" s="6">
        <v>-2.218500720440956E-3</v>
      </c>
      <c r="AC232" s="4">
        <v>0</v>
      </c>
      <c r="AD232" s="6">
        <v>0</v>
      </c>
      <c r="AE232" s="5">
        <v>41404.85</v>
      </c>
      <c r="AF232" s="5">
        <v>42027.1</v>
      </c>
      <c r="AG232" s="5">
        <v>622.25</v>
      </c>
      <c r="AH232" s="5">
        <v>1.5027999999999999</v>
      </c>
      <c r="AI232" s="4">
        <v>7</v>
      </c>
      <c r="AJ232" s="5">
        <v>-0.11666700000000001</v>
      </c>
      <c r="AK232" s="5">
        <v>573.9443</v>
      </c>
      <c r="AL232" s="5">
        <v>1.3862000000000001</v>
      </c>
      <c r="AM232" s="8">
        <v>7.6E-3</v>
      </c>
      <c r="AN232" s="8">
        <v>1.5081</v>
      </c>
      <c r="AO232" s="15">
        <v>482.14429999999999</v>
      </c>
      <c r="AP232" s="15">
        <v>0.91959999999999997</v>
      </c>
      <c r="AQ232" s="5">
        <v>121.4871</v>
      </c>
      <c r="AR232" s="5">
        <v>121.4871</v>
      </c>
      <c r="AS232" s="4">
        <v>0</v>
      </c>
      <c r="AT232" s="4">
        <v>0</v>
      </c>
      <c r="AU232" s="8">
        <v>0.55000000000000004</v>
      </c>
      <c r="AV232" s="8">
        <v>0.25609999999999999</v>
      </c>
      <c r="AW232" s="8">
        <v>0.25609999999999999</v>
      </c>
      <c r="AX232" s="5">
        <v>120.6884</v>
      </c>
      <c r="AY232" s="5">
        <v>0.25609999999999999</v>
      </c>
      <c r="AZ232" s="7" t="s">
        <v>91</v>
      </c>
    </row>
    <row r="233" spans="1:52" ht="18" customHeight="1" x14ac:dyDescent="0.25">
      <c r="A233" s="10">
        <v>116</v>
      </c>
      <c r="B233" s="10">
        <v>2</v>
      </c>
      <c r="C233" s="10">
        <v>116</v>
      </c>
      <c r="D233" s="86">
        <v>45245</v>
      </c>
      <c r="E233" s="86">
        <v>45252</v>
      </c>
      <c r="F233" s="86">
        <v>45260</v>
      </c>
      <c r="G233" s="11">
        <v>19675.45</v>
      </c>
      <c r="H233" s="11">
        <v>19811.849999999999</v>
      </c>
      <c r="I233" s="12"/>
      <c r="J233" s="12"/>
      <c r="K233" s="91">
        <f t="array" ref="K233">MAX(IF((D233&lt;[1]Nifty_D!$B$2:$B$6600)*(E233&gt;=[1]Nifty_D!$B$2:$B$6600),[1]Nifty_D!$F$2:$F$6600,""))</f>
        <v>19811.849999999999</v>
      </c>
      <c r="L233" s="92">
        <f t="shared" si="13"/>
        <v>6.9324970966355703E-3</v>
      </c>
      <c r="M233" s="91">
        <f t="shared" si="14"/>
        <v>8187.9499999999989</v>
      </c>
      <c r="N233" s="93">
        <f t="array" ref="N233">INDEX([1]Nifty_D!$B$2:$B$6600,MATCH(E233,[1]Nifty_D!$B$2:$B$6600,0)-1)</f>
        <v>45251</v>
      </c>
      <c r="O233" s="89">
        <f>VLOOKUP(N233,[1]Nifty_D!$B$2:$F$6600,5,0)</f>
        <v>19783.400000000001</v>
      </c>
      <c r="P233" s="92">
        <f t="shared" si="15"/>
        <v>5.4865327095441341E-3</v>
      </c>
      <c r="Q233" s="12" t="s">
        <v>40</v>
      </c>
      <c r="R233" s="10">
        <v>19500</v>
      </c>
      <c r="S233" s="103">
        <f>MROUND(G233,500)</f>
        <v>19500</v>
      </c>
      <c r="T233" s="103">
        <f>S233-R233</f>
        <v>0</v>
      </c>
      <c r="U233" s="12" t="s">
        <v>92</v>
      </c>
      <c r="V233" s="10">
        <v>65</v>
      </c>
      <c r="W233" s="11">
        <v>63.1</v>
      </c>
      <c r="X233" s="11">
        <v>14.95</v>
      </c>
      <c r="Y233" s="13">
        <v>-0.25390000000000001</v>
      </c>
      <c r="Z233" s="13">
        <v>1.55E-2</v>
      </c>
      <c r="AA233" s="10">
        <v>0</v>
      </c>
      <c r="AB233" s="14">
        <v>0</v>
      </c>
      <c r="AC233" s="11">
        <v>-48.15</v>
      </c>
      <c r="AD233" s="14">
        <v>-2.447212134919404E-3</v>
      </c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 t="s">
        <v>91</v>
      </c>
    </row>
    <row r="234" spans="1:52" ht="18" hidden="1" customHeight="1" x14ac:dyDescent="0.25">
      <c r="A234" s="4">
        <v>117</v>
      </c>
      <c r="B234" s="4">
        <v>1</v>
      </c>
      <c r="C234" s="4">
        <v>117</v>
      </c>
      <c r="D234" s="85">
        <v>45252</v>
      </c>
      <c r="E234" s="85">
        <v>45258</v>
      </c>
      <c r="F234" s="85">
        <v>45260</v>
      </c>
      <c r="G234" s="5">
        <v>19811.849999999999</v>
      </c>
      <c r="H234" s="5">
        <v>19889.7</v>
      </c>
      <c r="I234" s="5">
        <v>77.849999999999994</v>
      </c>
      <c r="J234" s="6">
        <v>3.9294664556818269E-3</v>
      </c>
      <c r="K234" s="91">
        <f t="array" ref="K234">MAX(IF((D234&lt;[1]Nifty_D!$B$2:$B$6600)*(E234&gt;=[1]Nifty_D!$B$2:$B$6600),[1]Nifty_D!$F$2:$F$6600,""))</f>
        <v>19889.7</v>
      </c>
      <c r="L234" s="92">
        <f t="shared" si="13"/>
        <v>3.9294664556819292E-3</v>
      </c>
      <c r="M234" s="91">
        <f t="shared" si="14"/>
        <v>8265.8000000000011</v>
      </c>
      <c r="N234" s="93">
        <f t="array" ref="N234">INDEX([1]Nifty_D!$B$2:$B$6600,MATCH(E234,[1]Nifty_D!$B$2:$B$6600,0)-1)</f>
        <v>45254</v>
      </c>
      <c r="O234" s="89">
        <f>VLOOKUP(N234,[1]Nifty_D!$B$2:$F$6600,5,0)</f>
        <v>19794.7</v>
      </c>
      <c r="P234" s="92">
        <f t="shared" si="15"/>
        <v>-8.6564354161766666E-4</v>
      </c>
      <c r="Q234" s="7" t="s">
        <v>28</v>
      </c>
      <c r="R234" s="4">
        <v>19800</v>
      </c>
      <c r="S234" s="102"/>
      <c r="T234" s="102"/>
      <c r="U234" s="7" t="s">
        <v>90</v>
      </c>
      <c r="V234" s="4">
        <v>65</v>
      </c>
      <c r="W234" s="4">
        <v>154</v>
      </c>
      <c r="X234" s="5">
        <v>153.75</v>
      </c>
      <c r="Y234" s="8">
        <v>-0.1075</v>
      </c>
      <c r="Z234" s="8">
        <v>0.3553</v>
      </c>
      <c r="AA234" s="5">
        <v>0.25</v>
      </c>
      <c r="AB234" s="6">
        <v>1.2618710519209461E-5</v>
      </c>
      <c r="AC234" s="4">
        <v>0</v>
      </c>
      <c r="AD234" s="6">
        <v>0</v>
      </c>
      <c r="AE234" s="5">
        <v>42027.1</v>
      </c>
      <c r="AF234" s="4">
        <v>42278</v>
      </c>
      <c r="AG234" s="5">
        <v>250.9</v>
      </c>
      <c r="AH234" s="5">
        <v>0.59699999999999998</v>
      </c>
      <c r="AI234" s="4">
        <v>6</v>
      </c>
      <c r="AJ234" s="5">
        <v>-0.1</v>
      </c>
      <c r="AK234" s="5">
        <v>208.87289999999999</v>
      </c>
      <c r="AL234" s="5">
        <v>0.497</v>
      </c>
      <c r="AM234" s="8">
        <v>-0.11459999999999999</v>
      </c>
      <c r="AN234" s="8">
        <v>0.54820000000000002</v>
      </c>
      <c r="AO234" s="15">
        <v>197.12289999999999</v>
      </c>
      <c r="AP234" s="15">
        <v>0.43769999999999998</v>
      </c>
      <c r="AQ234" s="5">
        <v>122.0188</v>
      </c>
      <c r="AR234" s="5">
        <v>122.0188</v>
      </c>
      <c r="AS234" s="4">
        <v>0</v>
      </c>
      <c r="AT234" s="4">
        <v>0</v>
      </c>
      <c r="AU234" s="8">
        <v>0.37790000000000001</v>
      </c>
      <c r="AV234" s="8">
        <v>0.248</v>
      </c>
      <c r="AW234" s="8">
        <v>0.248</v>
      </c>
      <c r="AX234" s="5">
        <v>121.7884</v>
      </c>
      <c r="AY234" s="5">
        <v>0.248</v>
      </c>
      <c r="AZ234" s="7" t="s">
        <v>96</v>
      </c>
    </row>
    <row r="235" spans="1:52" ht="18" customHeight="1" x14ac:dyDescent="0.25">
      <c r="A235" s="10">
        <v>117</v>
      </c>
      <c r="B235" s="10">
        <v>2</v>
      </c>
      <c r="C235" s="10">
        <v>117</v>
      </c>
      <c r="D235" s="86">
        <v>45252</v>
      </c>
      <c r="E235" s="86">
        <v>45258</v>
      </c>
      <c r="F235" s="86">
        <v>45260</v>
      </c>
      <c r="G235" s="11">
        <v>19811.849999999999</v>
      </c>
      <c r="H235" s="11">
        <v>19889.7</v>
      </c>
      <c r="I235" s="12"/>
      <c r="J235" s="12"/>
      <c r="K235" s="91">
        <f t="array" ref="K235">MAX(IF((D235&lt;[1]Nifty_D!$B$2:$B$6600)*(E235&gt;=[1]Nifty_D!$B$2:$B$6600),[1]Nifty_D!$F$2:$F$6600,""))</f>
        <v>19889.7</v>
      </c>
      <c r="L235" s="92">
        <f t="shared" si="13"/>
        <v>3.9294664556819292E-3</v>
      </c>
      <c r="M235" s="91">
        <f t="shared" si="14"/>
        <v>8265.8000000000011</v>
      </c>
      <c r="N235" s="93">
        <f t="array" ref="N235">INDEX([1]Nifty_D!$B$2:$B$6600,MATCH(E235,[1]Nifty_D!$B$2:$B$6600,0)-1)</f>
        <v>45254</v>
      </c>
      <c r="O235" s="89">
        <f>VLOOKUP(N235,[1]Nifty_D!$B$2:$F$6600,5,0)</f>
        <v>19794.7</v>
      </c>
      <c r="P235" s="92">
        <f t="shared" si="15"/>
        <v>-8.6564354161766666E-4</v>
      </c>
      <c r="Q235" s="12" t="s">
        <v>40</v>
      </c>
      <c r="R235" s="10">
        <v>19500</v>
      </c>
      <c r="S235" s="103">
        <f>MROUND(G235,500)</f>
        <v>20000</v>
      </c>
      <c r="T235" s="103">
        <f>S235-R235</f>
        <v>500</v>
      </c>
      <c r="U235" s="12" t="s">
        <v>92</v>
      </c>
      <c r="V235" s="10">
        <v>65</v>
      </c>
      <c r="W235" s="11">
        <v>14.95</v>
      </c>
      <c r="X235" s="11">
        <v>2.95</v>
      </c>
      <c r="Y235" s="13">
        <v>-6.2799999999999995E-2</v>
      </c>
      <c r="Z235" s="13">
        <v>7.3000000000000001E-3</v>
      </c>
      <c r="AA235" s="10">
        <v>0</v>
      </c>
      <c r="AB235" s="14">
        <v>0</v>
      </c>
      <c r="AC235" s="10">
        <v>-12</v>
      </c>
      <c r="AD235" s="14">
        <v>-6.0569810492205423E-4</v>
      </c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 t="s">
        <v>96</v>
      </c>
    </row>
    <row r="236" spans="1:52" ht="18" hidden="1" customHeight="1" x14ac:dyDescent="0.25">
      <c r="A236" s="4">
        <v>118</v>
      </c>
      <c r="B236" s="4">
        <v>1</v>
      </c>
      <c r="C236" s="4">
        <v>118</v>
      </c>
      <c r="D236" s="85">
        <v>45258</v>
      </c>
      <c r="E236" s="85">
        <v>45259</v>
      </c>
      <c r="F236" s="85">
        <v>45260</v>
      </c>
      <c r="G236" s="5">
        <v>19889.7</v>
      </c>
      <c r="H236" s="5">
        <v>20096.599999999999</v>
      </c>
      <c r="I236" s="5">
        <v>206.9</v>
      </c>
      <c r="J236" s="6">
        <v>1.0402369065395659E-2</v>
      </c>
      <c r="K236" s="91">
        <f t="array" ref="K236">MAX(IF((D236&lt;[1]Nifty_D!$B$2:$B$6600)*(E236&gt;=[1]Nifty_D!$B$2:$B$6600),[1]Nifty_D!$F$2:$F$6600,""))</f>
        <v>20096.599999999999</v>
      </c>
      <c r="L236" s="92">
        <f t="shared" si="13"/>
        <v>1.04023690653956E-2</v>
      </c>
      <c r="M236" s="91">
        <f t="shared" si="14"/>
        <v>8472.6999999999989</v>
      </c>
      <c r="N236" s="93">
        <f t="array" ref="N236">INDEX([1]Nifty_D!$B$2:$B$6600,MATCH(E236,[1]Nifty_D!$B$2:$B$6600,0)-1)</f>
        <v>45258</v>
      </c>
      <c r="O236" s="89">
        <f>VLOOKUP(N236,[1]Nifty_D!$B$2:$F$6600,5,0)</f>
        <v>19889.7</v>
      </c>
      <c r="P236" s="92">
        <f t="shared" si="15"/>
        <v>0</v>
      </c>
      <c r="Q236" s="7" t="s">
        <v>28</v>
      </c>
      <c r="R236" s="4">
        <v>19900</v>
      </c>
      <c r="S236" s="102"/>
      <c r="T236" s="102"/>
      <c r="U236" s="7" t="s">
        <v>90</v>
      </c>
      <c r="V236" s="4">
        <v>65</v>
      </c>
      <c r="W236" s="5">
        <v>80.25</v>
      </c>
      <c r="X236" s="5">
        <v>237.05</v>
      </c>
      <c r="Y236" s="8">
        <v>-0.85270000000000001</v>
      </c>
      <c r="Z236" s="8">
        <v>-5.7599999999999998E-2</v>
      </c>
      <c r="AA236" s="5">
        <v>-156.80000000000001</v>
      </c>
      <c r="AB236" s="6">
        <v>-7.883477377738226E-3</v>
      </c>
      <c r="AC236" s="4">
        <v>0</v>
      </c>
      <c r="AD236" s="6">
        <v>0</v>
      </c>
      <c r="AE236" s="4">
        <v>42278</v>
      </c>
      <c r="AF236" s="5">
        <v>42618.7</v>
      </c>
      <c r="AG236" s="5">
        <v>340.7</v>
      </c>
      <c r="AH236" s="5">
        <v>0.80589999999999995</v>
      </c>
      <c r="AI236" s="4">
        <v>1</v>
      </c>
      <c r="AJ236" s="5">
        <v>-1.6667000000000001E-2</v>
      </c>
      <c r="AK236" s="5">
        <v>333.65370000000001</v>
      </c>
      <c r="AL236" s="5">
        <v>0.78920000000000001</v>
      </c>
      <c r="AM236" s="8">
        <v>0.51139999999999997</v>
      </c>
      <c r="AN236" s="8">
        <v>0.89780000000000004</v>
      </c>
      <c r="AO236" s="15">
        <v>95.753699999999995</v>
      </c>
      <c r="AP236" s="15">
        <v>-0.40689999999999998</v>
      </c>
      <c r="AQ236" s="5">
        <v>121.5223</v>
      </c>
      <c r="AR236" s="5">
        <v>122.0188</v>
      </c>
      <c r="AS236" s="5">
        <v>-0.4965</v>
      </c>
      <c r="AT236" s="5">
        <v>-0.40689999999999998</v>
      </c>
      <c r="AU236" s="8">
        <v>-0.37319999999999998</v>
      </c>
      <c r="AV236" s="8">
        <v>0.33310000000000001</v>
      </c>
      <c r="AW236" s="8">
        <v>-0.40689999999999998</v>
      </c>
      <c r="AX236" s="5">
        <v>121.5223</v>
      </c>
      <c r="AY236" s="5">
        <v>-0.40689999999999998</v>
      </c>
      <c r="AZ236" s="7" t="s">
        <v>91</v>
      </c>
    </row>
    <row r="237" spans="1:52" ht="18" customHeight="1" x14ac:dyDescent="0.25">
      <c r="A237" s="10">
        <v>118</v>
      </c>
      <c r="B237" s="10">
        <v>2</v>
      </c>
      <c r="C237" s="10">
        <v>118</v>
      </c>
      <c r="D237" s="86">
        <v>45258</v>
      </c>
      <c r="E237" s="86">
        <v>45259</v>
      </c>
      <c r="F237" s="86">
        <v>45260</v>
      </c>
      <c r="G237" s="11">
        <v>19889.7</v>
      </c>
      <c r="H237" s="11">
        <v>20096.599999999999</v>
      </c>
      <c r="I237" s="12"/>
      <c r="J237" s="12"/>
      <c r="K237" s="91">
        <f t="array" ref="K237">MAX(IF((D237&lt;[1]Nifty_D!$B$2:$B$6600)*(E237&gt;=[1]Nifty_D!$B$2:$B$6600),[1]Nifty_D!$F$2:$F$6600,""))</f>
        <v>20096.599999999999</v>
      </c>
      <c r="L237" s="92">
        <f t="shared" si="13"/>
        <v>1.04023690653956E-2</v>
      </c>
      <c r="M237" s="91">
        <f t="shared" si="14"/>
        <v>8472.6999999999989</v>
      </c>
      <c r="N237" s="93">
        <f t="array" ref="N237">INDEX([1]Nifty_D!$B$2:$B$6600,MATCH(E237,[1]Nifty_D!$B$2:$B$6600,0)-1)</f>
        <v>45258</v>
      </c>
      <c r="O237" s="89">
        <f>VLOOKUP(N237,[1]Nifty_D!$B$2:$F$6600,5,0)</f>
        <v>19889.7</v>
      </c>
      <c r="P237" s="92">
        <f t="shared" si="15"/>
        <v>0</v>
      </c>
      <c r="Q237" s="12" t="s">
        <v>40</v>
      </c>
      <c r="R237" s="10">
        <v>20000</v>
      </c>
      <c r="S237" s="103">
        <f>MROUND(G237,500)</f>
        <v>20000</v>
      </c>
      <c r="T237" s="103">
        <f>S237-R237</f>
        <v>0</v>
      </c>
      <c r="U237" s="12" t="s">
        <v>92</v>
      </c>
      <c r="V237" s="10">
        <v>65</v>
      </c>
      <c r="W237" s="11">
        <v>93.9</v>
      </c>
      <c r="X237" s="11">
        <v>12.8</v>
      </c>
      <c r="Y237" s="13">
        <v>-0.41830000000000001</v>
      </c>
      <c r="Z237" s="13">
        <v>-0.1207</v>
      </c>
      <c r="AA237" s="10">
        <v>0</v>
      </c>
      <c r="AB237" s="14">
        <v>0</v>
      </c>
      <c r="AC237" s="11">
        <v>-81.099999999999994</v>
      </c>
      <c r="AD237" s="14">
        <v>-4.0774873426949621E-3</v>
      </c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 t="s">
        <v>91</v>
      </c>
    </row>
    <row r="238" spans="1:52" ht="18" hidden="1" customHeight="1" x14ac:dyDescent="0.25">
      <c r="A238" s="4">
        <v>119</v>
      </c>
      <c r="B238" s="4">
        <v>1</v>
      </c>
      <c r="C238" s="4">
        <v>119</v>
      </c>
      <c r="D238" s="85">
        <v>45259</v>
      </c>
      <c r="E238" s="85">
        <v>45264</v>
      </c>
      <c r="F238" s="85">
        <v>45267</v>
      </c>
      <c r="G238" s="5">
        <v>20096.599999999999</v>
      </c>
      <c r="H238" s="5">
        <v>20686.8</v>
      </c>
      <c r="I238" s="5">
        <v>590.20000000000005</v>
      </c>
      <c r="J238" s="6">
        <v>2.9368151826677149E-2</v>
      </c>
      <c r="K238" s="91">
        <f t="array" ref="K238">MAX(IF((D238&lt;[1]Nifty_D!$B$2:$B$6600)*(E238&gt;=[1]Nifty_D!$B$2:$B$6600),[1]Nifty_D!$F$2:$F$6600,""))</f>
        <v>20686.8</v>
      </c>
      <c r="L238" s="92">
        <f t="shared" si="13"/>
        <v>2.9368151826677291E-2</v>
      </c>
      <c r="M238" s="91">
        <f t="shared" si="14"/>
        <v>9062.9</v>
      </c>
      <c r="N238" s="93">
        <f t="array" ref="N238">INDEX([1]Nifty_D!$B$2:$B$6600,MATCH(E238,[1]Nifty_D!$B$2:$B$6600,0)-1)</f>
        <v>45261</v>
      </c>
      <c r="O238" s="89">
        <f>VLOOKUP(N238,[1]Nifty_D!$B$2:$F$6600,5,0)</f>
        <v>20267.900000000001</v>
      </c>
      <c r="P238" s="92">
        <f t="shared" si="15"/>
        <v>8.5238299015755192E-3</v>
      </c>
      <c r="Q238" s="7" t="s">
        <v>28</v>
      </c>
      <c r="R238" s="4">
        <v>20100</v>
      </c>
      <c r="S238" s="102"/>
      <c r="T238" s="102"/>
      <c r="U238" s="7" t="s">
        <v>90</v>
      </c>
      <c r="V238" s="4">
        <v>65</v>
      </c>
      <c r="W238" s="5">
        <v>178.6</v>
      </c>
      <c r="X238" s="5">
        <v>610.79999999999995</v>
      </c>
      <c r="Y238" s="8">
        <v>-2.3026</v>
      </c>
      <c r="Z238" s="8">
        <v>0.27289999999999998</v>
      </c>
      <c r="AA238" s="5">
        <v>-432.2</v>
      </c>
      <c r="AB238" s="6">
        <v>-2.1506125414249181E-2</v>
      </c>
      <c r="AC238" s="4">
        <v>0</v>
      </c>
      <c r="AD238" s="6">
        <v>0</v>
      </c>
      <c r="AE238" s="5">
        <v>42618.7</v>
      </c>
      <c r="AF238" s="5">
        <v>43918.6</v>
      </c>
      <c r="AG238" s="5">
        <v>1299.9000000000001</v>
      </c>
      <c r="AH238" s="5">
        <v>3.0501</v>
      </c>
      <c r="AI238" s="4">
        <v>5</v>
      </c>
      <c r="AJ238" s="5">
        <v>-8.3333000000000004E-2</v>
      </c>
      <c r="AK238" s="5">
        <v>1264.3843999999999</v>
      </c>
      <c r="AL238" s="5">
        <v>2.9666999999999999</v>
      </c>
      <c r="AM238" s="8">
        <v>-0.33339999999999997</v>
      </c>
      <c r="AN238" s="8">
        <v>3.5042</v>
      </c>
      <c r="AO238" s="15">
        <v>729.28440000000001</v>
      </c>
      <c r="AP238" s="15">
        <v>0.30409999999999998</v>
      </c>
      <c r="AQ238" s="5">
        <v>121.89190000000001</v>
      </c>
      <c r="AR238" s="5">
        <v>122.0188</v>
      </c>
      <c r="AS238" s="5">
        <v>-0.12690000000000001</v>
      </c>
      <c r="AT238" s="5">
        <v>-0.104</v>
      </c>
      <c r="AU238" s="8">
        <v>0.64129999999999998</v>
      </c>
      <c r="AV238" s="8">
        <v>0.1109</v>
      </c>
      <c r="AW238" s="8">
        <v>0.1109</v>
      </c>
      <c r="AX238" s="5">
        <v>121.6571</v>
      </c>
      <c r="AY238" s="5">
        <v>-0.29649999999999999</v>
      </c>
      <c r="AZ238" s="7" t="s">
        <v>97</v>
      </c>
    </row>
    <row r="239" spans="1:52" ht="18" customHeight="1" x14ac:dyDescent="0.25">
      <c r="A239" s="10">
        <v>119</v>
      </c>
      <c r="B239" s="10">
        <v>2</v>
      </c>
      <c r="C239" s="10">
        <v>119</v>
      </c>
      <c r="D239" s="86">
        <v>45259</v>
      </c>
      <c r="E239" s="86">
        <v>45264</v>
      </c>
      <c r="F239" s="86">
        <v>45288</v>
      </c>
      <c r="G239" s="11">
        <v>20096.599999999999</v>
      </c>
      <c r="H239" s="11">
        <v>20686.8</v>
      </c>
      <c r="I239" s="12"/>
      <c r="J239" s="12"/>
      <c r="K239" s="91">
        <f t="array" ref="K239">MAX(IF((D239&lt;[1]Nifty_D!$B$2:$B$6600)*(E239&gt;=[1]Nifty_D!$B$2:$B$6600),[1]Nifty_D!$F$2:$F$6600,""))</f>
        <v>20686.8</v>
      </c>
      <c r="L239" s="92">
        <f t="shared" si="13"/>
        <v>2.9368151826677291E-2</v>
      </c>
      <c r="M239" s="91">
        <f t="shared" si="14"/>
        <v>9062.9</v>
      </c>
      <c r="N239" s="93">
        <f t="array" ref="N239">INDEX([1]Nifty_D!$B$2:$B$6600,MATCH(E239,[1]Nifty_D!$B$2:$B$6600,0)-1)</f>
        <v>45261</v>
      </c>
      <c r="O239" s="89">
        <f>VLOOKUP(N239,[1]Nifty_D!$B$2:$F$6600,5,0)</f>
        <v>20267.900000000001</v>
      </c>
      <c r="P239" s="92">
        <f t="shared" si="15"/>
        <v>8.5238299015755192E-3</v>
      </c>
      <c r="Q239" s="12" t="s">
        <v>40</v>
      </c>
      <c r="R239" s="10">
        <v>20000</v>
      </c>
      <c r="S239" s="103">
        <f>MROUND(G239,500)</f>
        <v>20000</v>
      </c>
      <c r="T239" s="103">
        <f>S239-R239</f>
        <v>0</v>
      </c>
      <c r="U239" s="12" t="s">
        <v>92</v>
      </c>
      <c r="V239" s="10">
        <v>65</v>
      </c>
      <c r="W239" s="11">
        <v>144.6</v>
      </c>
      <c r="X239" s="11">
        <v>41.7</v>
      </c>
      <c r="Y239" s="13">
        <v>-0.56030000000000002</v>
      </c>
      <c r="Z239" s="13">
        <v>0.1714</v>
      </c>
      <c r="AA239" s="10">
        <v>0</v>
      </c>
      <c r="AB239" s="14">
        <v>0</v>
      </c>
      <c r="AC239" s="11">
        <v>-102.9</v>
      </c>
      <c r="AD239" s="14">
        <v>-5.1202691002458136E-3</v>
      </c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 t="s">
        <v>97</v>
      </c>
    </row>
    <row r="240" spans="1:52" ht="18" hidden="1" customHeight="1" x14ac:dyDescent="0.25">
      <c r="A240" s="4">
        <v>120</v>
      </c>
      <c r="B240" s="4">
        <v>1</v>
      </c>
      <c r="C240" s="4">
        <v>120</v>
      </c>
      <c r="D240" s="85">
        <v>45264</v>
      </c>
      <c r="E240" s="85">
        <v>45266</v>
      </c>
      <c r="F240" s="85">
        <v>45267</v>
      </c>
      <c r="G240" s="5">
        <v>20686.8</v>
      </c>
      <c r="H240" s="5">
        <v>20937.7</v>
      </c>
      <c r="I240" s="5">
        <v>250.9</v>
      </c>
      <c r="J240" s="6">
        <v>1.2128507067308621E-2</v>
      </c>
      <c r="K240" s="91">
        <f t="array" ref="K240">MAX(IF((D240&lt;[1]Nifty_D!$B$2:$B$6600)*(E240&gt;=[1]Nifty_D!$B$2:$B$6600),[1]Nifty_D!$F$2:$F$6600,""))</f>
        <v>20937.7</v>
      </c>
      <c r="L240" s="92">
        <f t="shared" si="13"/>
        <v>1.2128507067308725E-2</v>
      </c>
      <c r="M240" s="91">
        <f t="shared" si="14"/>
        <v>9313.8000000000011</v>
      </c>
      <c r="N240" s="93">
        <f t="array" ref="N240">INDEX([1]Nifty_D!$B$2:$B$6600,MATCH(E240,[1]Nifty_D!$B$2:$B$6600,0)-1)</f>
        <v>45265</v>
      </c>
      <c r="O240" s="89">
        <f>VLOOKUP(N240,[1]Nifty_D!$B$2:$F$6600,5,0)</f>
        <v>20855.099999999999</v>
      </c>
      <c r="P240" s="92">
        <f t="shared" si="15"/>
        <v>8.1356227159348204E-3</v>
      </c>
      <c r="Q240" s="7" t="s">
        <v>28</v>
      </c>
      <c r="R240" s="4">
        <v>20700</v>
      </c>
      <c r="S240" s="102"/>
      <c r="T240" s="102"/>
      <c r="U240" s="7" t="s">
        <v>90</v>
      </c>
      <c r="V240" s="4">
        <v>65</v>
      </c>
      <c r="W240" s="5">
        <v>104.2</v>
      </c>
      <c r="X240" s="5">
        <v>258.7</v>
      </c>
      <c r="Y240" s="8">
        <v>-0.84909999999999997</v>
      </c>
      <c r="Z240" s="8">
        <v>0</v>
      </c>
      <c r="AA240" s="5">
        <v>-154.5</v>
      </c>
      <c r="AB240" s="6">
        <v>-7.468530657230698E-3</v>
      </c>
      <c r="AC240" s="4">
        <v>0</v>
      </c>
      <c r="AD240" s="6">
        <v>0</v>
      </c>
      <c r="AE240" s="5">
        <v>43918.6</v>
      </c>
      <c r="AF240" s="5">
        <v>44232.45</v>
      </c>
      <c r="AG240" s="5">
        <v>313.85000000000002</v>
      </c>
      <c r="AH240" s="5">
        <v>0.71460000000000001</v>
      </c>
      <c r="AI240" s="4">
        <v>2</v>
      </c>
      <c r="AJ240" s="5">
        <v>-3.3333000000000002E-2</v>
      </c>
      <c r="AK240" s="5">
        <v>299.21050000000002</v>
      </c>
      <c r="AL240" s="5">
        <v>0.68130000000000002</v>
      </c>
      <c r="AM240" s="8">
        <v>-0.60289999999999999</v>
      </c>
      <c r="AN240" s="8">
        <v>1.1415</v>
      </c>
      <c r="AO240" s="15">
        <v>94.360500000000002</v>
      </c>
      <c r="AP240" s="15">
        <v>-0.30890000000000001</v>
      </c>
      <c r="AQ240" s="5">
        <v>121.5154</v>
      </c>
      <c r="AR240" s="5">
        <v>122.0188</v>
      </c>
      <c r="AS240" s="5">
        <v>-0.50349999999999995</v>
      </c>
      <c r="AT240" s="5">
        <v>-0.41260000000000002</v>
      </c>
      <c r="AU240" s="8">
        <v>3.7400000000000003E-2</v>
      </c>
      <c r="AV240" s="8">
        <v>-0.59440000000000004</v>
      </c>
      <c r="AW240" s="8">
        <v>-0.59440000000000004</v>
      </c>
      <c r="AX240" s="5">
        <v>121.1674</v>
      </c>
      <c r="AY240" s="5">
        <v>-0.69779999999999998</v>
      </c>
      <c r="AZ240" s="7" t="s">
        <v>91</v>
      </c>
    </row>
    <row r="241" spans="1:52" ht="18" customHeight="1" x14ac:dyDescent="0.25">
      <c r="A241" s="10">
        <v>120</v>
      </c>
      <c r="B241" s="10">
        <v>2</v>
      </c>
      <c r="C241" s="10">
        <v>120</v>
      </c>
      <c r="D241" s="86">
        <v>45264</v>
      </c>
      <c r="E241" s="86">
        <v>45266</v>
      </c>
      <c r="F241" s="86">
        <v>45288</v>
      </c>
      <c r="G241" s="11">
        <v>20686.8</v>
      </c>
      <c r="H241" s="11">
        <v>20937.7</v>
      </c>
      <c r="I241" s="12"/>
      <c r="J241" s="12"/>
      <c r="K241" s="91">
        <f t="array" ref="K241">MAX(IF((D241&lt;[1]Nifty_D!$B$2:$B$6600)*(E241&gt;=[1]Nifty_D!$B$2:$B$6600),[1]Nifty_D!$F$2:$F$6600,""))</f>
        <v>20937.7</v>
      </c>
      <c r="L241" s="92">
        <f t="shared" si="13"/>
        <v>1.2128507067308725E-2</v>
      </c>
      <c r="M241" s="91">
        <f t="shared" si="14"/>
        <v>9313.8000000000011</v>
      </c>
      <c r="N241" s="93">
        <f t="array" ref="N241">INDEX([1]Nifty_D!$B$2:$B$6600,MATCH(E241,[1]Nifty_D!$B$2:$B$6600,0)-1)</f>
        <v>45265</v>
      </c>
      <c r="O241" s="89">
        <f>VLOOKUP(N241,[1]Nifty_D!$B$2:$F$6600,5,0)</f>
        <v>20855.099999999999</v>
      </c>
      <c r="P241" s="92">
        <f t="shared" si="15"/>
        <v>8.1356227159348204E-3</v>
      </c>
      <c r="Q241" s="12" t="s">
        <v>40</v>
      </c>
      <c r="R241" s="10">
        <v>20500</v>
      </c>
      <c r="S241" s="103">
        <f>MROUND(G241,500)</f>
        <v>20500</v>
      </c>
      <c r="T241" s="103">
        <f>S241-R241</f>
        <v>0</v>
      </c>
      <c r="U241" s="12" t="s">
        <v>92</v>
      </c>
      <c r="V241" s="10">
        <v>65</v>
      </c>
      <c r="W241" s="11">
        <v>119.05</v>
      </c>
      <c r="X241" s="11">
        <v>68.7</v>
      </c>
      <c r="Y241" s="13">
        <v>-0.255</v>
      </c>
      <c r="Z241" s="13">
        <v>8.5000000000000006E-3</v>
      </c>
      <c r="AA241" s="10">
        <v>0</v>
      </c>
      <c r="AB241" s="14">
        <v>0</v>
      </c>
      <c r="AC241" s="11">
        <v>-50.35</v>
      </c>
      <c r="AD241" s="14">
        <v>-2.4339192141848908E-3</v>
      </c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 t="s">
        <v>91</v>
      </c>
    </row>
    <row r="242" spans="1:52" ht="18" hidden="1" customHeight="1" x14ac:dyDescent="0.25">
      <c r="A242" s="4">
        <v>121</v>
      </c>
      <c r="B242" s="4">
        <v>1</v>
      </c>
      <c r="C242" s="4">
        <v>121</v>
      </c>
      <c r="D242" s="85">
        <v>45266</v>
      </c>
      <c r="E242" s="85">
        <v>45273</v>
      </c>
      <c r="F242" s="85">
        <v>45274</v>
      </c>
      <c r="G242" s="5">
        <v>20937.7</v>
      </c>
      <c r="H242" s="5">
        <v>20926.349999999999</v>
      </c>
      <c r="I242" s="5">
        <v>-11.35</v>
      </c>
      <c r="J242" s="6">
        <v>-5.4208437411941131E-4</v>
      </c>
      <c r="K242" s="91">
        <f t="array" ref="K242">MAX(IF((D242&lt;[1]Nifty_D!$B$2:$B$6600)*(E242&gt;=[1]Nifty_D!$B$2:$B$6600),[1]Nifty_D!$F$2:$F$6600,""))</f>
        <v>20997.1</v>
      </c>
      <c r="L242" s="92">
        <f t="shared" si="13"/>
        <v>2.8369878257878955E-3</v>
      </c>
      <c r="M242" s="91">
        <f t="shared" si="14"/>
        <v>9373.1999999999989</v>
      </c>
      <c r="N242" s="93">
        <f t="array" ref="N242">INDEX([1]Nifty_D!$B$2:$B$6600,MATCH(E242,[1]Nifty_D!$B$2:$B$6600,0)-1)</f>
        <v>45272</v>
      </c>
      <c r="O242" s="89">
        <f>VLOOKUP(N242,[1]Nifty_D!$B$2:$F$6600,5,0)</f>
        <v>20906.400000000001</v>
      </c>
      <c r="P242" s="92">
        <f t="shared" si="15"/>
        <v>-1.4949110933865084E-3</v>
      </c>
      <c r="Q242" s="7" t="s">
        <v>28</v>
      </c>
      <c r="R242" s="4">
        <v>20900</v>
      </c>
      <c r="S242" s="102"/>
      <c r="T242" s="102"/>
      <c r="U242" s="7" t="s">
        <v>90</v>
      </c>
      <c r="V242" s="4">
        <v>65</v>
      </c>
      <c r="W242" s="5">
        <v>195.7</v>
      </c>
      <c r="X242" s="5">
        <v>66.7</v>
      </c>
      <c r="Y242" s="8">
        <v>-9.2200000000000004E-2</v>
      </c>
      <c r="Z242" s="8">
        <v>0.81669999999999998</v>
      </c>
      <c r="AA242" s="4">
        <v>129</v>
      </c>
      <c r="AB242" s="6">
        <v>6.1611351772162173E-3</v>
      </c>
      <c r="AC242" s="4">
        <v>0</v>
      </c>
      <c r="AD242" s="6">
        <v>0</v>
      </c>
      <c r="AE242" s="5">
        <v>44232.45</v>
      </c>
      <c r="AF242" s="5">
        <v>44947.3</v>
      </c>
      <c r="AG242" s="5">
        <v>714.85</v>
      </c>
      <c r="AH242" s="5">
        <v>1.6161000000000001</v>
      </c>
      <c r="AI242" s="4">
        <v>7</v>
      </c>
      <c r="AJ242" s="5">
        <v>-0.11666700000000001</v>
      </c>
      <c r="AK242" s="5">
        <v>663.24549999999999</v>
      </c>
      <c r="AL242" s="5">
        <v>1.4995000000000001</v>
      </c>
      <c r="AM242" s="8">
        <v>-0.52410000000000001</v>
      </c>
      <c r="AN242" s="8">
        <v>1.6112</v>
      </c>
      <c r="AO242" s="15">
        <v>733.39549999999997</v>
      </c>
      <c r="AP242" s="15">
        <v>1.8345</v>
      </c>
      <c r="AQ242" s="5">
        <v>123.74460000000001</v>
      </c>
      <c r="AR242" s="5">
        <v>123.74460000000001</v>
      </c>
      <c r="AS242" s="4">
        <v>0</v>
      </c>
      <c r="AT242" s="4">
        <v>0</v>
      </c>
      <c r="AU242" s="8">
        <v>1.0865</v>
      </c>
      <c r="AV242" s="8">
        <v>0.45710000000000001</v>
      </c>
      <c r="AW242" s="8">
        <v>0.45710000000000001</v>
      </c>
      <c r="AX242" s="5">
        <v>122.07080000000001</v>
      </c>
      <c r="AY242" s="5">
        <v>4.2599999999999999E-2</v>
      </c>
      <c r="AZ242" s="7" t="s">
        <v>91</v>
      </c>
    </row>
    <row r="243" spans="1:52" ht="18" customHeight="1" x14ac:dyDescent="0.25">
      <c r="A243" s="10">
        <v>121</v>
      </c>
      <c r="B243" s="10">
        <v>2</v>
      </c>
      <c r="C243" s="10">
        <v>121</v>
      </c>
      <c r="D243" s="86">
        <v>45266</v>
      </c>
      <c r="E243" s="86">
        <v>45273</v>
      </c>
      <c r="F243" s="86">
        <v>45288</v>
      </c>
      <c r="G243" s="11">
        <v>20937.7</v>
      </c>
      <c r="H243" s="11">
        <v>20926.349999999999</v>
      </c>
      <c r="I243" s="12"/>
      <c r="J243" s="12"/>
      <c r="K243" s="91">
        <f t="array" ref="K243">MAX(IF((D243&lt;[1]Nifty_D!$B$2:$B$6600)*(E243&gt;=[1]Nifty_D!$B$2:$B$6600),[1]Nifty_D!$F$2:$F$6600,""))</f>
        <v>20997.1</v>
      </c>
      <c r="L243" s="92">
        <f t="shared" si="13"/>
        <v>2.8369878257878955E-3</v>
      </c>
      <c r="M243" s="91">
        <f t="shared" si="14"/>
        <v>9373.1999999999989</v>
      </c>
      <c r="N243" s="93">
        <f t="array" ref="N243">INDEX([1]Nifty_D!$B$2:$B$6600,MATCH(E243,[1]Nifty_D!$B$2:$B$6600,0)-1)</f>
        <v>45272</v>
      </c>
      <c r="O243" s="89">
        <f>VLOOKUP(N243,[1]Nifty_D!$B$2:$F$6600,5,0)</f>
        <v>20906.400000000001</v>
      </c>
      <c r="P243" s="92">
        <f t="shared" si="15"/>
        <v>-1.4949110933865084E-3</v>
      </c>
      <c r="Q243" s="12" t="s">
        <v>40</v>
      </c>
      <c r="R243" s="10">
        <v>21000</v>
      </c>
      <c r="S243" s="103">
        <f>MROUND(G243,500)</f>
        <v>21000</v>
      </c>
      <c r="T243" s="103">
        <f>S243-R243</f>
        <v>0</v>
      </c>
      <c r="U243" s="12" t="s">
        <v>92</v>
      </c>
      <c r="V243" s="10">
        <v>65</v>
      </c>
      <c r="W243" s="11">
        <v>210.55</v>
      </c>
      <c r="X243" s="11">
        <v>151.69999999999999</v>
      </c>
      <c r="Y243" s="13">
        <v>-0.4325</v>
      </c>
      <c r="Z243" s="13">
        <v>0.16450000000000001</v>
      </c>
      <c r="AA243" s="10">
        <v>0</v>
      </c>
      <c r="AB243" s="14">
        <v>0</v>
      </c>
      <c r="AC243" s="11">
        <v>-58.85</v>
      </c>
      <c r="AD243" s="14">
        <v>-2.8107194199935999E-3</v>
      </c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 t="s">
        <v>91</v>
      </c>
    </row>
    <row r="244" spans="1:52" ht="18" hidden="1" customHeight="1" x14ac:dyDescent="0.25">
      <c r="A244" s="4">
        <v>122</v>
      </c>
      <c r="B244" s="4">
        <v>1</v>
      </c>
      <c r="C244" s="4">
        <v>122</v>
      </c>
      <c r="D244" s="85">
        <v>45273</v>
      </c>
      <c r="E244" s="85">
        <v>45274</v>
      </c>
      <c r="F244" s="85">
        <v>45281</v>
      </c>
      <c r="G244" s="5">
        <v>20926.349999999999</v>
      </c>
      <c r="H244" s="5">
        <v>21182.7</v>
      </c>
      <c r="I244" s="5">
        <v>256.35000000000002</v>
      </c>
      <c r="J244" s="6">
        <v>1.2250105727945869E-2</v>
      </c>
      <c r="K244" s="91">
        <f t="array" ref="K244">MAX(IF((D244&lt;[1]Nifty_D!$B$2:$B$6600)*(E244&gt;=[1]Nifty_D!$B$2:$B$6600),[1]Nifty_D!$F$2:$F$6600,""))</f>
        <v>21182.7</v>
      </c>
      <c r="L244" s="92">
        <f t="shared" si="13"/>
        <v>1.2250105727946048E-2</v>
      </c>
      <c r="M244" s="91">
        <f t="shared" si="14"/>
        <v>9558.8000000000011</v>
      </c>
      <c r="N244" s="93">
        <f t="array" ref="N244">INDEX([1]Nifty_D!$B$2:$B$6600,MATCH(E244,[1]Nifty_D!$B$2:$B$6600,0)-1)</f>
        <v>45273</v>
      </c>
      <c r="O244" s="89">
        <f>VLOOKUP(N244,[1]Nifty_D!$B$2:$F$6600,5,0)</f>
        <v>20926.349999999999</v>
      </c>
      <c r="P244" s="92">
        <f t="shared" si="15"/>
        <v>0</v>
      </c>
      <c r="Q244" s="7" t="s">
        <v>28</v>
      </c>
      <c r="R244" s="4">
        <v>20900</v>
      </c>
      <c r="S244" s="102"/>
      <c r="T244" s="102"/>
      <c r="U244" s="7" t="s">
        <v>90</v>
      </c>
      <c r="V244" s="4">
        <v>65</v>
      </c>
      <c r="W244" s="5">
        <v>177.25</v>
      </c>
      <c r="X244" s="5">
        <v>394.3</v>
      </c>
      <c r="Y244" s="8">
        <v>-1.1865000000000001</v>
      </c>
      <c r="Z244" s="8">
        <v>-0.32379999999999998</v>
      </c>
      <c r="AA244" s="5">
        <v>-217.05</v>
      </c>
      <c r="AB244" s="6">
        <v>-1.037209068948957E-2</v>
      </c>
      <c r="AC244" s="4">
        <v>0</v>
      </c>
      <c r="AD244" s="6">
        <v>0</v>
      </c>
      <c r="AE244" s="5">
        <v>44947.3</v>
      </c>
      <c r="AF244" s="5">
        <v>45534.3</v>
      </c>
      <c r="AG244" s="4">
        <v>587</v>
      </c>
      <c r="AH244" s="5">
        <v>1.306</v>
      </c>
      <c r="AI244" s="4">
        <v>1</v>
      </c>
      <c r="AJ244" s="5">
        <v>-1.6667000000000001E-2</v>
      </c>
      <c r="AK244" s="5">
        <v>579.50879999999995</v>
      </c>
      <c r="AL244" s="5">
        <v>1.2892999999999999</v>
      </c>
      <c r="AM244" s="8">
        <v>0.59319999999999995</v>
      </c>
      <c r="AN244" s="8">
        <v>1.4063000000000001</v>
      </c>
      <c r="AO244" s="15">
        <v>271.00880000000001</v>
      </c>
      <c r="AP244" s="15">
        <v>-0.18490000000000001</v>
      </c>
      <c r="AQ244" s="5">
        <v>123.5158</v>
      </c>
      <c r="AR244" s="5">
        <v>123.74460000000001</v>
      </c>
      <c r="AS244" s="5">
        <v>-0.2288</v>
      </c>
      <c r="AT244" s="5">
        <v>-0.18490000000000001</v>
      </c>
      <c r="AU244" s="8">
        <v>-0.24179999999999999</v>
      </c>
      <c r="AV244" s="8">
        <v>4.9099999999999998E-2</v>
      </c>
      <c r="AW244" s="8">
        <v>-0.24179999999999999</v>
      </c>
      <c r="AX244" s="5">
        <v>123.44540000000001</v>
      </c>
      <c r="AY244" s="5">
        <v>-0.24179999999999999</v>
      </c>
      <c r="AZ244" s="7" t="s">
        <v>97</v>
      </c>
    </row>
    <row r="245" spans="1:52" ht="18" customHeight="1" x14ac:dyDescent="0.25">
      <c r="A245" s="10">
        <v>122</v>
      </c>
      <c r="B245" s="10">
        <v>2</v>
      </c>
      <c r="C245" s="10">
        <v>122</v>
      </c>
      <c r="D245" s="86">
        <v>45273</v>
      </c>
      <c r="E245" s="86">
        <v>45274</v>
      </c>
      <c r="F245" s="86">
        <v>45288</v>
      </c>
      <c r="G245" s="11">
        <v>20926.349999999999</v>
      </c>
      <c r="H245" s="11">
        <v>21182.7</v>
      </c>
      <c r="I245" s="12"/>
      <c r="J245" s="12"/>
      <c r="K245" s="91">
        <f t="array" ref="K245">MAX(IF((D245&lt;[1]Nifty_D!$B$2:$B$6600)*(E245&gt;=[1]Nifty_D!$B$2:$B$6600),[1]Nifty_D!$F$2:$F$6600,""))</f>
        <v>21182.7</v>
      </c>
      <c r="L245" s="92">
        <f t="shared" si="13"/>
        <v>1.2250105727946048E-2</v>
      </c>
      <c r="M245" s="91">
        <f t="shared" si="14"/>
        <v>9558.8000000000011</v>
      </c>
      <c r="N245" s="93">
        <f t="array" ref="N245">INDEX([1]Nifty_D!$B$2:$B$6600,MATCH(E245,[1]Nifty_D!$B$2:$B$6600,0)-1)</f>
        <v>45273</v>
      </c>
      <c r="O245" s="89">
        <f>VLOOKUP(N245,[1]Nifty_D!$B$2:$F$6600,5,0)</f>
        <v>20926.349999999999</v>
      </c>
      <c r="P245" s="92">
        <f t="shared" si="15"/>
        <v>0</v>
      </c>
      <c r="Q245" s="12" t="s">
        <v>40</v>
      </c>
      <c r="R245" s="10">
        <v>21000</v>
      </c>
      <c r="S245" s="103">
        <f>MROUND(G245,500)</f>
        <v>21000</v>
      </c>
      <c r="T245" s="103">
        <f>S245-R245</f>
        <v>0</v>
      </c>
      <c r="U245" s="12" t="s">
        <v>92</v>
      </c>
      <c r="V245" s="10">
        <v>65</v>
      </c>
      <c r="W245" s="11">
        <v>151.69999999999999</v>
      </c>
      <c r="X245" s="11">
        <v>60.25</v>
      </c>
      <c r="Y245" s="13">
        <v>-0.46160000000000001</v>
      </c>
      <c r="Z245" s="13">
        <v>-0.2203</v>
      </c>
      <c r="AA245" s="10">
        <v>0</v>
      </c>
      <c r="AB245" s="14">
        <v>0</v>
      </c>
      <c r="AC245" s="11">
        <v>-91.45</v>
      </c>
      <c r="AD245" s="14">
        <v>-4.3700884291813912E-3</v>
      </c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 t="s">
        <v>97</v>
      </c>
    </row>
    <row r="246" spans="1:52" ht="18" hidden="1" customHeight="1" x14ac:dyDescent="0.25">
      <c r="A246" s="4">
        <v>123</v>
      </c>
      <c r="B246" s="4">
        <v>1</v>
      </c>
      <c r="C246" s="4">
        <v>123</v>
      </c>
      <c r="D246" s="85">
        <v>45274</v>
      </c>
      <c r="E246" s="85">
        <v>45275</v>
      </c>
      <c r="F246" s="85">
        <v>45281</v>
      </c>
      <c r="G246" s="5">
        <v>21182.7</v>
      </c>
      <c r="H246" s="5">
        <v>21456.65</v>
      </c>
      <c r="I246" s="5">
        <v>273.95</v>
      </c>
      <c r="J246" s="6">
        <v>1.293272340164379E-2</v>
      </c>
      <c r="K246" s="91">
        <f t="array" ref="K246">MAX(IF((D246&lt;[1]Nifty_D!$B$2:$B$6600)*(E246&gt;=[1]Nifty_D!$B$2:$B$6600),[1]Nifty_D!$F$2:$F$6600,""))</f>
        <v>21456.65</v>
      </c>
      <c r="L246" s="92">
        <f t="shared" si="13"/>
        <v>1.2932723401643864E-2</v>
      </c>
      <c r="M246" s="91">
        <f t="shared" si="14"/>
        <v>9832.7500000000018</v>
      </c>
      <c r="N246" s="93">
        <f t="array" ref="N246">INDEX([1]Nifty_D!$B$2:$B$6600,MATCH(E246,[1]Nifty_D!$B$2:$B$6600,0)-1)</f>
        <v>45274</v>
      </c>
      <c r="O246" s="89">
        <f>VLOOKUP(N246,[1]Nifty_D!$B$2:$F$6600,5,0)</f>
        <v>21182.7</v>
      </c>
      <c r="P246" s="92">
        <f t="shared" si="15"/>
        <v>0</v>
      </c>
      <c r="Q246" s="7" t="s">
        <v>28</v>
      </c>
      <c r="R246" s="4">
        <v>21200</v>
      </c>
      <c r="S246" s="102"/>
      <c r="T246" s="102"/>
      <c r="U246" s="7" t="s">
        <v>90</v>
      </c>
      <c r="V246" s="4">
        <v>65</v>
      </c>
      <c r="W246" s="5">
        <v>162.1</v>
      </c>
      <c r="X246" s="5">
        <v>342.25</v>
      </c>
      <c r="Y246" s="8">
        <v>-1.0421</v>
      </c>
      <c r="Z246" s="8">
        <v>-4.3900000000000002E-2</v>
      </c>
      <c r="AA246" s="5">
        <v>-180.15</v>
      </c>
      <c r="AB246" s="6">
        <v>-8.5045815689218096E-3</v>
      </c>
      <c r="AC246" s="4">
        <v>0</v>
      </c>
      <c r="AD246" s="6">
        <v>0</v>
      </c>
      <c r="AE246" s="5">
        <v>45534.3</v>
      </c>
      <c r="AF246" s="5">
        <v>45586.55</v>
      </c>
      <c r="AG246" s="5">
        <v>52.25</v>
      </c>
      <c r="AH246" s="5">
        <v>0.1147</v>
      </c>
      <c r="AI246" s="4">
        <v>1</v>
      </c>
      <c r="AJ246" s="5">
        <v>-1.6667000000000001E-2</v>
      </c>
      <c r="AK246" s="5">
        <v>44.661000000000001</v>
      </c>
      <c r="AL246" s="5">
        <v>9.8100000000000007E-2</v>
      </c>
      <c r="AM246" s="8">
        <v>-6.0999999999999999E-2</v>
      </c>
      <c r="AN246" s="8">
        <v>0.59850000000000003</v>
      </c>
      <c r="AO246" s="9">
        <v>-153.4391</v>
      </c>
      <c r="AP246" s="9">
        <v>-0.83709999999999996</v>
      </c>
      <c r="AQ246" s="5">
        <v>122.48180000000001</v>
      </c>
      <c r="AR246" s="5">
        <v>123.74460000000001</v>
      </c>
      <c r="AS246" s="5">
        <v>-1.2627999999999999</v>
      </c>
      <c r="AT246" s="5">
        <v>-1.0205</v>
      </c>
      <c r="AU246" s="8">
        <v>-0.54200000000000004</v>
      </c>
      <c r="AV246" s="8">
        <v>-0.13769999999999999</v>
      </c>
      <c r="AW246" s="8">
        <v>-0.83709999999999996</v>
      </c>
      <c r="AX246" s="5">
        <v>122.48180000000001</v>
      </c>
      <c r="AY246" s="5">
        <v>-1.0205</v>
      </c>
      <c r="AZ246" s="7" t="s">
        <v>97</v>
      </c>
    </row>
    <row r="247" spans="1:52" ht="18" customHeight="1" x14ac:dyDescent="0.25">
      <c r="A247" s="10">
        <v>123</v>
      </c>
      <c r="B247" s="10">
        <v>2</v>
      </c>
      <c r="C247" s="10">
        <v>123</v>
      </c>
      <c r="D247" s="86">
        <v>45274</v>
      </c>
      <c r="E247" s="86">
        <v>45275</v>
      </c>
      <c r="F247" s="86">
        <v>45288</v>
      </c>
      <c r="G247" s="11">
        <v>21182.7</v>
      </c>
      <c r="H247" s="11">
        <v>21456.65</v>
      </c>
      <c r="I247" s="12"/>
      <c r="J247" s="12"/>
      <c r="K247" s="91">
        <f t="array" ref="K247">MAX(IF((D247&lt;[1]Nifty_D!$B$2:$B$6600)*(E247&gt;=[1]Nifty_D!$B$2:$B$6600),[1]Nifty_D!$F$2:$F$6600,""))</f>
        <v>21456.65</v>
      </c>
      <c r="L247" s="92">
        <f t="shared" si="13"/>
        <v>1.2932723401643864E-2</v>
      </c>
      <c r="M247" s="91">
        <f t="shared" si="14"/>
        <v>9832.7500000000018</v>
      </c>
      <c r="N247" s="93">
        <f t="array" ref="N247">INDEX([1]Nifty_D!$B$2:$B$6600,MATCH(E247,[1]Nifty_D!$B$2:$B$6600,0)-1)</f>
        <v>45274</v>
      </c>
      <c r="O247" s="89">
        <f>VLOOKUP(N247,[1]Nifty_D!$B$2:$F$6600,5,0)</f>
        <v>21182.7</v>
      </c>
      <c r="P247" s="92">
        <f t="shared" si="15"/>
        <v>0</v>
      </c>
      <c r="Q247" s="12" t="s">
        <v>40</v>
      </c>
      <c r="R247" s="10">
        <v>21000</v>
      </c>
      <c r="S247" s="103">
        <f>MROUND(G247,500)</f>
        <v>21000</v>
      </c>
      <c r="T247" s="103">
        <f>S247-R247</f>
        <v>0</v>
      </c>
      <c r="U247" s="12" t="s">
        <v>92</v>
      </c>
      <c r="V247" s="10">
        <v>65</v>
      </c>
      <c r="W247" s="11">
        <v>60.25</v>
      </c>
      <c r="X247" s="11">
        <v>42.3</v>
      </c>
      <c r="Y247" s="13">
        <v>-9.8400000000000001E-2</v>
      </c>
      <c r="Z247" s="13">
        <v>-3.2800000000000003E-2</v>
      </c>
      <c r="AA247" s="10">
        <v>0</v>
      </c>
      <c r="AB247" s="14">
        <v>0</v>
      </c>
      <c r="AC247" s="11">
        <v>-17.95</v>
      </c>
      <c r="AD247" s="14">
        <v>-8.4738961511044385E-4</v>
      </c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 t="s">
        <v>97</v>
      </c>
    </row>
    <row r="248" spans="1:52" ht="18" hidden="1" customHeight="1" x14ac:dyDescent="0.25">
      <c r="A248" s="4">
        <v>124</v>
      </c>
      <c r="B248" s="4">
        <v>1</v>
      </c>
      <c r="C248" s="4">
        <v>124</v>
      </c>
      <c r="D248" s="85">
        <v>45275</v>
      </c>
      <c r="E248" s="85">
        <v>45280</v>
      </c>
      <c r="F248" s="85">
        <v>45281</v>
      </c>
      <c r="G248" s="5">
        <v>21456.65</v>
      </c>
      <c r="H248" s="5">
        <v>21150.15</v>
      </c>
      <c r="I248" s="5">
        <v>-306.5</v>
      </c>
      <c r="J248" s="6">
        <v>-1.428461572519475E-2</v>
      </c>
      <c r="K248" s="91">
        <f t="array" ref="K248">MAX(IF((D248&lt;[1]Nifty_D!$B$2:$B$6600)*(E248&gt;=[1]Nifty_D!$B$2:$B$6600),[1]Nifty_D!$F$2:$F$6600,""))</f>
        <v>21453.1</v>
      </c>
      <c r="L248" s="92">
        <f t="shared" si="13"/>
        <v>-1.6544987218425344E-4</v>
      </c>
      <c r="M248" s="91">
        <f t="shared" si="14"/>
        <v>9829.1999999999989</v>
      </c>
      <c r="N248" s="93">
        <f t="array" ref="N248">INDEX([1]Nifty_D!$B$2:$B$6600,MATCH(E248,[1]Nifty_D!$B$2:$B$6600,0)-1)</f>
        <v>45279</v>
      </c>
      <c r="O248" s="89">
        <f>VLOOKUP(N248,[1]Nifty_D!$B$2:$F$6600,5,0)</f>
        <v>21453.1</v>
      </c>
      <c r="P248" s="92">
        <f t="shared" si="15"/>
        <v>-1.6544987218425344E-4</v>
      </c>
      <c r="Q248" s="7" t="s">
        <v>28</v>
      </c>
      <c r="R248" s="4">
        <v>21500</v>
      </c>
      <c r="S248" s="102"/>
      <c r="T248" s="102"/>
      <c r="U248" s="7" t="s">
        <v>90</v>
      </c>
      <c r="V248" s="4">
        <v>65</v>
      </c>
      <c r="W248" s="5">
        <v>123.45</v>
      </c>
      <c r="X248" s="5">
        <v>4.7</v>
      </c>
      <c r="Y248" s="8">
        <v>-7.1999999999999998E-3</v>
      </c>
      <c r="Z248" s="8">
        <v>0.55900000000000005</v>
      </c>
      <c r="AA248" s="5">
        <v>118.75</v>
      </c>
      <c r="AB248" s="6">
        <v>5.5344147385542478E-3</v>
      </c>
      <c r="AC248" s="4">
        <v>0</v>
      </c>
      <c r="AD248" s="6">
        <v>0</v>
      </c>
      <c r="AE248" s="5">
        <v>45586.55</v>
      </c>
      <c r="AF248" s="5">
        <v>44024.95</v>
      </c>
      <c r="AG248" s="5">
        <v>-1561.6</v>
      </c>
      <c r="AH248" s="5">
        <v>-3.4256000000000002</v>
      </c>
      <c r="AI248" s="4">
        <v>5</v>
      </c>
      <c r="AJ248" s="5">
        <v>-8.3333000000000004E-2</v>
      </c>
      <c r="AK248" s="5">
        <v>-1599.5888</v>
      </c>
      <c r="AL248" s="5">
        <v>-3.5089000000000001</v>
      </c>
      <c r="AM248" s="8">
        <v>-3.8996</v>
      </c>
      <c r="AN248" s="8">
        <v>0.72640000000000005</v>
      </c>
      <c r="AO248" s="9">
        <v>-1310.8887999999999</v>
      </c>
      <c r="AP248" s="9">
        <v>-2.1634000000000002</v>
      </c>
      <c r="AQ248" s="5">
        <v>119.83199999999999</v>
      </c>
      <c r="AR248" s="5">
        <v>123.74460000000001</v>
      </c>
      <c r="AS248" s="5">
        <v>-3.9125000000000001</v>
      </c>
      <c r="AT248" s="5">
        <v>-3.1617999999999999</v>
      </c>
      <c r="AU248" s="8">
        <v>0.35239999999999999</v>
      </c>
      <c r="AV248" s="8">
        <v>-2.3113000000000001</v>
      </c>
      <c r="AW248" s="8">
        <v>-2.3113000000000001</v>
      </c>
      <c r="AX248" s="5">
        <v>119.65089999999999</v>
      </c>
      <c r="AY248" s="5">
        <v>-3.3081999999999998</v>
      </c>
      <c r="AZ248" s="7" t="s">
        <v>91</v>
      </c>
    </row>
    <row r="249" spans="1:52" ht="18" customHeight="1" x14ac:dyDescent="0.25">
      <c r="A249" s="10">
        <v>124</v>
      </c>
      <c r="B249" s="10">
        <v>2</v>
      </c>
      <c r="C249" s="10">
        <v>124</v>
      </c>
      <c r="D249" s="86">
        <v>45275</v>
      </c>
      <c r="E249" s="86">
        <v>45280</v>
      </c>
      <c r="F249" s="86">
        <v>45288</v>
      </c>
      <c r="G249" s="11">
        <v>21456.65</v>
      </c>
      <c r="H249" s="11">
        <v>21150.15</v>
      </c>
      <c r="I249" s="12"/>
      <c r="J249" s="12"/>
      <c r="K249" s="91">
        <f t="array" ref="K249">MAX(IF((D249&lt;[1]Nifty_D!$B$2:$B$6600)*(E249&gt;=[1]Nifty_D!$B$2:$B$6600),[1]Nifty_D!$F$2:$F$6600,""))</f>
        <v>21453.1</v>
      </c>
      <c r="L249" s="92">
        <f t="shared" si="13"/>
        <v>-1.6544987218425344E-4</v>
      </c>
      <c r="M249" s="91">
        <f t="shared" si="14"/>
        <v>9829.1999999999989</v>
      </c>
      <c r="N249" s="93">
        <f t="array" ref="N249">INDEX([1]Nifty_D!$B$2:$B$6600,MATCH(E249,[1]Nifty_D!$B$2:$B$6600,0)-1)</f>
        <v>45279</v>
      </c>
      <c r="O249" s="89">
        <f>VLOOKUP(N249,[1]Nifty_D!$B$2:$F$6600,5,0)</f>
        <v>21453.1</v>
      </c>
      <c r="P249" s="92">
        <f t="shared" si="15"/>
        <v>-1.6544987218425344E-4</v>
      </c>
      <c r="Q249" s="12" t="s">
        <v>40</v>
      </c>
      <c r="R249" s="10">
        <v>21500</v>
      </c>
      <c r="S249" s="103">
        <f>MROUND(G249,500)</f>
        <v>21500</v>
      </c>
      <c r="T249" s="103">
        <f>S249-R249</f>
        <v>0</v>
      </c>
      <c r="U249" s="12" t="s">
        <v>92</v>
      </c>
      <c r="V249" s="10">
        <v>65</v>
      </c>
      <c r="W249" s="10">
        <v>153</v>
      </c>
      <c r="X249" s="11">
        <v>322.95</v>
      </c>
      <c r="Y249" s="13">
        <v>-0.36680000000000001</v>
      </c>
      <c r="Z249" s="13">
        <v>1.0293000000000001</v>
      </c>
      <c r="AA249" s="10">
        <v>0</v>
      </c>
      <c r="AB249" s="14">
        <v>0</v>
      </c>
      <c r="AC249" s="11">
        <v>169.95</v>
      </c>
      <c r="AD249" s="14">
        <v>7.9206213458298466E-3</v>
      </c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 t="s">
        <v>91</v>
      </c>
    </row>
    <row r="250" spans="1:52" ht="18" hidden="1" customHeight="1" x14ac:dyDescent="0.25">
      <c r="A250" s="4">
        <v>125</v>
      </c>
      <c r="B250" s="4">
        <v>1</v>
      </c>
      <c r="C250" s="4">
        <v>125</v>
      </c>
      <c r="D250" s="85">
        <v>45280</v>
      </c>
      <c r="E250" s="85">
        <v>45286</v>
      </c>
      <c r="F250" s="85">
        <v>45288</v>
      </c>
      <c r="G250" s="5">
        <v>21150.15</v>
      </c>
      <c r="H250" s="5">
        <v>21441.35</v>
      </c>
      <c r="I250" s="5">
        <v>291.2</v>
      </c>
      <c r="J250" s="6">
        <v>1.376822386602459E-2</v>
      </c>
      <c r="K250" s="91">
        <f t="array" ref="K250">MAX(IF((D250&lt;[1]Nifty_D!$B$2:$B$6600)*(E250&gt;=[1]Nifty_D!$B$2:$B$6600),[1]Nifty_D!$F$2:$F$6600,""))</f>
        <v>21441.35</v>
      </c>
      <c r="L250" s="92">
        <f t="shared" si="13"/>
        <v>1.3768223866024387E-2</v>
      </c>
      <c r="M250" s="91">
        <f t="shared" si="14"/>
        <v>9817.4499999999989</v>
      </c>
      <c r="N250" s="93">
        <f t="array" ref="N250">INDEX([1]Nifty_D!$B$2:$B$6600,MATCH(E250,[1]Nifty_D!$B$2:$B$6600,0)-1)</f>
        <v>45282</v>
      </c>
      <c r="O250" s="89">
        <f>VLOOKUP(N250,[1]Nifty_D!$B$2:$F$6600,5,0)</f>
        <v>21349.4</v>
      </c>
      <c r="P250" s="92">
        <f t="shared" si="15"/>
        <v>9.4207369687684395E-3</v>
      </c>
      <c r="Q250" s="7" t="s">
        <v>28</v>
      </c>
      <c r="R250" s="4">
        <v>21200</v>
      </c>
      <c r="S250" s="102"/>
      <c r="T250" s="102"/>
      <c r="U250" s="7" t="s">
        <v>90</v>
      </c>
      <c r="V250" s="4">
        <v>65</v>
      </c>
      <c r="W250" s="5">
        <v>162.9</v>
      </c>
      <c r="X250" s="5">
        <v>297.5</v>
      </c>
      <c r="Y250" s="8">
        <v>-0.93779999999999997</v>
      </c>
      <c r="Z250" s="8">
        <v>0.38040000000000002</v>
      </c>
      <c r="AA250" s="5">
        <v>-134.6</v>
      </c>
      <c r="AB250" s="6">
        <v>-6.3640210589522997E-3</v>
      </c>
      <c r="AC250" s="4">
        <v>0</v>
      </c>
      <c r="AD250" s="6">
        <v>0</v>
      </c>
      <c r="AE250" s="5">
        <v>44024.95</v>
      </c>
      <c r="AF250" s="5">
        <v>45388.1</v>
      </c>
      <c r="AG250" s="5">
        <v>1363.15</v>
      </c>
      <c r="AH250" s="5">
        <v>3.0962999999999998</v>
      </c>
      <c r="AI250" s="4">
        <v>6</v>
      </c>
      <c r="AJ250" s="5">
        <v>-0.1</v>
      </c>
      <c r="AK250" s="5">
        <v>1319.1251</v>
      </c>
      <c r="AL250" s="5">
        <v>2.9963000000000002</v>
      </c>
      <c r="AM250" s="8">
        <v>-1.7055</v>
      </c>
      <c r="AN250" s="8">
        <v>3.2523</v>
      </c>
      <c r="AO250" s="15">
        <v>962.9751</v>
      </c>
      <c r="AP250" s="15">
        <v>1.3124</v>
      </c>
      <c r="AQ250" s="5">
        <v>121.40470000000001</v>
      </c>
      <c r="AR250" s="5">
        <v>123.74460000000001</v>
      </c>
      <c r="AS250" s="5">
        <v>-2.3397999999999999</v>
      </c>
      <c r="AT250" s="5">
        <v>-1.8909</v>
      </c>
      <c r="AU250" s="8">
        <v>1.1705000000000001</v>
      </c>
      <c r="AV250" s="8">
        <v>-0.66390000000000005</v>
      </c>
      <c r="AW250" s="8">
        <v>-0.66390000000000005</v>
      </c>
      <c r="AX250" s="5">
        <v>119.0365</v>
      </c>
      <c r="AY250" s="5">
        <v>-3.8047</v>
      </c>
      <c r="AZ250" s="7" t="s">
        <v>95</v>
      </c>
    </row>
    <row r="251" spans="1:52" ht="18" customHeight="1" x14ac:dyDescent="0.25">
      <c r="A251" s="10">
        <v>125</v>
      </c>
      <c r="B251" s="10">
        <v>2</v>
      </c>
      <c r="C251" s="10">
        <v>125</v>
      </c>
      <c r="D251" s="86">
        <v>45280</v>
      </c>
      <c r="E251" s="86">
        <v>45286</v>
      </c>
      <c r="F251" s="86">
        <v>45288</v>
      </c>
      <c r="G251" s="11">
        <v>21150.15</v>
      </c>
      <c r="H251" s="11">
        <v>21441.35</v>
      </c>
      <c r="I251" s="12"/>
      <c r="J251" s="12"/>
      <c r="K251" s="91">
        <f t="array" ref="K251">MAX(IF((D251&lt;[1]Nifty_D!$B$2:$B$6600)*(E251&gt;=[1]Nifty_D!$B$2:$B$6600),[1]Nifty_D!$F$2:$F$6600,""))</f>
        <v>21441.35</v>
      </c>
      <c r="L251" s="92">
        <f t="shared" si="13"/>
        <v>1.3768223866024387E-2</v>
      </c>
      <c r="M251" s="91">
        <f t="shared" si="14"/>
        <v>9817.4499999999989</v>
      </c>
      <c r="N251" s="93">
        <f t="array" ref="N251">INDEX([1]Nifty_D!$B$2:$B$6600,MATCH(E251,[1]Nifty_D!$B$2:$B$6600,0)-1)</f>
        <v>45282</v>
      </c>
      <c r="O251" s="89">
        <f>VLOOKUP(N251,[1]Nifty_D!$B$2:$F$6600,5,0)</f>
        <v>21349.4</v>
      </c>
      <c r="P251" s="92">
        <f t="shared" si="15"/>
        <v>9.4207369687684395E-3</v>
      </c>
      <c r="Q251" s="12" t="s">
        <v>40</v>
      </c>
      <c r="R251" s="10">
        <v>21500</v>
      </c>
      <c r="S251" s="103">
        <f>MROUND(G251,500)</f>
        <v>21000</v>
      </c>
      <c r="T251" s="103">
        <f>S251-R251</f>
        <v>-500</v>
      </c>
      <c r="U251" s="12" t="s">
        <v>92</v>
      </c>
      <c r="V251" s="10">
        <v>65</v>
      </c>
      <c r="W251" s="11">
        <v>322.95</v>
      </c>
      <c r="X251" s="11">
        <v>101.4</v>
      </c>
      <c r="Y251" s="13">
        <v>-1.1439999999999999</v>
      </c>
      <c r="Z251" s="13">
        <v>0.66120000000000001</v>
      </c>
      <c r="AA251" s="10">
        <v>0</v>
      </c>
      <c r="AB251" s="14">
        <v>0</v>
      </c>
      <c r="AC251" s="11">
        <v>-221.55</v>
      </c>
      <c r="AD251" s="14">
        <v>-1.047510301345381E-2</v>
      </c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 t="s">
        <v>95</v>
      </c>
    </row>
    <row r="252" spans="1:52" ht="18" hidden="1" customHeight="1" x14ac:dyDescent="0.25">
      <c r="A252" s="4">
        <v>126</v>
      </c>
      <c r="B252" s="4">
        <v>1</v>
      </c>
      <c r="C252" s="4">
        <v>126</v>
      </c>
      <c r="D252" s="85">
        <v>45286</v>
      </c>
      <c r="E252" s="85">
        <v>45287</v>
      </c>
      <c r="F252" s="85">
        <v>45288</v>
      </c>
      <c r="G252" s="5">
        <v>21441.35</v>
      </c>
      <c r="H252" s="5">
        <v>21654.75</v>
      </c>
      <c r="I252" s="5">
        <v>213.4</v>
      </c>
      <c r="J252" s="6">
        <v>9.9527315211029171E-3</v>
      </c>
      <c r="K252" s="91">
        <f t="array" ref="K252">MAX(IF((D252&lt;[1]Nifty_D!$B$2:$B$6600)*(E252&gt;=[1]Nifty_D!$B$2:$B$6600),[1]Nifty_D!$F$2:$F$6600,""))</f>
        <v>21654.75</v>
      </c>
      <c r="L252" s="92">
        <f t="shared" si="13"/>
        <v>9.9527315211029865E-3</v>
      </c>
      <c r="M252" s="91">
        <f t="shared" si="14"/>
        <v>10030.85</v>
      </c>
      <c r="N252" s="93">
        <f t="array" ref="N252">INDEX([1]Nifty_D!$B$2:$B$6600,MATCH(E252,[1]Nifty_D!$B$2:$B$6600,0)-1)</f>
        <v>45286</v>
      </c>
      <c r="O252" s="89">
        <f>VLOOKUP(N252,[1]Nifty_D!$B$2:$F$6600,5,0)</f>
        <v>21441.35</v>
      </c>
      <c r="P252" s="92">
        <f t="shared" si="15"/>
        <v>0</v>
      </c>
      <c r="Q252" s="7" t="s">
        <v>28</v>
      </c>
      <c r="R252" s="4">
        <v>21400</v>
      </c>
      <c r="S252" s="102"/>
      <c r="T252" s="102"/>
      <c r="U252" s="7" t="s">
        <v>90</v>
      </c>
      <c r="V252" s="4">
        <v>65</v>
      </c>
      <c r="W252" s="5">
        <v>134.55000000000001</v>
      </c>
      <c r="X252" s="5">
        <v>286.3</v>
      </c>
      <c r="Y252" s="8">
        <v>-0.85840000000000005</v>
      </c>
      <c r="Z252" s="8">
        <v>-7.2099999999999997E-2</v>
      </c>
      <c r="AA252" s="5">
        <v>-151.75</v>
      </c>
      <c r="AB252" s="6">
        <v>-7.0774461496127816E-3</v>
      </c>
      <c r="AC252" s="4">
        <v>0</v>
      </c>
      <c r="AD252" s="6">
        <v>0</v>
      </c>
      <c r="AE252" s="5">
        <v>45388.1</v>
      </c>
      <c r="AF252" s="5">
        <v>45558.95</v>
      </c>
      <c r="AG252" s="5">
        <v>170.85</v>
      </c>
      <c r="AH252" s="5">
        <v>0.37640000000000001</v>
      </c>
      <c r="AI252" s="4">
        <v>1</v>
      </c>
      <c r="AJ252" s="5">
        <v>-1.6667000000000001E-2</v>
      </c>
      <c r="AK252" s="5">
        <v>163.28530000000001</v>
      </c>
      <c r="AL252" s="5">
        <v>0.35980000000000001</v>
      </c>
      <c r="AM252" s="8">
        <v>-0.1192</v>
      </c>
      <c r="AN252" s="8">
        <v>0.85019999999999996</v>
      </c>
      <c r="AO252" s="9">
        <v>-71.664699999999996</v>
      </c>
      <c r="AP252" s="9">
        <v>-0.73599999999999999</v>
      </c>
      <c r="AQ252" s="5">
        <v>120.5112</v>
      </c>
      <c r="AR252" s="5">
        <v>123.74460000000001</v>
      </c>
      <c r="AS252" s="5">
        <v>-3.2334000000000001</v>
      </c>
      <c r="AT252" s="5">
        <v>-2.613</v>
      </c>
      <c r="AU252" s="8">
        <v>-0.40860000000000002</v>
      </c>
      <c r="AV252" s="8">
        <v>-0.29110000000000003</v>
      </c>
      <c r="AW252" s="8">
        <v>-0.73599999999999999</v>
      </c>
      <c r="AX252" s="5">
        <v>120.5112</v>
      </c>
      <c r="AY252" s="5">
        <v>-2.613</v>
      </c>
      <c r="AZ252" s="7" t="s">
        <v>91</v>
      </c>
    </row>
    <row r="253" spans="1:52" ht="18" customHeight="1" x14ac:dyDescent="0.25">
      <c r="A253" s="10">
        <v>126</v>
      </c>
      <c r="B253" s="10">
        <v>2</v>
      </c>
      <c r="C253" s="10">
        <v>126</v>
      </c>
      <c r="D253" s="86">
        <v>45286</v>
      </c>
      <c r="E253" s="86">
        <v>45287</v>
      </c>
      <c r="F253" s="86">
        <v>45288</v>
      </c>
      <c r="G253" s="11">
        <v>21441.35</v>
      </c>
      <c r="H253" s="11">
        <v>21654.75</v>
      </c>
      <c r="I253" s="12"/>
      <c r="J253" s="12"/>
      <c r="K253" s="91">
        <f t="array" ref="K253">MAX(IF((D253&lt;[1]Nifty_D!$B$2:$B$6600)*(E253&gt;=[1]Nifty_D!$B$2:$B$6600),[1]Nifty_D!$F$2:$F$6600,""))</f>
        <v>21654.75</v>
      </c>
      <c r="L253" s="92">
        <f t="shared" si="13"/>
        <v>9.9527315211029865E-3</v>
      </c>
      <c r="M253" s="91">
        <f t="shared" si="14"/>
        <v>10030.85</v>
      </c>
      <c r="N253" s="93">
        <f t="array" ref="N253">INDEX([1]Nifty_D!$B$2:$B$6600,MATCH(E253,[1]Nifty_D!$B$2:$B$6600,0)-1)</f>
        <v>45286</v>
      </c>
      <c r="O253" s="89">
        <f>VLOOKUP(N253,[1]Nifty_D!$B$2:$F$6600,5,0)</f>
        <v>21441.35</v>
      </c>
      <c r="P253" s="92">
        <f t="shared" si="15"/>
        <v>0</v>
      </c>
      <c r="Q253" s="12" t="s">
        <v>40</v>
      </c>
      <c r="R253" s="10">
        <v>21500</v>
      </c>
      <c r="S253" s="103">
        <f>MROUND(G253,500)</f>
        <v>21500</v>
      </c>
      <c r="T253" s="103">
        <f>S253-R253</f>
        <v>0</v>
      </c>
      <c r="U253" s="12" t="s">
        <v>92</v>
      </c>
      <c r="V253" s="10">
        <v>65</v>
      </c>
      <c r="W253" s="11">
        <v>101.4</v>
      </c>
      <c r="X253" s="11">
        <v>18.2</v>
      </c>
      <c r="Y253" s="13">
        <v>-0.40039999999999998</v>
      </c>
      <c r="Z253" s="13">
        <v>-9.98E-2</v>
      </c>
      <c r="AA253" s="10">
        <v>0</v>
      </c>
      <c r="AB253" s="14">
        <v>0</v>
      </c>
      <c r="AC253" s="11">
        <v>-83.2</v>
      </c>
      <c r="AD253" s="14">
        <v>-3.880352683016695E-3</v>
      </c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 t="s">
        <v>91</v>
      </c>
    </row>
    <row r="254" spans="1:52" ht="18" hidden="1" customHeight="1" x14ac:dyDescent="0.25">
      <c r="A254" s="4">
        <v>127</v>
      </c>
      <c r="B254" s="4">
        <v>1</v>
      </c>
      <c r="C254" s="4">
        <v>127</v>
      </c>
      <c r="D254" s="85">
        <v>45287</v>
      </c>
      <c r="E254" s="85">
        <v>45294</v>
      </c>
      <c r="F254" s="85">
        <v>45295</v>
      </c>
      <c r="G254" s="5">
        <v>21654.75</v>
      </c>
      <c r="H254" s="5">
        <v>21517.35</v>
      </c>
      <c r="I254" s="5">
        <v>-137.4</v>
      </c>
      <c r="J254" s="6">
        <v>-6.3450282270633464E-3</v>
      </c>
      <c r="K254" s="91">
        <f t="array" ref="K254">MAX(IF((D254&lt;[1]Nifty_D!$B$2:$B$6600)*(E254&gt;=[1]Nifty_D!$B$2:$B$6600),[1]Nifty_D!$F$2:$F$6600,""))</f>
        <v>21778.7</v>
      </c>
      <c r="L254" s="92">
        <f t="shared" si="13"/>
        <v>5.7239173853311787E-3</v>
      </c>
      <c r="M254" s="91">
        <f t="shared" si="14"/>
        <v>10154.800000000001</v>
      </c>
      <c r="N254" s="93">
        <f t="array" ref="N254">INDEX([1]Nifty_D!$B$2:$B$6600,MATCH(E254,[1]Nifty_D!$B$2:$B$6600,0)-1)</f>
        <v>45293</v>
      </c>
      <c r="O254" s="89">
        <f>VLOOKUP(N254,[1]Nifty_D!$B$2:$F$6600,5,0)</f>
        <v>21665.8</v>
      </c>
      <c r="P254" s="92">
        <f t="shared" si="15"/>
        <v>5.1028065435976266E-4</v>
      </c>
      <c r="Q254" s="7" t="s">
        <v>28</v>
      </c>
      <c r="R254" s="4">
        <v>21700</v>
      </c>
      <c r="S254" s="102"/>
      <c r="T254" s="102"/>
      <c r="U254" s="7" t="s">
        <v>90</v>
      </c>
      <c r="V254" s="4">
        <v>65</v>
      </c>
      <c r="W254" s="5">
        <v>207.3</v>
      </c>
      <c r="X254" s="5">
        <v>7.95</v>
      </c>
      <c r="Y254" s="8">
        <v>-0.42809999999999998</v>
      </c>
      <c r="Z254" s="8">
        <v>0.92959999999999998</v>
      </c>
      <c r="AA254" s="5">
        <v>199.35</v>
      </c>
      <c r="AB254" s="6">
        <v>9.2058324386104663E-3</v>
      </c>
      <c r="AC254" s="4">
        <v>0</v>
      </c>
      <c r="AD254" s="6">
        <v>0</v>
      </c>
      <c r="AE254" s="5">
        <v>45558.95</v>
      </c>
      <c r="AF254" s="5">
        <v>46529.05</v>
      </c>
      <c r="AG254" s="5">
        <v>970.1</v>
      </c>
      <c r="AH254" s="5">
        <v>2.1293000000000002</v>
      </c>
      <c r="AI254" s="4">
        <v>7</v>
      </c>
      <c r="AJ254" s="5">
        <v>-0.11666700000000001</v>
      </c>
      <c r="AK254" s="5">
        <v>916.9479</v>
      </c>
      <c r="AL254" s="5">
        <v>2.0127000000000002</v>
      </c>
      <c r="AM254" s="8">
        <v>-3.8199999999999998E-2</v>
      </c>
      <c r="AN254" s="8">
        <v>2.2974999999999999</v>
      </c>
      <c r="AO254" s="15">
        <v>1131.4478999999999</v>
      </c>
      <c r="AP254" s="15">
        <v>3.0032000000000001</v>
      </c>
      <c r="AQ254" s="5">
        <v>124.13039999999999</v>
      </c>
      <c r="AR254" s="5">
        <v>124.13039999999999</v>
      </c>
      <c r="AS254" s="4">
        <v>0</v>
      </c>
      <c r="AT254" s="4">
        <v>0</v>
      </c>
      <c r="AU254" s="8">
        <v>1.4713000000000001</v>
      </c>
      <c r="AV254" s="8">
        <v>1.0112000000000001</v>
      </c>
      <c r="AW254" s="8">
        <v>1.0112000000000001</v>
      </c>
      <c r="AX254" s="5">
        <v>121.7298</v>
      </c>
      <c r="AY254" s="5">
        <v>-1.6282000000000001</v>
      </c>
      <c r="AZ254" s="7" t="s">
        <v>91</v>
      </c>
    </row>
    <row r="255" spans="1:52" ht="18" customHeight="1" x14ac:dyDescent="0.25">
      <c r="A255" s="10">
        <v>127</v>
      </c>
      <c r="B255" s="10">
        <v>2</v>
      </c>
      <c r="C255" s="10">
        <v>127</v>
      </c>
      <c r="D255" s="86">
        <v>45287</v>
      </c>
      <c r="E255" s="86">
        <v>45294</v>
      </c>
      <c r="F255" s="86">
        <v>45316</v>
      </c>
      <c r="G255" s="11">
        <v>21654.75</v>
      </c>
      <c r="H255" s="11">
        <v>21517.35</v>
      </c>
      <c r="I255" s="12"/>
      <c r="J255" s="12"/>
      <c r="K255" s="91">
        <f t="array" ref="K255">MAX(IF((D255&lt;[1]Nifty_D!$B$2:$B$6600)*(E255&gt;=[1]Nifty_D!$B$2:$B$6600),[1]Nifty_D!$F$2:$F$6600,""))</f>
        <v>21778.7</v>
      </c>
      <c r="L255" s="92">
        <f t="shared" si="13"/>
        <v>5.7239173853311787E-3</v>
      </c>
      <c r="M255" s="91">
        <f t="shared" si="14"/>
        <v>10154.800000000001</v>
      </c>
      <c r="N255" s="93">
        <f t="array" ref="N255">INDEX([1]Nifty_D!$B$2:$B$6600,MATCH(E255,[1]Nifty_D!$B$2:$B$6600,0)-1)</f>
        <v>45293</v>
      </c>
      <c r="O255" s="89">
        <f>VLOOKUP(N255,[1]Nifty_D!$B$2:$F$6600,5,0)</f>
        <v>21665.8</v>
      </c>
      <c r="P255" s="92">
        <f t="shared" si="15"/>
        <v>5.1028065435976266E-4</v>
      </c>
      <c r="Q255" s="12" t="s">
        <v>40</v>
      </c>
      <c r="R255" s="10">
        <v>21500</v>
      </c>
      <c r="S255" s="103">
        <f>MROUND(G255,500)</f>
        <v>21500</v>
      </c>
      <c r="T255" s="103">
        <f>S255-R255</f>
        <v>0</v>
      </c>
      <c r="U255" s="12" t="s">
        <v>92</v>
      </c>
      <c r="V255" s="10">
        <v>65</v>
      </c>
      <c r="W255" s="11">
        <v>220.6</v>
      </c>
      <c r="X255" s="11">
        <v>235.75</v>
      </c>
      <c r="Y255" s="13">
        <v>-0.39810000000000001</v>
      </c>
      <c r="Z255" s="13">
        <v>0.1198</v>
      </c>
      <c r="AA255" s="10">
        <v>0</v>
      </c>
      <c r="AB255" s="14">
        <v>0</v>
      </c>
      <c r="AC255" s="11">
        <v>15.15</v>
      </c>
      <c r="AD255" s="14">
        <v>6.9961555778755237E-4</v>
      </c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 t="s">
        <v>91</v>
      </c>
    </row>
    <row r="256" spans="1:52" ht="18" hidden="1" customHeight="1" x14ac:dyDescent="0.25">
      <c r="A256" s="4">
        <v>128</v>
      </c>
      <c r="B256" s="4">
        <v>1</v>
      </c>
      <c r="C256" s="4">
        <v>128</v>
      </c>
      <c r="D256" s="85">
        <v>45294</v>
      </c>
      <c r="E256" s="85">
        <v>45301</v>
      </c>
      <c r="F256" s="85">
        <v>45302</v>
      </c>
      <c r="G256" s="5">
        <v>21517.35</v>
      </c>
      <c r="H256" s="5">
        <v>21618.7</v>
      </c>
      <c r="I256" s="5">
        <v>101.35</v>
      </c>
      <c r="J256" s="6">
        <v>4.710152504839118E-3</v>
      </c>
      <c r="K256" s="91">
        <f t="array" ref="K256">MAX(IF((D256&lt;[1]Nifty_D!$B$2:$B$6600)*(E256&gt;=[1]Nifty_D!$B$2:$B$6600),[1]Nifty_D!$F$2:$F$6600,""))</f>
        <v>21710.799999999999</v>
      </c>
      <c r="L256" s="92">
        <f t="shared" si="13"/>
        <v>8.9904193592613701E-3</v>
      </c>
      <c r="M256" s="91">
        <f t="shared" si="14"/>
        <v>10086.9</v>
      </c>
      <c r="N256" s="93">
        <f t="array" ref="N256">INDEX([1]Nifty_D!$B$2:$B$6600,MATCH(E256,[1]Nifty_D!$B$2:$B$6600,0)-1)</f>
        <v>45300</v>
      </c>
      <c r="O256" s="89">
        <f>VLOOKUP(N256,[1]Nifty_D!$B$2:$F$6600,5,0)</f>
        <v>21544.85</v>
      </c>
      <c r="P256" s="92">
        <f t="shared" si="15"/>
        <v>1.2780384201587225E-3</v>
      </c>
      <c r="Q256" s="7" t="s">
        <v>28</v>
      </c>
      <c r="R256" s="4">
        <v>21500</v>
      </c>
      <c r="S256" s="102"/>
      <c r="T256" s="102"/>
      <c r="U256" s="7" t="s">
        <v>90</v>
      </c>
      <c r="V256" s="4">
        <v>65</v>
      </c>
      <c r="W256" s="5">
        <v>173.7</v>
      </c>
      <c r="X256" s="5">
        <v>171.7</v>
      </c>
      <c r="Y256" s="8">
        <v>-0.56330000000000002</v>
      </c>
      <c r="Z256" s="8">
        <v>0.53769999999999996</v>
      </c>
      <c r="AA256" s="4">
        <v>2</v>
      </c>
      <c r="AB256" s="6">
        <v>9.2948248738808459E-5</v>
      </c>
      <c r="AC256" s="4">
        <v>0</v>
      </c>
      <c r="AD256" s="6">
        <v>0</v>
      </c>
      <c r="AE256" s="5">
        <v>46529.05</v>
      </c>
      <c r="AF256" s="5">
        <v>47107.15</v>
      </c>
      <c r="AG256" s="5">
        <v>578.1</v>
      </c>
      <c r="AH256" s="5">
        <v>1.2423999999999999</v>
      </c>
      <c r="AI256" s="4">
        <v>7</v>
      </c>
      <c r="AJ256" s="5">
        <v>-0.11666700000000001</v>
      </c>
      <c r="AK256" s="5">
        <v>523.81610000000001</v>
      </c>
      <c r="AL256" s="5">
        <v>1.1257999999999999</v>
      </c>
      <c r="AM256" s="8">
        <v>-1.3899999999999999E-2</v>
      </c>
      <c r="AN256" s="8">
        <v>2.3704999999999998</v>
      </c>
      <c r="AO256" s="15">
        <v>422.31610000000001</v>
      </c>
      <c r="AP256" s="15">
        <v>0.65410000000000001</v>
      </c>
      <c r="AQ256" s="5">
        <v>124.9423</v>
      </c>
      <c r="AR256" s="5">
        <v>124.9423</v>
      </c>
      <c r="AS256" s="4">
        <v>0</v>
      </c>
      <c r="AT256" s="4">
        <v>0</v>
      </c>
      <c r="AU256" s="8">
        <v>1.2583</v>
      </c>
      <c r="AV256" s="8">
        <v>0.52259999999999995</v>
      </c>
      <c r="AW256" s="8">
        <v>0.52259999999999995</v>
      </c>
      <c r="AX256" s="5">
        <v>124.7791</v>
      </c>
      <c r="AY256" s="5">
        <v>0.52259999999999995</v>
      </c>
      <c r="AZ256" s="7" t="s">
        <v>91</v>
      </c>
    </row>
    <row r="257" spans="1:52" ht="18" customHeight="1" x14ac:dyDescent="0.25">
      <c r="A257" s="10">
        <v>128</v>
      </c>
      <c r="B257" s="10">
        <v>2</v>
      </c>
      <c r="C257" s="10">
        <v>128</v>
      </c>
      <c r="D257" s="86">
        <v>45294</v>
      </c>
      <c r="E257" s="86">
        <v>45301</v>
      </c>
      <c r="F257" s="86">
        <v>45316</v>
      </c>
      <c r="G257" s="11">
        <v>21517.35</v>
      </c>
      <c r="H257" s="11">
        <v>21618.7</v>
      </c>
      <c r="I257" s="12"/>
      <c r="J257" s="12"/>
      <c r="K257" s="91">
        <f t="array" ref="K257">MAX(IF((D257&lt;[1]Nifty_D!$B$2:$B$6600)*(E257&gt;=[1]Nifty_D!$B$2:$B$6600),[1]Nifty_D!$F$2:$F$6600,""))</f>
        <v>21710.799999999999</v>
      </c>
      <c r="L257" s="92">
        <f t="shared" si="13"/>
        <v>8.9904193592613701E-3</v>
      </c>
      <c r="M257" s="91">
        <f t="shared" si="14"/>
        <v>10086.9</v>
      </c>
      <c r="N257" s="93">
        <f t="array" ref="N257">INDEX([1]Nifty_D!$B$2:$B$6600,MATCH(E257,[1]Nifty_D!$B$2:$B$6600,0)-1)</f>
        <v>45300</v>
      </c>
      <c r="O257" s="89">
        <f>VLOOKUP(N257,[1]Nifty_D!$B$2:$F$6600,5,0)</f>
        <v>21544.85</v>
      </c>
      <c r="P257" s="92">
        <f t="shared" si="15"/>
        <v>1.2780384201587225E-3</v>
      </c>
      <c r="Q257" s="12" t="s">
        <v>40</v>
      </c>
      <c r="R257" s="10">
        <v>21500</v>
      </c>
      <c r="S257" s="103">
        <f>MROUND(G257,500)</f>
        <v>21500</v>
      </c>
      <c r="T257" s="103">
        <f>S257-R257</f>
        <v>0</v>
      </c>
      <c r="U257" s="12" t="s">
        <v>92</v>
      </c>
      <c r="V257" s="10">
        <v>65</v>
      </c>
      <c r="W257" s="11">
        <v>235.75</v>
      </c>
      <c r="X257" s="11">
        <v>132.25</v>
      </c>
      <c r="Y257" s="13">
        <v>-0.54890000000000005</v>
      </c>
      <c r="Z257" s="13">
        <v>-1.1999999999999999E-3</v>
      </c>
      <c r="AA257" s="10">
        <v>0</v>
      </c>
      <c r="AB257" s="14">
        <v>0</v>
      </c>
      <c r="AC257" s="11">
        <v>-103.5</v>
      </c>
      <c r="AD257" s="14">
        <v>-4.8100718722333376E-3</v>
      </c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 t="s">
        <v>91</v>
      </c>
    </row>
    <row r="258" spans="1:52" ht="18" hidden="1" customHeight="1" x14ac:dyDescent="0.25">
      <c r="A258" s="4">
        <v>129</v>
      </c>
      <c r="B258" s="4">
        <v>1</v>
      </c>
      <c r="C258" s="4">
        <v>129</v>
      </c>
      <c r="D258" s="85">
        <v>45301</v>
      </c>
      <c r="E258" s="85">
        <v>45303</v>
      </c>
      <c r="F258" s="85">
        <v>45309</v>
      </c>
      <c r="G258" s="5">
        <v>21618.7</v>
      </c>
      <c r="H258" s="5">
        <v>21894.55</v>
      </c>
      <c r="I258" s="5">
        <v>275.85000000000002</v>
      </c>
      <c r="J258" s="6">
        <v>1.275978666617327E-2</v>
      </c>
      <c r="K258" s="91">
        <f t="array" ref="K258">MAX(IF((D258&lt;[1]Nifty_D!$B$2:$B$6600)*(E258&gt;=[1]Nifty_D!$B$2:$B$6600),[1]Nifty_D!$F$2:$F$6600,""))</f>
        <v>21894.55</v>
      </c>
      <c r="L258" s="92">
        <f t="shared" si="13"/>
        <v>1.2759786666173278E-2</v>
      </c>
      <c r="M258" s="91">
        <f t="shared" si="14"/>
        <v>10270.65</v>
      </c>
      <c r="N258" s="93">
        <f t="array" ref="N258">INDEX([1]Nifty_D!$B$2:$B$6600,MATCH(E258,[1]Nifty_D!$B$2:$B$6600,0)-1)</f>
        <v>45302</v>
      </c>
      <c r="O258" s="89">
        <f>VLOOKUP(N258,[1]Nifty_D!$B$2:$F$6600,5,0)</f>
        <v>21647.200000000001</v>
      </c>
      <c r="P258" s="92">
        <f t="shared" si="15"/>
        <v>1.3183031357111297E-3</v>
      </c>
      <c r="Q258" s="7" t="s">
        <v>28</v>
      </c>
      <c r="R258" s="4">
        <v>21600</v>
      </c>
      <c r="S258" s="102"/>
      <c r="T258" s="102"/>
      <c r="U258" s="7" t="s">
        <v>90</v>
      </c>
      <c r="V258" s="4">
        <v>65</v>
      </c>
      <c r="W258" s="5">
        <v>192.85</v>
      </c>
      <c r="X258" s="5">
        <v>359.5</v>
      </c>
      <c r="Y258" s="8">
        <v>-1.0349999999999999</v>
      </c>
      <c r="Z258" s="8">
        <v>0.2271</v>
      </c>
      <c r="AA258" s="5">
        <v>-166.65</v>
      </c>
      <c r="AB258" s="6">
        <v>-7.7086041251324088E-3</v>
      </c>
      <c r="AC258" s="4">
        <v>0</v>
      </c>
      <c r="AD258" s="6">
        <v>0</v>
      </c>
      <c r="AE258" s="5">
        <v>47107.15</v>
      </c>
      <c r="AF258" s="5">
        <v>47512.6</v>
      </c>
      <c r="AG258" s="5">
        <v>405.45</v>
      </c>
      <c r="AH258" s="5">
        <v>0.86070000000000002</v>
      </c>
      <c r="AI258" s="4">
        <v>2</v>
      </c>
      <c r="AJ258" s="5">
        <v>-3.3333000000000002E-2</v>
      </c>
      <c r="AK258" s="5">
        <v>389.74759999999998</v>
      </c>
      <c r="AL258" s="5">
        <v>0.82740000000000002</v>
      </c>
      <c r="AM258" s="8">
        <v>0.1749</v>
      </c>
      <c r="AN258" s="8">
        <v>1.0027999999999999</v>
      </c>
      <c r="AO258" s="15">
        <v>157.74760000000001</v>
      </c>
      <c r="AP258" s="15">
        <v>-0.2457</v>
      </c>
      <c r="AQ258" s="5">
        <v>124.6353</v>
      </c>
      <c r="AR258" s="5">
        <v>124.9423</v>
      </c>
      <c r="AS258" s="5">
        <v>-0.307</v>
      </c>
      <c r="AT258" s="5">
        <v>-0.2457</v>
      </c>
      <c r="AU258" s="8">
        <v>-0.36919999999999997</v>
      </c>
      <c r="AV258" s="8">
        <v>0.50890000000000002</v>
      </c>
      <c r="AW258" s="8">
        <v>-0.36919999999999997</v>
      </c>
      <c r="AX258" s="5">
        <v>124.48099999999999</v>
      </c>
      <c r="AY258" s="5">
        <v>-0.36919999999999997</v>
      </c>
      <c r="AZ258" s="7" t="s">
        <v>97</v>
      </c>
    </row>
    <row r="259" spans="1:52" ht="18" customHeight="1" x14ac:dyDescent="0.25">
      <c r="A259" s="10">
        <v>129</v>
      </c>
      <c r="B259" s="10">
        <v>2</v>
      </c>
      <c r="C259" s="10">
        <v>129</v>
      </c>
      <c r="D259" s="86">
        <v>45301</v>
      </c>
      <c r="E259" s="86">
        <v>45303</v>
      </c>
      <c r="F259" s="86">
        <v>45316</v>
      </c>
      <c r="G259" s="11">
        <v>21618.7</v>
      </c>
      <c r="H259" s="11">
        <v>21894.55</v>
      </c>
      <c r="I259" s="12"/>
      <c r="J259" s="12"/>
      <c r="K259" s="91">
        <f t="array" ref="K259">MAX(IF((D259&lt;[1]Nifty_D!$B$2:$B$6600)*(E259&gt;=[1]Nifty_D!$B$2:$B$6600),[1]Nifty_D!$F$2:$F$6600,""))</f>
        <v>21894.55</v>
      </c>
      <c r="L259" s="92">
        <f t="shared" si="13"/>
        <v>1.2759786666173278E-2</v>
      </c>
      <c r="M259" s="91">
        <f t="shared" si="14"/>
        <v>10270.65</v>
      </c>
      <c r="N259" s="93">
        <f t="array" ref="N259">INDEX([1]Nifty_D!$B$2:$B$6600,MATCH(E259,[1]Nifty_D!$B$2:$B$6600,0)-1)</f>
        <v>45302</v>
      </c>
      <c r="O259" s="89">
        <f>VLOOKUP(N259,[1]Nifty_D!$B$2:$F$6600,5,0)</f>
        <v>21647.200000000001</v>
      </c>
      <c r="P259" s="92">
        <f t="shared" si="15"/>
        <v>1.3183031357111297E-3</v>
      </c>
      <c r="Q259" s="12" t="s">
        <v>40</v>
      </c>
      <c r="R259" s="10">
        <v>21500</v>
      </c>
      <c r="S259" s="103">
        <f>MROUND(G259,500)</f>
        <v>21500</v>
      </c>
      <c r="T259" s="103">
        <f>S259-R259</f>
        <v>0</v>
      </c>
      <c r="U259" s="12" t="s">
        <v>92</v>
      </c>
      <c r="V259" s="10">
        <v>65</v>
      </c>
      <c r="W259" s="11">
        <v>132.25</v>
      </c>
      <c r="X259" s="11">
        <v>66.900000000000006</v>
      </c>
      <c r="Y259" s="13">
        <v>-0.33700000000000002</v>
      </c>
      <c r="Z259" s="13">
        <v>0.1069</v>
      </c>
      <c r="AA259" s="10">
        <v>0</v>
      </c>
      <c r="AB259" s="14">
        <v>0</v>
      </c>
      <c r="AC259" s="11">
        <v>-65.349999999999994</v>
      </c>
      <c r="AD259" s="14">
        <v>-3.0228459620606231E-3</v>
      </c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 t="s">
        <v>97</v>
      </c>
    </row>
    <row r="260" spans="1:52" ht="18" hidden="1" customHeight="1" x14ac:dyDescent="0.25">
      <c r="A260" s="4">
        <v>130</v>
      </c>
      <c r="B260" s="4">
        <v>1</v>
      </c>
      <c r="C260" s="4">
        <v>130</v>
      </c>
      <c r="D260" s="85">
        <v>45303</v>
      </c>
      <c r="E260" s="85">
        <v>45308</v>
      </c>
      <c r="F260" s="85">
        <v>45309</v>
      </c>
      <c r="G260" s="5">
        <v>21894.55</v>
      </c>
      <c r="H260" s="5">
        <v>21571.95</v>
      </c>
      <c r="I260" s="5">
        <v>-322.60000000000002</v>
      </c>
      <c r="J260" s="6">
        <v>-1.473426035246214E-2</v>
      </c>
      <c r="K260" s="91">
        <f t="array" ref="K260">MAX(IF((D260&lt;[1]Nifty_D!$B$2:$B$6600)*(E260&gt;=[1]Nifty_D!$B$2:$B$6600),[1]Nifty_D!$F$2:$F$6600,""))</f>
        <v>22097.45</v>
      </c>
      <c r="L260" s="92">
        <f t="shared" si="13"/>
        <v>9.2671463903117868E-3</v>
      </c>
      <c r="M260" s="91">
        <f t="shared" si="14"/>
        <v>10473.550000000001</v>
      </c>
      <c r="N260" s="93">
        <f t="array" ref="N260">INDEX([1]Nifty_D!$B$2:$B$6600,MATCH(E260,[1]Nifty_D!$B$2:$B$6600,0)-1)</f>
        <v>45307</v>
      </c>
      <c r="O260" s="89">
        <f>VLOOKUP(N260,[1]Nifty_D!$B$2:$F$6600,5,0)</f>
        <v>22032.3</v>
      </c>
      <c r="P260" s="92">
        <f t="shared" si="15"/>
        <v>6.2915200358080181E-3</v>
      </c>
      <c r="Q260" s="7" t="s">
        <v>28</v>
      </c>
      <c r="R260" s="4">
        <v>21900</v>
      </c>
      <c r="S260" s="102"/>
      <c r="T260" s="102"/>
      <c r="U260" s="7" t="s">
        <v>90</v>
      </c>
      <c r="V260" s="4">
        <v>65</v>
      </c>
      <c r="W260" s="5">
        <v>144.15</v>
      </c>
      <c r="X260" s="5">
        <v>7.1</v>
      </c>
      <c r="Y260" s="8">
        <v>-0.5867</v>
      </c>
      <c r="Z260" s="8">
        <v>0.63439999999999996</v>
      </c>
      <c r="AA260" s="5">
        <v>137.05000000000001</v>
      </c>
      <c r="AB260" s="6">
        <v>6.2595486091287563E-3</v>
      </c>
      <c r="AC260" s="4">
        <v>0</v>
      </c>
      <c r="AD260" s="6">
        <v>0</v>
      </c>
      <c r="AE260" s="5">
        <v>47512.6</v>
      </c>
      <c r="AF260" s="5">
        <v>47151.55</v>
      </c>
      <c r="AG260" s="5">
        <v>-361.05</v>
      </c>
      <c r="AH260" s="5">
        <v>-0.75990000000000002</v>
      </c>
      <c r="AI260" s="4">
        <v>5</v>
      </c>
      <c r="AJ260" s="5">
        <v>-8.3333000000000004E-2</v>
      </c>
      <c r="AK260" s="5">
        <v>-400.6438</v>
      </c>
      <c r="AL260" s="5">
        <v>-0.84319999999999995</v>
      </c>
      <c r="AM260" s="8">
        <v>-1.3725000000000001</v>
      </c>
      <c r="AN260" s="8">
        <v>1.071</v>
      </c>
      <c r="AO260" s="9">
        <v>-21.343800000000002</v>
      </c>
      <c r="AP260" s="9">
        <v>0.88919999999999999</v>
      </c>
      <c r="AQ260" s="5">
        <v>125.7436</v>
      </c>
      <c r="AR260" s="5">
        <v>125.7436</v>
      </c>
      <c r="AS260" s="4">
        <v>0</v>
      </c>
      <c r="AT260" s="4">
        <v>0</v>
      </c>
      <c r="AU260" s="8">
        <v>5.2499999999999998E-2</v>
      </c>
      <c r="AV260" s="8">
        <v>0.47699999999999998</v>
      </c>
      <c r="AW260" s="8">
        <v>5.2499999999999998E-2</v>
      </c>
      <c r="AX260" s="5">
        <v>124.7008</v>
      </c>
      <c r="AY260" s="5">
        <v>-0.1933</v>
      </c>
      <c r="AZ260" s="7" t="s">
        <v>91</v>
      </c>
    </row>
    <row r="261" spans="1:52" ht="18" customHeight="1" x14ac:dyDescent="0.25">
      <c r="A261" s="10">
        <v>130</v>
      </c>
      <c r="B261" s="10">
        <v>2</v>
      </c>
      <c r="C261" s="10">
        <v>130</v>
      </c>
      <c r="D261" s="86">
        <v>45303</v>
      </c>
      <c r="E261" s="86">
        <v>45308</v>
      </c>
      <c r="F261" s="86">
        <v>45316</v>
      </c>
      <c r="G261" s="11">
        <v>21894.55</v>
      </c>
      <c r="H261" s="11">
        <v>21571.95</v>
      </c>
      <c r="I261" s="12"/>
      <c r="J261" s="12"/>
      <c r="K261" s="91">
        <f t="array" ref="K261">MAX(IF((D261&lt;[1]Nifty_D!$B$2:$B$6600)*(E261&gt;=[1]Nifty_D!$B$2:$B$6600),[1]Nifty_D!$F$2:$F$6600,""))</f>
        <v>22097.45</v>
      </c>
      <c r="L261" s="92">
        <f t="shared" si="13"/>
        <v>9.2671463903117868E-3</v>
      </c>
      <c r="M261" s="91">
        <f t="shared" si="14"/>
        <v>10473.550000000001</v>
      </c>
      <c r="N261" s="93">
        <f t="array" ref="N261">INDEX([1]Nifty_D!$B$2:$B$6600,MATCH(E261,[1]Nifty_D!$B$2:$B$6600,0)-1)</f>
        <v>45307</v>
      </c>
      <c r="O261" s="89">
        <f>VLOOKUP(N261,[1]Nifty_D!$B$2:$F$6600,5,0)</f>
        <v>22032.3</v>
      </c>
      <c r="P261" s="92">
        <f t="shared" si="15"/>
        <v>6.2915200358080181E-3</v>
      </c>
      <c r="Q261" s="12" t="s">
        <v>40</v>
      </c>
      <c r="R261" s="10">
        <v>22000</v>
      </c>
      <c r="S261" s="103">
        <f>MROUND(G261,500)</f>
        <v>22000</v>
      </c>
      <c r="T261" s="103">
        <f>S261-R261</f>
        <v>0</v>
      </c>
      <c r="U261" s="12" t="s">
        <v>92</v>
      </c>
      <c r="V261" s="10">
        <v>65</v>
      </c>
      <c r="W261" s="11">
        <v>225.9</v>
      </c>
      <c r="X261" s="11">
        <v>468.15</v>
      </c>
      <c r="Y261" s="13">
        <v>-0.43180000000000002</v>
      </c>
      <c r="Z261" s="13">
        <v>1.2151000000000001</v>
      </c>
      <c r="AA261" s="10">
        <v>0</v>
      </c>
      <c r="AB261" s="14">
        <v>0</v>
      </c>
      <c r="AC261" s="11">
        <v>242.25</v>
      </c>
      <c r="AD261" s="14">
        <v>1.1064397304352E-2</v>
      </c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 t="s">
        <v>91</v>
      </c>
    </row>
    <row r="262" spans="1:52" ht="18" hidden="1" customHeight="1" x14ac:dyDescent="0.25">
      <c r="A262" s="4">
        <v>131</v>
      </c>
      <c r="B262" s="4">
        <v>1</v>
      </c>
      <c r="C262" s="4">
        <v>131</v>
      </c>
      <c r="D262" s="85">
        <v>45308</v>
      </c>
      <c r="E262" s="85">
        <v>45315</v>
      </c>
      <c r="F262" s="85">
        <v>45316</v>
      </c>
      <c r="G262" s="5">
        <v>21571.95</v>
      </c>
      <c r="H262" s="5">
        <v>21453.95</v>
      </c>
      <c r="I262" s="4">
        <v>-118</v>
      </c>
      <c r="J262" s="6">
        <v>-5.4700664520360926E-3</v>
      </c>
      <c r="K262" s="91">
        <f t="array" ref="K262">MAX(IF((D262&lt;[1]Nifty_D!$B$2:$B$6600)*(E262&gt;=[1]Nifty_D!$B$2:$B$6600),[1]Nifty_D!$F$2:$F$6600,""))</f>
        <v>21622.400000000001</v>
      </c>
      <c r="L262" s="92">
        <f t="shared" si="13"/>
        <v>2.3386851907223338E-3</v>
      </c>
      <c r="M262" s="91">
        <f t="shared" si="14"/>
        <v>9998.5000000000018</v>
      </c>
      <c r="N262" s="93">
        <f t="array" ref="N262">INDEX([1]Nifty_D!$B$2:$B$6600,MATCH(E262,[1]Nifty_D!$B$2:$B$6600,0)-1)</f>
        <v>45314</v>
      </c>
      <c r="O262" s="89">
        <f>VLOOKUP(N262,[1]Nifty_D!$B$2:$F$6600,5,0)</f>
        <v>21238.799999999999</v>
      </c>
      <c r="P262" s="92">
        <f t="shared" si="15"/>
        <v>-1.5443666427930824E-2</v>
      </c>
      <c r="Q262" s="7" t="s">
        <v>28</v>
      </c>
      <c r="R262" s="4">
        <v>21600</v>
      </c>
      <c r="S262" s="102"/>
      <c r="T262" s="102"/>
      <c r="U262" s="7" t="s">
        <v>90</v>
      </c>
      <c r="V262" s="4">
        <v>65</v>
      </c>
      <c r="W262" s="5">
        <v>203.3</v>
      </c>
      <c r="X262" s="5">
        <v>29.3</v>
      </c>
      <c r="Y262" s="8">
        <v>-0.10059999999999999</v>
      </c>
      <c r="Z262" s="8">
        <v>0.90629999999999999</v>
      </c>
      <c r="AA262" s="4">
        <v>174</v>
      </c>
      <c r="AB262" s="6">
        <v>8.0660301919854259E-3</v>
      </c>
      <c r="AC262" s="4">
        <v>0</v>
      </c>
      <c r="AD262" s="6">
        <v>0</v>
      </c>
      <c r="AE262" s="5">
        <v>47151.55</v>
      </c>
      <c r="AF262" s="5">
        <v>47423.4</v>
      </c>
      <c r="AG262" s="5">
        <v>271.85000000000002</v>
      </c>
      <c r="AH262" s="5">
        <v>0.57650000000000001</v>
      </c>
      <c r="AI262" s="4">
        <v>7</v>
      </c>
      <c r="AJ262" s="5">
        <v>-0.11666700000000001</v>
      </c>
      <c r="AK262" s="5">
        <v>216.8399</v>
      </c>
      <c r="AL262" s="5">
        <v>0.45989999999999998</v>
      </c>
      <c r="AM262" s="8">
        <v>-2.7547999999999999</v>
      </c>
      <c r="AN262" s="8">
        <v>2.7443</v>
      </c>
      <c r="AO262" s="15">
        <v>451.73989999999998</v>
      </c>
      <c r="AP262" s="15">
        <v>1.5488</v>
      </c>
      <c r="AQ262" s="5">
        <v>127.69110000000001</v>
      </c>
      <c r="AR262" s="5">
        <v>127.69110000000001</v>
      </c>
      <c r="AS262" s="4">
        <v>0</v>
      </c>
      <c r="AT262" s="4">
        <v>0</v>
      </c>
      <c r="AU262" s="8">
        <v>1.6011</v>
      </c>
      <c r="AV262" s="8">
        <v>-2.1399999999999999E-2</v>
      </c>
      <c r="AW262" s="8">
        <v>-2.1399999999999999E-2</v>
      </c>
      <c r="AX262" s="5">
        <v>125.7167</v>
      </c>
      <c r="AY262" s="5">
        <v>-2.1399999999999999E-2</v>
      </c>
      <c r="AZ262" s="7" t="s">
        <v>91</v>
      </c>
    </row>
    <row r="263" spans="1:52" ht="18" customHeight="1" x14ac:dyDescent="0.25">
      <c r="A263" s="10">
        <v>131</v>
      </c>
      <c r="B263" s="10">
        <v>2</v>
      </c>
      <c r="C263" s="10">
        <v>131</v>
      </c>
      <c r="D263" s="86">
        <v>45308</v>
      </c>
      <c r="E263" s="86">
        <v>45315</v>
      </c>
      <c r="F263" s="86">
        <v>45316</v>
      </c>
      <c r="G263" s="11">
        <v>21571.95</v>
      </c>
      <c r="H263" s="11">
        <v>21453.95</v>
      </c>
      <c r="I263" s="12"/>
      <c r="J263" s="12"/>
      <c r="K263" s="91">
        <f t="array" ref="K263">MAX(IF((D263&lt;[1]Nifty_D!$B$2:$B$6600)*(E263&gt;=[1]Nifty_D!$B$2:$B$6600),[1]Nifty_D!$F$2:$F$6600,""))</f>
        <v>21622.400000000001</v>
      </c>
      <c r="L263" s="92">
        <f t="shared" si="13"/>
        <v>2.3386851907223338E-3</v>
      </c>
      <c r="M263" s="91">
        <f t="shared" si="14"/>
        <v>9998.5000000000018</v>
      </c>
      <c r="N263" s="93">
        <f t="array" ref="N263">INDEX([1]Nifty_D!$B$2:$B$6600,MATCH(E263,[1]Nifty_D!$B$2:$B$6600,0)-1)</f>
        <v>45314</v>
      </c>
      <c r="O263" s="89">
        <f>VLOOKUP(N263,[1]Nifty_D!$B$2:$F$6600,5,0)</f>
        <v>21238.799999999999</v>
      </c>
      <c r="P263" s="92">
        <f t="shared" si="15"/>
        <v>-1.5443666427930824E-2</v>
      </c>
      <c r="Q263" s="12" t="s">
        <v>40</v>
      </c>
      <c r="R263" s="10">
        <v>22000</v>
      </c>
      <c r="S263" s="103">
        <f>MROUND(G263,500)</f>
        <v>21500</v>
      </c>
      <c r="T263" s="103">
        <f>S263-R263</f>
        <v>-500</v>
      </c>
      <c r="U263" s="12" t="s">
        <v>92</v>
      </c>
      <c r="V263" s="10">
        <v>65</v>
      </c>
      <c r="W263" s="11">
        <v>468.15</v>
      </c>
      <c r="X263" s="11">
        <v>529.04999999999995</v>
      </c>
      <c r="Y263" s="13">
        <v>-1.0426</v>
      </c>
      <c r="Z263" s="13">
        <v>1.8270999999999999</v>
      </c>
      <c r="AA263" s="10">
        <v>0</v>
      </c>
      <c r="AB263" s="14">
        <v>0</v>
      </c>
      <c r="AC263" s="11">
        <v>60.9</v>
      </c>
      <c r="AD263" s="14">
        <v>2.8231105671948989E-3</v>
      </c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 t="s">
        <v>91</v>
      </c>
    </row>
    <row r="264" spans="1:52" ht="18" hidden="1" customHeight="1" x14ac:dyDescent="0.25">
      <c r="A264" s="4">
        <v>132</v>
      </c>
      <c r="B264" s="4">
        <v>1</v>
      </c>
      <c r="C264" s="4">
        <v>132</v>
      </c>
      <c r="D264" s="85">
        <v>45315</v>
      </c>
      <c r="E264" s="85">
        <v>45320</v>
      </c>
      <c r="F264" s="85">
        <v>45323</v>
      </c>
      <c r="G264" s="5">
        <v>21453.95</v>
      </c>
      <c r="H264" s="5">
        <v>21737.599999999999</v>
      </c>
      <c r="I264" s="5">
        <v>283.64999999999998</v>
      </c>
      <c r="J264" s="6">
        <v>1.322134152452112E-2</v>
      </c>
      <c r="K264" s="91">
        <f t="array" ref="K264">MAX(IF((D264&lt;[1]Nifty_D!$B$2:$B$6600)*(E264&gt;=[1]Nifty_D!$B$2:$B$6600),[1]Nifty_D!$F$2:$F$6600,""))</f>
        <v>21737.599999999999</v>
      </c>
      <c r="L264" s="92">
        <f t="shared" ref="L264:L327" si="16">K264/G264-1</f>
        <v>1.3221341524521035E-2</v>
      </c>
      <c r="M264" s="91">
        <f t="shared" ref="M264:M327" si="17">K264-$G$2</f>
        <v>10113.699999999999</v>
      </c>
      <c r="N264" s="93">
        <f t="array" ref="N264">INDEX([1]Nifty_D!$B$2:$B$6600,MATCH(E264,[1]Nifty_D!$B$2:$B$6600,0)-1)</f>
        <v>45316</v>
      </c>
      <c r="O264" s="89">
        <f>VLOOKUP(N264,[1]Nifty_D!$B$2:$F$6600,5,0)</f>
        <v>21352.6</v>
      </c>
      <c r="P264" s="92">
        <f t="shared" ref="P264:P327" si="18">O264/G264-1</f>
        <v>-4.7240717909756702E-3</v>
      </c>
      <c r="Q264" s="7" t="s">
        <v>28</v>
      </c>
      <c r="R264" s="4">
        <v>21500</v>
      </c>
      <c r="S264" s="102"/>
      <c r="T264" s="102"/>
      <c r="U264" s="7" t="s">
        <v>90</v>
      </c>
      <c r="V264" s="4">
        <v>65</v>
      </c>
      <c r="W264" s="5">
        <v>224.4</v>
      </c>
      <c r="X264" s="5">
        <v>348.05</v>
      </c>
      <c r="Y264" s="8">
        <v>-0.6875</v>
      </c>
      <c r="Z264" s="8">
        <v>0.51759999999999995</v>
      </c>
      <c r="AA264" s="5">
        <v>-123.65</v>
      </c>
      <c r="AB264" s="6">
        <v>-5.7635074193796484E-3</v>
      </c>
      <c r="AC264" s="4">
        <v>0</v>
      </c>
      <c r="AD264" s="6">
        <v>0</v>
      </c>
      <c r="AE264" s="5">
        <v>47423.4</v>
      </c>
      <c r="AF264" s="5">
        <v>47979.05</v>
      </c>
      <c r="AG264" s="5">
        <v>555.65</v>
      </c>
      <c r="AH264" s="5">
        <v>1.1717</v>
      </c>
      <c r="AI264" s="4">
        <v>5</v>
      </c>
      <c r="AJ264" s="5">
        <v>-8.3333000000000004E-2</v>
      </c>
      <c r="AK264" s="5">
        <v>516.13049999999998</v>
      </c>
      <c r="AL264" s="5">
        <v>1.0883</v>
      </c>
      <c r="AM264" s="8">
        <v>-1.0116000000000001</v>
      </c>
      <c r="AN264" s="8">
        <v>1.1382000000000001</v>
      </c>
      <c r="AO264" s="15">
        <v>314.48050000000001</v>
      </c>
      <c r="AP264" s="15">
        <v>0.1484</v>
      </c>
      <c r="AQ264" s="5">
        <v>127.8806</v>
      </c>
      <c r="AR264" s="5">
        <v>127.8806</v>
      </c>
      <c r="AS264" s="4">
        <v>0</v>
      </c>
      <c r="AT264" s="4">
        <v>0</v>
      </c>
      <c r="AU264" s="8">
        <v>-5.0599999999999999E-2</v>
      </c>
      <c r="AV264" s="8">
        <v>5.3499999999999999E-2</v>
      </c>
      <c r="AW264" s="8">
        <v>-5.0599999999999999E-2</v>
      </c>
      <c r="AX264" s="5">
        <v>127.62649999999999</v>
      </c>
      <c r="AY264" s="5">
        <v>-5.0599999999999999E-2</v>
      </c>
      <c r="AZ264" s="7" t="s">
        <v>97</v>
      </c>
    </row>
    <row r="265" spans="1:52" ht="18" customHeight="1" x14ac:dyDescent="0.25">
      <c r="A265" s="10">
        <v>132</v>
      </c>
      <c r="B265" s="10">
        <v>2</v>
      </c>
      <c r="C265" s="10">
        <v>132</v>
      </c>
      <c r="D265" s="86">
        <v>45315</v>
      </c>
      <c r="E265" s="86">
        <v>45320</v>
      </c>
      <c r="F265" s="86">
        <v>45351</v>
      </c>
      <c r="G265" s="11">
        <v>21453.95</v>
      </c>
      <c r="H265" s="11">
        <v>21737.599999999999</v>
      </c>
      <c r="I265" s="12"/>
      <c r="J265" s="12"/>
      <c r="K265" s="91">
        <f t="array" ref="K265">MAX(IF((D265&lt;[1]Nifty_D!$B$2:$B$6600)*(E265&gt;=[1]Nifty_D!$B$2:$B$6600),[1]Nifty_D!$F$2:$F$6600,""))</f>
        <v>21737.599999999999</v>
      </c>
      <c r="L265" s="92">
        <f t="shared" si="16"/>
        <v>1.3221341524521035E-2</v>
      </c>
      <c r="M265" s="91">
        <f t="shared" si="17"/>
        <v>10113.699999999999</v>
      </c>
      <c r="N265" s="93">
        <f t="array" ref="N265">INDEX([1]Nifty_D!$B$2:$B$6600,MATCH(E265,[1]Nifty_D!$B$2:$B$6600,0)-1)</f>
        <v>45316</v>
      </c>
      <c r="O265" s="89">
        <f>VLOOKUP(N265,[1]Nifty_D!$B$2:$F$6600,5,0)</f>
        <v>21352.6</v>
      </c>
      <c r="P265" s="92">
        <f t="shared" si="18"/>
        <v>-4.7240717909756702E-3</v>
      </c>
      <c r="Q265" s="12" t="s">
        <v>40</v>
      </c>
      <c r="R265" s="10">
        <v>21500</v>
      </c>
      <c r="S265" s="103">
        <f>MROUND(G265,500)</f>
        <v>21500</v>
      </c>
      <c r="T265" s="103">
        <f>S265-R265</f>
        <v>0</v>
      </c>
      <c r="U265" s="12" t="s">
        <v>92</v>
      </c>
      <c r="V265" s="10">
        <v>65</v>
      </c>
      <c r="W265" s="11">
        <v>317.55</v>
      </c>
      <c r="X265" s="11">
        <v>239.55</v>
      </c>
      <c r="Y265" s="13">
        <v>-0.50129999999999997</v>
      </c>
      <c r="Z265" s="13">
        <v>0.54749999999999999</v>
      </c>
      <c r="AA265" s="10">
        <v>0</v>
      </c>
      <c r="AB265" s="14">
        <v>0</v>
      </c>
      <c r="AC265" s="10">
        <v>-78</v>
      </c>
      <c r="AD265" s="14">
        <v>-3.6356941262564702E-3</v>
      </c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 t="s">
        <v>97</v>
      </c>
    </row>
    <row r="266" spans="1:52" ht="18" hidden="1" customHeight="1" x14ac:dyDescent="0.25">
      <c r="A266" s="4">
        <v>133</v>
      </c>
      <c r="B266" s="4">
        <v>1</v>
      </c>
      <c r="C266" s="4">
        <v>133</v>
      </c>
      <c r="D266" s="85">
        <v>45320</v>
      </c>
      <c r="E266" s="85">
        <v>45322</v>
      </c>
      <c r="F266" s="85">
        <v>45323</v>
      </c>
      <c r="G266" s="5">
        <v>21737.599999999999</v>
      </c>
      <c r="H266" s="5">
        <v>21725.7</v>
      </c>
      <c r="I266" s="5">
        <v>-11.9</v>
      </c>
      <c r="J266" s="6">
        <v>-5.474385396731931E-4</v>
      </c>
      <c r="K266" s="91">
        <f t="array" ref="K266">MAX(IF((D266&lt;[1]Nifty_D!$B$2:$B$6600)*(E266&gt;=[1]Nifty_D!$B$2:$B$6600),[1]Nifty_D!$F$2:$F$6600,""))</f>
        <v>21725.7</v>
      </c>
      <c r="L266" s="92">
        <f t="shared" si="16"/>
        <v>-5.4743853967309519E-4</v>
      </c>
      <c r="M266" s="91">
        <f t="shared" si="17"/>
        <v>10101.800000000001</v>
      </c>
      <c r="N266" s="93">
        <f t="array" ref="N266">INDEX([1]Nifty_D!$B$2:$B$6600,MATCH(E266,[1]Nifty_D!$B$2:$B$6600,0)-1)</f>
        <v>45321</v>
      </c>
      <c r="O266" s="89">
        <f>VLOOKUP(N266,[1]Nifty_D!$B$2:$F$6600,5,0)</f>
        <v>21522.1</v>
      </c>
      <c r="P266" s="92">
        <f t="shared" si="18"/>
        <v>-9.9136979243338308E-3</v>
      </c>
      <c r="Q266" s="7" t="s">
        <v>28</v>
      </c>
      <c r="R266" s="4">
        <v>21700</v>
      </c>
      <c r="S266" s="102"/>
      <c r="T266" s="102"/>
      <c r="U266" s="7" t="s">
        <v>90</v>
      </c>
      <c r="V266" s="4">
        <v>65</v>
      </c>
      <c r="W266" s="5">
        <v>212.55</v>
      </c>
      <c r="X266" s="5">
        <v>144.1</v>
      </c>
      <c r="Y266" s="8">
        <v>-0.23369999999999999</v>
      </c>
      <c r="Z266" s="8">
        <v>0.74729999999999996</v>
      </c>
      <c r="AA266" s="5">
        <v>68.45</v>
      </c>
      <c r="AB266" s="6">
        <v>3.1489216840865598E-3</v>
      </c>
      <c r="AC266" s="4">
        <v>0</v>
      </c>
      <c r="AD266" s="6">
        <v>0</v>
      </c>
      <c r="AE266" s="5">
        <v>47979.05</v>
      </c>
      <c r="AF266" s="5">
        <v>48568.6</v>
      </c>
      <c r="AG266" s="5">
        <v>589.54999999999995</v>
      </c>
      <c r="AH266" s="5">
        <v>1.2287999999999999</v>
      </c>
      <c r="AI266" s="4">
        <v>2</v>
      </c>
      <c r="AJ266" s="5">
        <v>-3.3333000000000002E-2</v>
      </c>
      <c r="AK266" s="5">
        <v>573.55700000000002</v>
      </c>
      <c r="AL266" s="5">
        <v>1.1954</v>
      </c>
      <c r="AM266" s="8">
        <v>-0.53180000000000005</v>
      </c>
      <c r="AN266" s="8">
        <v>1.2564</v>
      </c>
      <c r="AO266" s="15">
        <v>649.80700000000002</v>
      </c>
      <c r="AP266" s="15">
        <v>1.5462</v>
      </c>
      <c r="AQ266" s="5">
        <v>129.8579</v>
      </c>
      <c r="AR266" s="5">
        <v>129.8579</v>
      </c>
      <c r="AS266" s="4">
        <v>0</v>
      </c>
      <c r="AT266" s="4">
        <v>0</v>
      </c>
      <c r="AU266" s="8">
        <v>0.88349999999999995</v>
      </c>
      <c r="AV266" s="8">
        <v>0.72360000000000002</v>
      </c>
      <c r="AW266" s="8">
        <v>0.72360000000000002</v>
      </c>
      <c r="AX266" s="5">
        <v>128.80590000000001</v>
      </c>
      <c r="AY266" s="5">
        <v>0.72360000000000002</v>
      </c>
      <c r="AZ266" s="7" t="s">
        <v>91</v>
      </c>
    </row>
    <row r="267" spans="1:52" ht="18" customHeight="1" x14ac:dyDescent="0.25">
      <c r="A267" s="10">
        <v>133</v>
      </c>
      <c r="B267" s="10">
        <v>2</v>
      </c>
      <c r="C267" s="10">
        <v>133</v>
      </c>
      <c r="D267" s="86">
        <v>45320</v>
      </c>
      <c r="E267" s="86">
        <v>45322</v>
      </c>
      <c r="F267" s="86">
        <v>45351</v>
      </c>
      <c r="G267" s="11">
        <v>21737.599999999999</v>
      </c>
      <c r="H267" s="11">
        <v>21725.7</v>
      </c>
      <c r="I267" s="12"/>
      <c r="J267" s="12"/>
      <c r="K267" s="91">
        <f t="array" ref="K267">MAX(IF((D267&lt;[1]Nifty_D!$B$2:$B$6600)*(E267&gt;=[1]Nifty_D!$B$2:$B$6600),[1]Nifty_D!$F$2:$F$6600,""))</f>
        <v>21725.7</v>
      </c>
      <c r="L267" s="92">
        <f t="shared" si="16"/>
        <v>-5.4743853967309519E-4</v>
      </c>
      <c r="M267" s="91">
        <f t="shared" si="17"/>
        <v>10101.800000000001</v>
      </c>
      <c r="N267" s="93">
        <f t="array" ref="N267">INDEX([1]Nifty_D!$B$2:$B$6600,MATCH(E267,[1]Nifty_D!$B$2:$B$6600,0)-1)</f>
        <v>45321</v>
      </c>
      <c r="O267" s="89">
        <f>VLOOKUP(N267,[1]Nifty_D!$B$2:$F$6600,5,0)</f>
        <v>21522.1</v>
      </c>
      <c r="P267" s="92">
        <f t="shared" si="18"/>
        <v>-9.9136979243338308E-3</v>
      </c>
      <c r="Q267" s="12" t="s">
        <v>40</v>
      </c>
      <c r="R267" s="10">
        <v>21500</v>
      </c>
      <c r="S267" s="103">
        <f>MROUND(G267,500)</f>
        <v>21500</v>
      </c>
      <c r="T267" s="103">
        <f>S267-R267</f>
        <v>0</v>
      </c>
      <c r="U267" s="12" t="s">
        <v>92</v>
      </c>
      <c r="V267" s="10">
        <v>65</v>
      </c>
      <c r="W267" s="11">
        <v>239.55</v>
      </c>
      <c r="X267" s="11">
        <v>247.35</v>
      </c>
      <c r="Y267" s="13">
        <v>-0.13919999999999999</v>
      </c>
      <c r="Z267" s="13">
        <v>0.5081</v>
      </c>
      <c r="AA267" s="10">
        <v>0</v>
      </c>
      <c r="AB267" s="14">
        <v>0</v>
      </c>
      <c r="AC267" s="11">
        <v>7.8</v>
      </c>
      <c r="AD267" s="14">
        <v>3.5882526129839542E-4</v>
      </c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 t="s">
        <v>91</v>
      </c>
    </row>
    <row r="268" spans="1:52" ht="18" hidden="1" customHeight="1" x14ac:dyDescent="0.25">
      <c r="A268" s="4">
        <v>134</v>
      </c>
      <c r="B268" s="4">
        <v>1</v>
      </c>
      <c r="C268" s="4">
        <v>134</v>
      </c>
      <c r="D268" s="85">
        <v>45322</v>
      </c>
      <c r="E268" s="85">
        <v>45329</v>
      </c>
      <c r="F268" s="85">
        <v>45330</v>
      </c>
      <c r="G268" s="5">
        <v>21725.7</v>
      </c>
      <c r="H268" s="5">
        <v>21930.5</v>
      </c>
      <c r="I268" s="5">
        <v>204.8</v>
      </c>
      <c r="J268" s="6">
        <v>9.426623768163972E-3</v>
      </c>
      <c r="K268" s="91">
        <f t="array" ref="K268">MAX(IF((D268&lt;[1]Nifty_D!$B$2:$B$6600)*(E268&gt;=[1]Nifty_D!$B$2:$B$6600),[1]Nifty_D!$F$2:$F$6600,""))</f>
        <v>21930.5</v>
      </c>
      <c r="L268" s="92">
        <f t="shared" si="16"/>
        <v>9.4266237681639442E-3</v>
      </c>
      <c r="M268" s="91">
        <f t="shared" si="17"/>
        <v>10306.6</v>
      </c>
      <c r="N268" s="93">
        <f t="array" ref="N268">INDEX([1]Nifty_D!$B$2:$B$6600,MATCH(E268,[1]Nifty_D!$B$2:$B$6600,0)-1)</f>
        <v>45328</v>
      </c>
      <c r="O268" s="89">
        <f>VLOOKUP(N268,[1]Nifty_D!$B$2:$F$6600,5,0)</f>
        <v>21929.4</v>
      </c>
      <c r="P268" s="92">
        <f t="shared" si="18"/>
        <v>9.3759924881591239E-3</v>
      </c>
      <c r="Q268" s="7" t="s">
        <v>28</v>
      </c>
      <c r="R268" s="4">
        <v>21700</v>
      </c>
      <c r="S268" s="102"/>
      <c r="T268" s="102"/>
      <c r="U268" s="7" t="s">
        <v>90</v>
      </c>
      <c r="V268" s="4">
        <v>65</v>
      </c>
      <c r="W268" s="5">
        <v>275.7</v>
      </c>
      <c r="X268" s="5">
        <v>264.39999999999998</v>
      </c>
      <c r="Y268" s="8">
        <v>-1.0185999999999999</v>
      </c>
      <c r="Z268" s="8">
        <v>0.61699999999999999</v>
      </c>
      <c r="AA268" s="5">
        <v>11.3</v>
      </c>
      <c r="AB268" s="6">
        <v>5.2012133095826602E-4</v>
      </c>
      <c r="AC268" s="4">
        <v>0</v>
      </c>
      <c r="AD268" s="6">
        <v>0</v>
      </c>
      <c r="AE268" s="5">
        <v>48568.6</v>
      </c>
      <c r="AF268" s="5">
        <v>49352.05</v>
      </c>
      <c r="AG268" s="5">
        <v>783.45</v>
      </c>
      <c r="AH268" s="5">
        <v>1.6131</v>
      </c>
      <c r="AI268" s="4">
        <v>7</v>
      </c>
      <c r="AJ268" s="5">
        <v>-0.11666700000000001</v>
      </c>
      <c r="AK268" s="5">
        <v>726.78660000000002</v>
      </c>
      <c r="AL268" s="5">
        <v>1.4964</v>
      </c>
      <c r="AM268" s="8">
        <v>-1.2133</v>
      </c>
      <c r="AN268" s="8">
        <v>1.6567000000000001</v>
      </c>
      <c r="AO268" s="15">
        <v>624.9366</v>
      </c>
      <c r="AP268" s="15">
        <v>1.0276000000000001</v>
      </c>
      <c r="AQ268" s="5">
        <v>131.19229999999999</v>
      </c>
      <c r="AR268" s="5">
        <v>131.19229999999999</v>
      </c>
      <c r="AS268" s="4">
        <v>0</v>
      </c>
      <c r="AT268" s="4">
        <v>0</v>
      </c>
      <c r="AU268" s="8">
        <v>2.3400000000000001E-2</v>
      </c>
      <c r="AV268" s="8">
        <v>-0.58460000000000001</v>
      </c>
      <c r="AW268" s="8">
        <v>-0.58460000000000001</v>
      </c>
      <c r="AX268" s="5">
        <v>129.09870000000001</v>
      </c>
      <c r="AY268" s="5">
        <v>-0.58460000000000001</v>
      </c>
      <c r="AZ268" s="7" t="s">
        <v>91</v>
      </c>
    </row>
    <row r="269" spans="1:52" ht="18" customHeight="1" x14ac:dyDescent="0.25">
      <c r="A269" s="10">
        <v>134</v>
      </c>
      <c r="B269" s="10">
        <v>2</v>
      </c>
      <c r="C269" s="10">
        <v>134</v>
      </c>
      <c r="D269" s="86">
        <v>45322</v>
      </c>
      <c r="E269" s="86">
        <v>45329</v>
      </c>
      <c r="F269" s="86">
        <v>45351</v>
      </c>
      <c r="G269" s="11">
        <v>21725.7</v>
      </c>
      <c r="H269" s="11">
        <v>21930.5</v>
      </c>
      <c r="I269" s="12"/>
      <c r="J269" s="12"/>
      <c r="K269" s="91">
        <f t="array" ref="K269">MAX(IF((D269&lt;[1]Nifty_D!$B$2:$B$6600)*(E269&gt;=[1]Nifty_D!$B$2:$B$6600),[1]Nifty_D!$F$2:$F$6600,""))</f>
        <v>21930.5</v>
      </c>
      <c r="L269" s="92">
        <f t="shared" si="16"/>
        <v>9.4266237681639442E-3</v>
      </c>
      <c r="M269" s="91">
        <f t="shared" si="17"/>
        <v>10306.6</v>
      </c>
      <c r="N269" s="93">
        <f t="array" ref="N269">INDEX([1]Nifty_D!$B$2:$B$6600,MATCH(E269,[1]Nifty_D!$B$2:$B$6600,0)-1)</f>
        <v>45328</v>
      </c>
      <c r="O269" s="89">
        <f>VLOOKUP(N269,[1]Nifty_D!$B$2:$F$6600,5,0)</f>
        <v>21929.4</v>
      </c>
      <c r="P269" s="92">
        <f t="shared" si="18"/>
        <v>9.3759924881591239E-3</v>
      </c>
      <c r="Q269" s="12" t="s">
        <v>40</v>
      </c>
      <c r="R269" s="10">
        <v>21500</v>
      </c>
      <c r="S269" s="103">
        <f>MROUND(G269,500)</f>
        <v>21500</v>
      </c>
      <c r="T269" s="103">
        <f>S269-R269</f>
        <v>0</v>
      </c>
      <c r="U269" s="12" t="s">
        <v>92</v>
      </c>
      <c r="V269" s="10">
        <v>65</v>
      </c>
      <c r="W269" s="11">
        <v>247.35</v>
      </c>
      <c r="X269" s="11">
        <v>134.19999999999999</v>
      </c>
      <c r="Y269" s="13">
        <v>-0.61470000000000002</v>
      </c>
      <c r="Z269" s="13">
        <v>1.17E-2</v>
      </c>
      <c r="AA269" s="10">
        <v>0</v>
      </c>
      <c r="AB269" s="14">
        <v>0</v>
      </c>
      <c r="AC269" s="11">
        <v>-113.15</v>
      </c>
      <c r="AD269" s="14">
        <v>-5.2081175750378584E-3</v>
      </c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 t="s">
        <v>91</v>
      </c>
    </row>
    <row r="270" spans="1:52" ht="18" hidden="1" customHeight="1" x14ac:dyDescent="0.25">
      <c r="A270" s="4">
        <v>135</v>
      </c>
      <c r="B270" s="4">
        <v>1</v>
      </c>
      <c r="C270" s="4">
        <v>135</v>
      </c>
      <c r="D270" s="85">
        <v>45329</v>
      </c>
      <c r="E270" s="85">
        <v>45336</v>
      </c>
      <c r="F270" s="85">
        <v>45337</v>
      </c>
      <c r="G270" s="5">
        <v>21930.5</v>
      </c>
      <c r="H270" s="5">
        <v>21840.05</v>
      </c>
      <c r="I270" s="5">
        <v>-90.45</v>
      </c>
      <c r="J270" s="6">
        <v>-4.1243929686965641E-3</v>
      </c>
      <c r="K270" s="91">
        <f t="array" ref="K270">MAX(IF((D270&lt;[1]Nifty_D!$B$2:$B$6600)*(E270&gt;=[1]Nifty_D!$B$2:$B$6600),[1]Nifty_D!$F$2:$F$6600,""))</f>
        <v>21840.05</v>
      </c>
      <c r="L270" s="92">
        <f t="shared" si="16"/>
        <v>-4.1243929686965997E-3</v>
      </c>
      <c r="M270" s="91">
        <f t="shared" si="17"/>
        <v>10216.15</v>
      </c>
      <c r="N270" s="93">
        <f t="array" ref="N270">INDEX([1]Nifty_D!$B$2:$B$6600,MATCH(E270,[1]Nifty_D!$B$2:$B$6600,0)-1)</f>
        <v>45335</v>
      </c>
      <c r="O270" s="89">
        <f>VLOOKUP(N270,[1]Nifty_D!$B$2:$F$6600,5,0)</f>
        <v>21743.25</v>
      </c>
      <c r="P270" s="92">
        <f t="shared" si="18"/>
        <v>-8.5383370192197994E-3</v>
      </c>
      <c r="Q270" s="7" t="s">
        <v>28</v>
      </c>
      <c r="R270" s="4">
        <v>21900</v>
      </c>
      <c r="S270" s="102"/>
      <c r="T270" s="102"/>
      <c r="U270" s="7" t="s">
        <v>90</v>
      </c>
      <c r="V270" s="4">
        <v>65</v>
      </c>
      <c r="W270" s="5">
        <v>222.3</v>
      </c>
      <c r="X270" s="5">
        <v>65.099999999999994</v>
      </c>
      <c r="Y270" s="8">
        <v>-0.19420000000000001</v>
      </c>
      <c r="Z270" s="8">
        <v>0.98399999999999999</v>
      </c>
      <c r="AA270" s="5">
        <v>157.19999999999999</v>
      </c>
      <c r="AB270" s="6">
        <v>7.1680992225439449E-3</v>
      </c>
      <c r="AC270" s="4">
        <v>0</v>
      </c>
      <c r="AD270" s="6">
        <v>0</v>
      </c>
      <c r="AE270" s="5">
        <v>49352.05</v>
      </c>
      <c r="AF270" s="5">
        <v>48331.9</v>
      </c>
      <c r="AG270" s="5">
        <v>-1020.15</v>
      </c>
      <c r="AH270" s="5">
        <v>-2.0670999999999999</v>
      </c>
      <c r="AI270" s="4">
        <v>7</v>
      </c>
      <c r="AJ270" s="5">
        <v>-0.11666700000000001</v>
      </c>
      <c r="AK270" s="5">
        <v>-1077.7274</v>
      </c>
      <c r="AL270" s="5">
        <v>-2.1838000000000002</v>
      </c>
      <c r="AM270" s="8">
        <v>-4.9759000000000002</v>
      </c>
      <c r="AN270" s="8">
        <v>0.85170000000000001</v>
      </c>
      <c r="AO270" s="9">
        <v>-952.42740000000003</v>
      </c>
      <c r="AP270" s="9">
        <v>-1.6124000000000001</v>
      </c>
      <c r="AQ270" s="5">
        <v>129.077</v>
      </c>
      <c r="AR270" s="5">
        <v>131.19229999999999</v>
      </c>
      <c r="AS270" s="5">
        <v>-2.1153</v>
      </c>
      <c r="AT270" s="5">
        <v>-1.6124000000000001</v>
      </c>
      <c r="AU270" s="8">
        <v>0.4854</v>
      </c>
      <c r="AV270" s="8">
        <v>-3.5485000000000002</v>
      </c>
      <c r="AW270" s="8">
        <v>-3.5485000000000002</v>
      </c>
      <c r="AX270" s="5">
        <v>126.5369</v>
      </c>
      <c r="AY270" s="5">
        <v>-3.5485000000000002</v>
      </c>
      <c r="AZ270" s="7" t="s">
        <v>91</v>
      </c>
    </row>
    <row r="271" spans="1:52" ht="18" customHeight="1" x14ac:dyDescent="0.25">
      <c r="A271" s="10">
        <v>135</v>
      </c>
      <c r="B271" s="10">
        <v>2</v>
      </c>
      <c r="C271" s="10">
        <v>135</v>
      </c>
      <c r="D271" s="86">
        <v>45329</v>
      </c>
      <c r="E271" s="86">
        <v>45336</v>
      </c>
      <c r="F271" s="86">
        <v>45351</v>
      </c>
      <c r="G271" s="11">
        <v>21930.5</v>
      </c>
      <c r="H271" s="11">
        <v>21840.05</v>
      </c>
      <c r="I271" s="12"/>
      <c r="J271" s="12"/>
      <c r="K271" s="91">
        <f t="array" ref="K271">MAX(IF((D271&lt;[1]Nifty_D!$B$2:$B$6600)*(E271&gt;=[1]Nifty_D!$B$2:$B$6600),[1]Nifty_D!$F$2:$F$6600,""))</f>
        <v>21840.05</v>
      </c>
      <c r="L271" s="92">
        <f t="shared" si="16"/>
        <v>-4.1243929686965997E-3</v>
      </c>
      <c r="M271" s="91">
        <f t="shared" si="17"/>
        <v>10216.15</v>
      </c>
      <c r="N271" s="93">
        <f t="array" ref="N271">INDEX([1]Nifty_D!$B$2:$B$6600,MATCH(E271,[1]Nifty_D!$B$2:$B$6600,0)-1)</f>
        <v>45335</v>
      </c>
      <c r="O271" s="89">
        <f>VLOOKUP(N271,[1]Nifty_D!$B$2:$F$6600,5,0)</f>
        <v>21743.25</v>
      </c>
      <c r="P271" s="92">
        <f t="shared" si="18"/>
        <v>-8.5383370192197994E-3</v>
      </c>
      <c r="Q271" s="12" t="s">
        <v>40</v>
      </c>
      <c r="R271" s="10">
        <v>21500</v>
      </c>
      <c r="S271" s="103">
        <f>MROUND(G271,500)</f>
        <v>22000</v>
      </c>
      <c r="T271" s="103">
        <f>S271-R271</f>
        <v>500</v>
      </c>
      <c r="U271" s="12" t="s">
        <v>92</v>
      </c>
      <c r="V271" s="10">
        <v>65</v>
      </c>
      <c r="W271" s="11">
        <v>134.19999999999999</v>
      </c>
      <c r="X271" s="11">
        <v>102.3</v>
      </c>
      <c r="Y271" s="13">
        <v>-0.1721</v>
      </c>
      <c r="Z271" s="13">
        <v>0.44340000000000002</v>
      </c>
      <c r="AA271" s="10">
        <v>0</v>
      </c>
      <c r="AB271" s="14">
        <v>0</v>
      </c>
      <c r="AC271" s="11">
        <v>-31.9</v>
      </c>
      <c r="AD271" s="14">
        <v>-1.454595198467887E-3</v>
      </c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 t="s">
        <v>91</v>
      </c>
    </row>
    <row r="272" spans="1:52" ht="18" hidden="1" customHeight="1" x14ac:dyDescent="0.25">
      <c r="A272" s="4">
        <v>136</v>
      </c>
      <c r="B272" s="4">
        <v>1</v>
      </c>
      <c r="C272" s="4">
        <v>136</v>
      </c>
      <c r="D272" s="85">
        <v>45336</v>
      </c>
      <c r="E272" s="85">
        <v>45338</v>
      </c>
      <c r="F272" s="85">
        <v>45344</v>
      </c>
      <c r="G272" s="5">
        <v>21840.05</v>
      </c>
      <c r="H272" s="5">
        <v>22040.7</v>
      </c>
      <c r="I272" s="5">
        <v>200.65</v>
      </c>
      <c r="J272" s="6">
        <v>9.1872500291894938E-3</v>
      </c>
      <c r="K272" s="91">
        <f t="array" ref="K272">MAX(IF((D272&lt;[1]Nifty_D!$B$2:$B$6600)*(E272&gt;=[1]Nifty_D!$B$2:$B$6600),[1]Nifty_D!$F$2:$F$6600,""))</f>
        <v>22040.7</v>
      </c>
      <c r="L272" s="92">
        <f t="shared" si="16"/>
        <v>9.1872500291896309E-3</v>
      </c>
      <c r="M272" s="91">
        <f t="shared" si="17"/>
        <v>10416.800000000001</v>
      </c>
      <c r="N272" s="93">
        <f t="array" ref="N272">INDEX([1]Nifty_D!$B$2:$B$6600,MATCH(E272,[1]Nifty_D!$B$2:$B$6600,0)-1)</f>
        <v>45337</v>
      </c>
      <c r="O272" s="89">
        <f>VLOOKUP(N272,[1]Nifty_D!$B$2:$F$6600,5,0)</f>
        <v>21910.75</v>
      </c>
      <c r="P272" s="92">
        <f t="shared" si="18"/>
        <v>3.2371720760713263E-3</v>
      </c>
      <c r="Q272" s="7" t="s">
        <v>28</v>
      </c>
      <c r="R272" s="4">
        <v>21800</v>
      </c>
      <c r="S272" s="102"/>
      <c r="T272" s="102"/>
      <c r="U272" s="7" t="s">
        <v>90</v>
      </c>
      <c r="V272" s="4">
        <v>65</v>
      </c>
      <c r="W272" s="5">
        <v>227.2</v>
      </c>
      <c r="X272" s="5">
        <v>314.14999999999998</v>
      </c>
      <c r="Y272" s="8">
        <v>-0.57899999999999996</v>
      </c>
      <c r="Z272" s="8">
        <v>0.2024</v>
      </c>
      <c r="AA272" s="5">
        <v>-86.95</v>
      </c>
      <c r="AB272" s="6">
        <v>-3.9812179917170518E-3</v>
      </c>
      <c r="AC272" s="4">
        <v>0</v>
      </c>
      <c r="AD272" s="6">
        <v>0</v>
      </c>
      <c r="AE272" s="5">
        <v>48331.9</v>
      </c>
      <c r="AF272" s="5">
        <v>49131.95</v>
      </c>
      <c r="AG272" s="5">
        <v>800.05</v>
      </c>
      <c r="AH272" s="5">
        <v>1.6553</v>
      </c>
      <c r="AI272" s="4">
        <v>2</v>
      </c>
      <c r="AJ272" s="5">
        <v>-3.3333000000000002E-2</v>
      </c>
      <c r="AK272" s="5">
        <v>783.93939999999998</v>
      </c>
      <c r="AL272" s="5">
        <v>1.6220000000000001</v>
      </c>
      <c r="AM272" s="8">
        <v>0.50360000000000005</v>
      </c>
      <c r="AN272" s="8">
        <v>1.7830999999999999</v>
      </c>
      <c r="AO272" s="15">
        <v>652.73940000000005</v>
      </c>
      <c r="AP272" s="15">
        <v>1.0213000000000001</v>
      </c>
      <c r="AQ272" s="5">
        <v>130.39519999999999</v>
      </c>
      <c r="AR272" s="5">
        <v>131.19229999999999</v>
      </c>
      <c r="AS272" s="5">
        <v>-0.79710000000000003</v>
      </c>
      <c r="AT272" s="5">
        <v>-0.60760000000000003</v>
      </c>
      <c r="AU272" s="8">
        <v>0.96030000000000004</v>
      </c>
      <c r="AV272" s="8">
        <v>0.78039999999999998</v>
      </c>
      <c r="AW272" s="8">
        <v>0.78039999999999998</v>
      </c>
      <c r="AX272" s="5">
        <v>130.08430000000001</v>
      </c>
      <c r="AY272" s="5">
        <v>-0.84460000000000002</v>
      </c>
      <c r="AZ272" s="7" t="s">
        <v>96</v>
      </c>
    </row>
    <row r="273" spans="1:52" ht="18" customHeight="1" x14ac:dyDescent="0.25">
      <c r="A273" s="10">
        <v>136</v>
      </c>
      <c r="B273" s="10">
        <v>2</v>
      </c>
      <c r="C273" s="10">
        <v>136</v>
      </c>
      <c r="D273" s="86">
        <v>45336</v>
      </c>
      <c r="E273" s="86">
        <v>45338</v>
      </c>
      <c r="F273" s="86">
        <v>45351</v>
      </c>
      <c r="G273" s="11">
        <v>21840.05</v>
      </c>
      <c r="H273" s="11">
        <v>22040.7</v>
      </c>
      <c r="I273" s="12"/>
      <c r="J273" s="12"/>
      <c r="K273" s="91">
        <f t="array" ref="K273">MAX(IF((D273&lt;[1]Nifty_D!$B$2:$B$6600)*(E273&gt;=[1]Nifty_D!$B$2:$B$6600),[1]Nifty_D!$F$2:$F$6600,""))</f>
        <v>22040.7</v>
      </c>
      <c r="L273" s="92">
        <f t="shared" si="16"/>
        <v>9.1872500291896309E-3</v>
      </c>
      <c r="M273" s="91">
        <f t="shared" si="17"/>
        <v>10416.800000000001</v>
      </c>
      <c r="N273" s="93">
        <f t="array" ref="N273">INDEX([1]Nifty_D!$B$2:$B$6600,MATCH(E273,[1]Nifty_D!$B$2:$B$6600,0)-1)</f>
        <v>45337</v>
      </c>
      <c r="O273" s="89">
        <f>VLOOKUP(N273,[1]Nifty_D!$B$2:$F$6600,5,0)</f>
        <v>21910.75</v>
      </c>
      <c r="P273" s="92">
        <f t="shared" si="18"/>
        <v>3.2371720760713263E-3</v>
      </c>
      <c r="Q273" s="12" t="s">
        <v>40</v>
      </c>
      <c r="R273" s="10">
        <v>21500</v>
      </c>
      <c r="S273" s="103">
        <f>MROUND(G273,500)</f>
        <v>22000</v>
      </c>
      <c r="T273" s="103">
        <f>S273-R273</f>
        <v>500</v>
      </c>
      <c r="U273" s="12" t="s">
        <v>92</v>
      </c>
      <c r="V273" s="10">
        <v>65</v>
      </c>
      <c r="W273" s="11">
        <v>102.3</v>
      </c>
      <c r="X273" s="11">
        <v>58.05</v>
      </c>
      <c r="Y273" s="13">
        <v>-0.24379999999999999</v>
      </c>
      <c r="Z273" s="13">
        <v>7.4399999999999994E-2</v>
      </c>
      <c r="AA273" s="10">
        <v>0</v>
      </c>
      <c r="AB273" s="14">
        <v>0</v>
      </c>
      <c r="AC273" s="11">
        <v>-44.25</v>
      </c>
      <c r="AD273" s="14">
        <v>-2.0260942626047101E-3</v>
      </c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 t="s">
        <v>96</v>
      </c>
    </row>
    <row r="274" spans="1:52" ht="18" hidden="1" customHeight="1" x14ac:dyDescent="0.25">
      <c r="A274" s="4">
        <v>137</v>
      </c>
      <c r="B274" s="4">
        <v>1</v>
      </c>
      <c r="C274" s="4">
        <v>137</v>
      </c>
      <c r="D274" s="85">
        <v>45338</v>
      </c>
      <c r="E274" s="85">
        <v>45343</v>
      </c>
      <c r="F274" s="85">
        <v>45344</v>
      </c>
      <c r="G274" s="5">
        <v>22040.7</v>
      </c>
      <c r="H274" s="5">
        <v>22055.05</v>
      </c>
      <c r="I274" s="5">
        <v>14.35</v>
      </c>
      <c r="J274" s="6">
        <v>6.5106825100836175E-4</v>
      </c>
      <c r="K274" s="91">
        <f t="array" ref="K274">MAX(IF((D274&lt;[1]Nifty_D!$B$2:$B$6600)*(E274&gt;=[1]Nifty_D!$B$2:$B$6600),[1]Nifty_D!$F$2:$F$6600,""))</f>
        <v>22196.95</v>
      </c>
      <c r="L274" s="92">
        <f t="shared" si="16"/>
        <v>7.0891577853697818E-3</v>
      </c>
      <c r="M274" s="91">
        <f t="shared" si="17"/>
        <v>10573.050000000001</v>
      </c>
      <c r="N274" s="93">
        <f t="array" ref="N274">INDEX([1]Nifty_D!$B$2:$B$6600,MATCH(E274,[1]Nifty_D!$B$2:$B$6600,0)-1)</f>
        <v>45342</v>
      </c>
      <c r="O274" s="89">
        <f>VLOOKUP(N274,[1]Nifty_D!$B$2:$F$6600,5,0)</f>
        <v>22196.95</v>
      </c>
      <c r="P274" s="92">
        <f t="shared" si="18"/>
        <v>7.0891577853697818E-3</v>
      </c>
      <c r="Q274" s="7" t="s">
        <v>28</v>
      </c>
      <c r="R274" s="4">
        <v>22000</v>
      </c>
      <c r="S274" s="102"/>
      <c r="T274" s="102"/>
      <c r="U274" s="7" t="s">
        <v>90</v>
      </c>
      <c r="V274" s="4">
        <v>65</v>
      </c>
      <c r="W274" s="5">
        <v>183.1</v>
      </c>
      <c r="X274" s="5">
        <v>86.9</v>
      </c>
      <c r="Y274" s="8">
        <v>-0.43509999999999999</v>
      </c>
      <c r="Z274" s="8">
        <v>0.54790000000000005</v>
      </c>
      <c r="AA274" s="5">
        <v>96.2</v>
      </c>
      <c r="AB274" s="6">
        <v>4.3646526652964743E-3</v>
      </c>
      <c r="AC274" s="4">
        <v>0</v>
      </c>
      <c r="AD274" s="6">
        <v>0</v>
      </c>
      <c r="AE274" s="5">
        <v>49131.95</v>
      </c>
      <c r="AF274" s="5">
        <v>48630.5</v>
      </c>
      <c r="AG274" s="5">
        <v>-501.45</v>
      </c>
      <c r="AH274" s="5">
        <v>-1.0206</v>
      </c>
      <c r="AI274" s="4">
        <v>5</v>
      </c>
      <c r="AJ274" s="5">
        <v>-8.3333000000000004E-2</v>
      </c>
      <c r="AK274" s="5">
        <v>-542.39329999999995</v>
      </c>
      <c r="AL274" s="5">
        <v>-1.1040000000000001</v>
      </c>
      <c r="AM274" s="8">
        <v>-1.3693</v>
      </c>
      <c r="AN274" s="8">
        <v>0.74929999999999997</v>
      </c>
      <c r="AO274" s="9">
        <v>-474.8433</v>
      </c>
      <c r="AP274" s="9">
        <v>-0.79749999999999999</v>
      </c>
      <c r="AQ274" s="5">
        <v>129.3553</v>
      </c>
      <c r="AR274" s="5">
        <v>131.19229999999999</v>
      </c>
      <c r="AS274" s="5">
        <v>-1.837</v>
      </c>
      <c r="AT274" s="5">
        <v>-1.4001999999999999</v>
      </c>
      <c r="AU274" s="8">
        <v>-0.13719999999999999</v>
      </c>
      <c r="AV274" s="8">
        <v>-0.754</v>
      </c>
      <c r="AW274" s="8">
        <v>-0.79749999999999999</v>
      </c>
      <c r="AX274" s="5">
        <v>129.3553</v>
      </c>
      <c r="AY274" s="5">
        <v>-1.4001999999999999</v>
      </c>
      <c r="AZ274" s="7" t="s">
        <v>91</v>
      </c>
    </row>
    <row r="275" spans="1:52" ht="18" customHeight="1" x14ac:dyDescent="0.25">
      <c r="A275" s="10">
        <v>137</v>
      </c>
      <c r="B275" s="10">
        <v>2</v>
      </c>
      <c r="C275" s="10">
        <v>137</v>
      </c>
      <c r="D275" s="86">
        <v>45338</v>
      </c>
      <c r="E275" s="86">
        <v>45343</v>
      </c>
      <c r="F275" s="86">
        <v>45351</v>
      </c>
      <c r="G275" s="11">
        <v>22040.7</v>
      </c>
      <c r="H275" s="11">
        <v>22055.05</v>
      </c>
      <c r="I275" s="12"/>
      <c r="J275" s="12"/>
      <c r="K275" s="91">
        <f t="array" ref="K275">MAX(IF((D275&lt;[1]Nifty_D!$B$2:$B$6600)*(E275&gt;=[1]Nifty_D!$B$2:$B$6600),[1]Nifty_D!$F$2:$F$6600,""))</f>
        <v>22196.95</v>
      </c>
      <c r="L275" s="92">
        <f t="shared" si="16"/>
        <v>7.0891577853697818E-3</v>
      </c>
      <c r="M275" s="91">
        <f t="shared" si="17"/>
        <v>10573.050000000001</v>
      </c>
      <c r="N275" s="93">
        <f t="array" ref="N275">INDEX([1]Nifty_D!$B$2:$B$6600,MATCH(E275,[1]Nifty_D!$B$2:$B$6600,0)-1)</f>
        <v>45342</v>
      </c>
      <c r="O275" s="89">
        <f>VLOOKUP(N275,[1]Nifty_D!$B$2:$F$6600,5,0)</f>
        <v>22196.95</v>
      </c>
      <c r="P275" s="92">
        <f t="shared" si="18"/>
        <v>7.0891577853697818E-3</v>
      </c>
      <c r="Q275" s="12" t="s">
        <v>40</v>
      </c>
      <c r="R275" s="10">
        <v>22000</v>
      </c>
      <c r="S275" s="103">
        <f>MROUND(G275,500)</f>
        <v>22000</v>
      </c>
      <c r="T275" s="103">
        <f>S275-R275</f>
        <v>0</v>
      </c>
      <c r="U275" s="12" t="s">
        <v>92</v>
      </c>
      <c r="V275" s="10">
        <v>65</v>
      </c>
      <c r="W275" s="11">
        <v>184.95</v>
      </c>
      <c r="X275" s="11">
        <v>156.30000000000001</v>
      </c>
      <c r="Y275" s="13">
        <v>-0.45140000000000002</v>
      </c>
      <c r="Z275" s="13">
        <v>6.7400000000000002E-2</v>
      </c>
      <c r="AA275" s="10">
        <v>0</v>
      </c>
      <c r="AB275" s="14">
        <v>0</v>
      </c>
      <c r="AC275" s="11">
        <v>-28.65</v>
      </c>
      <c r="AD275" s="14">
        <v>-1.299867971525405E-3</v>
      </c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 t="s">
        <v>91</v>
      </c>
    </row>
    <row r="276" spans="1:52" ht="18" hidden="1" customHeight="1" x14ac:dyDescent="0.25">
      <c r="A276" s="4">
        <v>138</v>
      </c>
      <c r="B276" s="4">
        <v>1</v>
      </c>
      <c r="C276" s="4">
        <v>138</v>
      </c>
      <c r="D276" s="85">
        <v>45343</v>
      </c>
      <c r="E276" s="85">
        <v>45350</v>
      </c>
      <c r="F276" s="85">
        <v>45351</v>
      </c>
      <c r="G276" s="5">
        <v>22055.05</v>
      </c>
      <c r="H276" s="5">
        <v>21951.15</v>
      </c>
      <c r="I276" s="5">
        <v>-103.9</v>
      </c>
      <c r="J276" s="6">
        <v>-4.7109392180022256E-3</v>
      </c>
      <c r="K276" s="91">
        <f t="array" ref="K276">MAX(IF((D276&lt;[1]Nifty_D!$B$2:$B$6600)*(E276&gt;=[1]Nifty_D!$B$2:$B$6600),[1]Nifty_D!$F$2:$F$6600,""))</f>
        <v>22217.45</v>
      </c>
      <c r="L276" s="92">
        <f t="shared" si="16"/>
        <v>7.3633929644232321E-3</v>
      </c>
      <c r="M276" s="91">
        <f t="shared" si="17"/>
        <v>10593.550000000001</v>
      </c>
      <c r="N276" s="93">
        <f t="array" ref="N276">INDEX([1]Nifty_D!$B$2:$B$6600,MATCH(E276,[1]Nifty_D!$B$2:$B$6600,0)-1)</f>
        <v>45349</v>
      </c>
      <c r="O276" s="89">
        <f>VLOOKUP(N276,[1]Nifty_D!$B$2:$F$6600,5,0)</f>
        <v>22198.35</v>
      </c>
      <c r="P276" s="92">
        <f t="shared" si="18"/>
        <v>6.4973781514889861E-3</v>
      </c>
      <c r="Q276" s="7" t="s">
        <v>28</v>
      </c>
      <c r="R276" s="4">
        <v>22100</v>
      </c>
      <c r="S276" s="102"/>
      <c r="T276" s="102"/>
      <c r="U276" s="7" t="s">
        <v>90</v>
      </c>
      <c r="V276" s="4">
        <v>65</v>
      </c>
      <c r="W276" s="5">
        <v>173.85</v>
      </c>
      <c r="X276" s="5">
        <v>30.6</v>
      </c>
      <c r="Y276" s="8">
        <v>-0.56289999999999996</v>
      </c>
      <c r="Z276" s="8">
        <v>0.68169999999999997</v>
      </c>
      <c r="AA276" s="5">
        <v>143.25</v>
      </c>
      <c r="AB276" s="6">
        <v>6.4951110970049948E-3</v>
      </c>
      <c r="AC276" s="4">
        <v>0</v>
      </c>
      <c r="AD276" s="6">
        <v>0</v>
      </c>
      <c r="AE276" s="5">
        <v>48630.5</v>
      </c>
      <c r="AF276" s="5">
        <v>48089.1</v>
      </c>
      <c r="AG276" s="5">
        <v>-541.4</v>
      </c>
      <c r="AH276" s="5">
        <v>-1.1133</v>
      </c>
      <c r="AI276" s="4">
        <v>7</v>
      </c>
      <c r="AJ276" s="5">
        <v>-0.11666700000000001</v>
      </c>
      <c r="AK276" s="5">
        <v>-598.13559999999995</v>
      </c>
      <c r="AL276" s="5">
        <v>-1.23</v>
      </c>
      <c r="AM276" s="8">
        <v>-1.4688000000000001</v>
      </c>
      <c r="AN276" s="8">
        <v>1.7668999999999999</v>
      </c>
      <c r="AO276" s="9">
        <v>-480.53559999999999</v>
      </c>
      <c r="AP276" s="9">
        <v>-0.69679999999999997</v>
      </c>
      <c r="AQ276" s="5">
        <v>128.45400000000001</v>
      </c>
      <c r="AR276" s="5">
        <v>131.19229999999999</v>
      </c>
      <c r="AS276" s="5">
        <v>-2.7383000000000002</v>
      </c>
      <c r="AT276" s="5">
        <v>-2.0872999999999999</v>
      </c>
      <c r="AU276" s="8">
        <v>0.60050000000000003</v>
      </c>
      <c r="AV276" s="8">
        <v>-0.53480000000000005</v>
      </c>
      <c r="AW276" s="8">
        <v>-0.69679999999999997</v>
      </c>
      <c r="AX276" s="5">
        <v>128.45400000000001</v>
      </c>
      <c r="AY276" s="5">
        <v>-2.0872999999999999</v>
      </c>
      <c r="AZ276" s="7" t="s">
        <v>91</v>
      </c>
    </row>
    <row r="277" spans="1:52" ht="18" customHeight="1" x14ac:dyDescent="0.25">
      <c r="A277" s="10">
        <v>138</v>
      </c>
      <c r="B277" s="10">
        <v>2</v>
      </c>
      <c r="C277" s="10">
        <v>138</v>
      </c>
      <c r="D277" s="86">
        <v>45343</v>
      </c>
      <c r="E277" s="86">
        <v>45350</v>
      </c>
      <c r="F277" s="86">
        <v>45351</v>
      </c>
      <c r="G277" s="11">
        <v>22055.05</v>
      </c>
      <c r="H277" s="11">
        <v>21951.15</v>
      </c>
      <c r="I277" s="12"/>
      <c r="J277" s="12"/>
      <c r="K277" s="91">
        <f t="array" ref="K277">MAX(IF((D277&lt;[1]Nifty_D!$B$2:$B$6600)*(E277&gt;=[1]Nifty_D!$B$2:$B$6600),[1]Nifty_D!$F$2:$F$6600,""))</f>
        <v>22217.45</v>
      </c>
      <c r="L277" s="92">
        <f t="shared" si="16"/>
        <v>7.3633929644232321E-3</v>
      </c>
      <c r="M277" s="91">
        <f t="shared" si="17"/>
        <v>10593.550000000001</v>
      </c>
      <c r="N277" s="93">
        <f t="array" ref="N277">INDEX([1]Nifty_D!$B$2:$B$6600,MATCH(E277,[1]Nifty_D!$B$2:$B$6600,0)-1)</f>
        <v>45349</v>
      </c>
      <c r="O277" s="89">
        <f>VLOOKUP(N277,[1]Nifty_D!$B$2:$F$6600,5,0)</f>
        <v>22198.35</v>
      </c>
      <c r="P277" s="92">
        <f t="shared" si="18"/>
        <v>6.4973781514889861E-3</v>
      </c>
      <c r="Q277" s="12" t="s">
        <v>40</v>
      </c>
      <c r="R277" s="10">
        <v>22000</v>
      </c>
      <c r="S277" s="103">
        <f>MROUND(G277,500)</f>
        <v>22000</v>
      </c>
      <c r="T277" s="103">
        <f>S277-R277</f>
        <v>0</v>
      </c>
      <c r="U277" s="12" t="s">
        <v>92</v>
      </c>
      <c r="V277" s="10">
        <v>65</v>
      </c>
      <c r="W277" s="11">
        <v>156.30000000000001</v>
      </c>
      <c r="X277" s="11">
        <v>130.65</v>
      </c>
      <c r="Y277" s="13">
        <v>-0.60350000000000004</v>
      </c>
      <c r="Z277" s="13">
        <v>0.25230000000000002</v>
      </c>
      <c r="AA277" s="10">
        <v>0</v>
      </c>
      <c r="AB277" s="14">
        <v>0</v>
      </c>
      <c r="AC277" s="11">
        <v>-25.65</v>
      </c>
      <c r="AD277" s="14">
        <v>-1.1629989503537739E-3</v>
      </c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 t="s">
        <v>91</v>
      </c>
    </row>
    <row r="278" spans="1:52" ht="18" hidden="1" customHeight="1" x14ac:dyDescent="0.25">
      <c r="A278" s="4">
        <v>139</v>
      </c>
      <c r="B278" s="4">
        <v>1</v>
      </c>
      <c r="C278" s="4">
        <v>139</v>
      </c>
      <c r="D278" s="85">
        <v>45350</v>
      </c>
      <c r="E278" s="85">
        <v>45352</v>
      </c>
      <c r="F278" s="85">
        <v>45358</v>
      </c>
      <c r="G278" s="5">
        <v>21951.15</v>
      </c>
      <c r="H278" s="5">
        <v>22338.75</v>
      </c>
      <c r="I278" s="5">
        <v>387.6</v>
      </c>
      <c r="J278" s="6">
        <v>1.765738924839929E-2</v>
      </c>
      <c r="K278" s="91">
        <f t="array" ref="K278">MAX(IF((D278&lt;[1]Nifty_D!$B$2:$B$6600)*(E278&gt;=[1]Nifty_D!$B$2:$B$6600),[1]Nifty_D!$F$2:$F$6600,""))</f>
        <v>22338.75</v>
      </c>
      <c r="L278" s="92">
        <f t="shared" si="16"/>
        <v>1.7657389248399324E-2</v>
      </c>
      <c r="M278" s="91">
        <f t="shared" si="17"/>
        <v>10714.85</v>
      </c>
      <c r="N278" s="93">
        <f t="array" ref="N278">INDEX([1]Nifty_D!$B$2:$B$6600,MATCH(E278,[1]Nifty_D!$B$2:$B$6600,0)-1)</f>
        <v>45351</v>
      </c>
      <c r="O278" s="89">
        <f>VLOOKUP(N278,[1]Nifty_D!$B$2:$F$6600,5,0)</f>
        <v>21982.799999999999</v>
      </c>
      <c r="P278" s="92">
        <f t="shared" si="18"/>
        <v>1.4418378991531977E-3</v>
      </c>
      <c r="Q278" s="7" t="s">
        <v>28</v>
      </c>
      <c r="R278" s="4">
        <v>22000</v>
      </c>
      <c r="S278" s="102"/>
      <c r="T278" s="102"/>
      <c r="U278" s="7" t="s">
        <v>90</v>
      </c>
      <c r="V278" s="4">
        <v>65</v>
      </c>
      <c r="W278" s="5">
        <v>202.2</v>
      </c>
      <c r="X278" s="5">
        <v>409.85</v>
      </c>
      <c r="Y278" s="8">
        <v>-1.0188999999999999</v>
      </c>
      <c r="Z278" s="8">
        <v>0.161</v>
      </c>
      <c r="AA278" s="5">
        <v>-207.65</v>
      </c>
      <c r="AB278" s="6">
        <v>-9.4596410666411557E-3</v>
      </c>
      <c r="AC278" s="4">
        <v>0</v>
      </c>
      <c r="AD278" s="6">
        <v>0</v>
      </c>
      <c r="AE278" s="5">
        <v>48089.1</v>
      </c>
      <c r="AF278" s="5">
        <v>48790.6</v>
      </c>
      <c r="AG278" s="5">
        <v>701.5</v>
      </c>
      <c r="AH278" s="5">
        <v>1.4588000000000001</v>
      </c>
      <c r="AI278" s="4">
        <v>2</v>
      </c>
      <c r="AJ278" s="5">
        <v>-3.3333000000000002E-2</v>
      </c>
      <c r="AK278" s="5">
        <v>685.47029999999995</v>
      </c>
      <c r="AL278" s="5">
        <v>1.4254</v>
      </c>
      <c r="AM278" s="8">
        <v>-1.1399999999999999</v>
      </c>
      <c r="AN278" s="8">
        <v>1.5079</v>
      </c>
      <c r="AO278" s="15">
        <v>313.52030000000002</v>
      </c>
      <c r="AP278" s="15">
        <v>-0.26900000000000002</v>
      </c>
      <c r="AQ278" s="5">
        <v>128.10839999999999</v>
      </c>
      <c r="AR278" s="5">
        <v>131.19229999999999</v>
      </c>
      <c r="AS278" s="5">
        <v>-3.0838999999999999</v>
      </c>
      <c r="AT278" s="5">
        <v>-2.3506999999999998</v>
      </c>
      <c r="AU278" s="8">
        <v>-0.29409999999999997</v>
      </c>
      <c r="AV278" s="8">
        <v>-0.88290000000000002</v>
      </c>
      <c r="AW278" s="8">
        <v>-0.88290000000000002</v>
      </c>
      <c r="AX278" s="5">
        <v>127.3198</v>
      </c>
      <c r="AY278" s="5">
        <v>-2.9517000000000002</v>
      </c>
      <c r="AZ278" s="7" t="s">
        <v>97</v>
      </c>
    </row>
    <row r="279" spans="1:52" ht="18" customHeight="1" x14ac:dyDescent="0.25">
      <c r="A279" s="10">
        <v>139</v>
      </c>
      <c r="B279" s="10">
        <v>2</v>
      </c>
      <c r="C279" s="10">
        <v>139</v>
      </c>
      <c r="D279" s="86">
        <v>45350</v>
      </c>
      <c r="E279" s="86">
        <v>45352</v>
      </c>
      <c r="F279" s="86">
        <v>45379</v>
      </c>
      <c r="G279" s="11">
        <v>21951.15</v>
      </c>
      <c r="H279" s="11">
        <v>22338.75</v>
      </c>
      <c r="I279" s="12"/>
      <c r="J279" s="12"/>
      <c r="K279" s="91">
        <f t="array" ref="K279">MAX(IF((D279&lt;[1]Nifty_D!$B$2:$B$6600)*(E279&gt;=[1]Nifty_D!$B$2:$B$6600),[1]Nifty_D!$F$2:$F$6600,""))</f>
        <v>22338.75</v>
      </c>
      <c r="L279" s="92">
        <f t="shared" si="16"/>
        <v>1.7657389248399324E-2</v>
      </c>
      <c r="M279" s="91">
        <f t="shared" si="17"/>
        <v>10714.85</v>
      </c>
      <c r="N279" s="93">
        <f t="array" ref="N279">INDEX([1]Nifty_D!$B$2:$B$6600,MATCH(E279,[1]Nifty_D!$B$2:$B$6600,0)-1)</f>
        <v>45351</v>
      </c>
      <c r="O279" s="89">
        <f>VLOOKUP(N279,[1]Nifty_D!$B$2:$F$6600,5,0)</f>
        <v>21982.799999999999</v>
      </c>
      <c r="P279" s="92">
        <f t="shared" si="18"/>
        <v>1.4418378991531977E-3</v>
      </c>
      <c r="Q279" s="12" t="s">
        <v>40</v>
      </c>
      <c r="R279" s="10">
        <v>22000</v>
      </c>
      <c r="S279" s="103">
        <f>MROUND(G279,500)</f>
        <v>22000</v>
      </c>
      <c r="T279" s="103">
        <f>S279-R279</f>
        <v>0</v>
      </c>
      <c r="U279" s="12" t="s">
        <v>92</v>
      </c>
      <c r="V279" s="10">
        <v>65</v>
      </c>
      <c r="W279" s="11">
        <v>336.9</v>
      </c>
      <c r="X279" s="11">
        <v>172.6</v>
      </c>
      <c r="Y279" s="13">
        <v>-0.78310000000000002</v>
      </c>
      <c r="Z279" s="13">
        <v>9.6100000000000005E-2</v>
      </c>
      <c r="AA279" s="10">
        <v>0</v>
      </c>
      <c r="AB279" s="14">
        <v>0</v>
      </c>
      <c r="AC279" s="11">
        <v>-164.3</v>
      </c>
      <c r="AD279" s="14">
        <v>-7.4848014796491296E-3</v>
      </c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 t="s">
        <v>97</v>
      </c>
    </row>
    <row r="280" spans="1:52" ht="18" hidden="1" customHeight="1" x14ac:dyDescent="0.25">
      <c r="A280" s="4">
        <v>140</v>
      </c>
      <c r="B280" s="4">
        <v>1</v>
      </c>
      <c r="C280" s="4">
        <v>140</v>
      </c>
      <c r="D280" s="85">
        <v>45352</v>
      </c>
      <c r="E280" s="85">
        <v>45357</v>
      </c>
      <c r="F280" s="85">
        <v>45358</v>
      </c>
      <c r="G280" s="5">
        <v>22338.75</v>
      </c>
      <c r="H280" s="5">
        <v>22474.05</v>
      </c>
      <c r="I280" s="5">
        <v>135.30000000000001</v>
      </c>
      <c r="J280" s="6">
        <v>6.0567399697834482E-3</v>
      </c>
      <c r="K280" s="91">
        <f t="array" ref="K280">MAX(IF((D280&lt;[1]Nifty_D!$B$2:$B$6600)*(E280&gt;=[1]Nifty_D!$B$2:$B$6600),[1]Nifty_D!$F$2:$F$6600,""))</f>
        <v>22474.05</v>
      </c>
      <c r="L280" s="92">
        <f t="shared" si="16"/>
        <v>6.0567399697835089E-3</v>
      </c>
      <c r="M280" s="91">
        <f t="shared" si="17"/>
        <v>10850.15</v>
      </c>
      <c r="N280" s="93">
        <f t="array" ref="N280">INDEX([1]Nifty_D!$B$2:$B$6600,MATCH(E280,[1]Nifty_D!$B$2:$B$6600,0)-1)</f>
        <v>45356</v>
      </c>
      <c r="O280" s="89">
        <f>VLOOKUP(N280,[1]Nifty_D!$B$2:$F$6600,5,0)</f>
        <v>22356.3</v>
      </c>
      <c r="P280" s="92">
        <f t="shared" si="18"/>
        <v>7.8563035084777688E-4</v>
      </c>
      <c r="Q280" s="7" t="s">
        <v>28</v>
      </c>
      <c r="R280" s="4">
        <v>22300</v>
      </c>
      <c r="S280" s="102"/>
      <c r="T280" s="102"/>
      <c r="U280" s="7" t="s">
        <v>90</v>
      </c>
      <c r="V280" s="4">
        <v>65</v>
      </c>
      <c r="W280" s="5">
        <v>191.35</v>
      </c>
      <c r="X280" s="4">
        <v>224</v>
      </c>
      <c r="Y280" s="8">
        <v>-0.2581</v>
      </c>
      <c r="Z280" s="8">
        <v>0.61599999999999999</v>
      </c>
      <c r="AA280" s="5">
        <v>-32.65</v>
      </c>
      <c r="AB280" s="6">
        <v>-1.4615858094118961E-3</v>
      </c>
      <c r="AC280" s="4">
        <v>0</v>
      </c>
      <c r="AD280" s="6">
        <v>0</v>
      </c>
      <c r="AE280" s="5">
        <v>48790.6</v>
      </c>
      <c r="AF280" s="5">
        <v>48857.3</v>
      </c>
      <c r="AG280" s="5">
        <v>66.7</v>
      </c>
      <c r="AH280" s="5">
        <v>0.13669999999999999</v>
      </c>
      <c r="AI280" s="4">
        <v>5</v>
      </c>
      <c r="AJ280" s="5">
        <v>-8.3333000000000004E-2</v>
      </c>
      <c r="AK280" s="5">
        <v>26.0412</v>
      </c>
      <c r="AL280" s="5">
        <v>5.3400000000000003E-2</v>
      </c>
      <c r="AM280" s="8">
        <v>-1.5125999999999999</v>
      </c>
      <c r="AN280" s="8">
        <v>1.1439999999999999</v>
      </c>
      <c r="AO280" s="9">
        <v>-126.1088</v>
      </c>
      <c r="AP280" s="9">
        <v>-0.62770000000000004</v>
      </c>
      <c r="AQ280" s="5">
        <v>127.3043</v>
      </c>
      <c r="AR280" s="5">
        <v>131.19229999999999</v>
      </c>
      <c r="AS280" s="5">
        <v>-3.8879999999999999</v>
      </c>
      <c r="AT280" s="5">
        <v>-2.9636</v>
      </c>
      <c r="AU280" s="8">
        <v>0.32719999999999999</v>
      </c>
      <c r="AV280" s="8">
        <v>-0.79120000000000001</v>
      </c>
      <c r="AW280" s="8">
        <v>-0.79120000000000001</v>
      </c>
      <c r="AX280" s="5">
        <v>127.09480000000001</v>
      </c>
      <c r="AY280" s="5">
        <v>-3.1233</v>
      </c>
      <c r="AZ280" s="7" t="s">
        <v>91</v>
      </c>
    </row>
    <row r="281" spans="1:52" ht="18" customHeight="1" x14ac:dyDescent="0.25">
      <c r="A281" s="10">
        <v>140</v>
      </c>
      <c r="B281" s="10">
        <v>2</v>
      </c>
      <c r="C281" s="10">
        <v>140</v>
      </c>
      <c r="D281" s="86">
        <v>45352</v>
      </c>
      <c r="E281" s="86">
        <v>45357</v>
      </c>
      <c r="F281" s="86">
        <v>45379</v>
      </c>
      <c r="G281" s="11">
        <v>22338.75</v>
      </c>
      <c r="H281" s="11">
        <v>22474.05</v>
      </c>
      <c r="I281" s="12"/>
      <c r="J281" s="12"/>
      <c r="K281" s="91">
        <f t="array" ref="K281">MAX(IF((D281&lt;[1]Nifty_D!$B$2:$B$6600)*(E281&gt;=[1]Nifty_D!$B$2:$B$6600),[1]Nifty_D!$F$2:$F$6600,""))</f>
        <v>22474.05</v>
      </c>
      <c r="L281" s="92">
        <f t="shared" si="16"/>
        <v>6.0567399697835089E-3</v>
      </c>
      <c r="M281" s="91">
        <f t="shared" si="17"/>
        <v>10850.15</v>
      </c>
      <c r="N281" s="93">
        <f t="array" ref="N281">INDEX([1]Nifty_D!$B$2:$B$6600,MATCH(E281,[1]Nifty_D!$B$2:$B$6600,0)-1)</f>
        <v>45356</v>
      </c>
      <c r="O281" s="89">
        <f>VLOOKUP(N281,[1]Nifty_D!$B$2:$F$6600,5,0)</f>
        <v>22356.3</v>
      </c>
      <c r="P281" s="92">
        <f t="shared" si="18"/>
        <v>7.8563035084777688E-4</v>
      </c>
      <c r="Q281" s="12" t="s">
        <v>40</v>
      </c>
      <c r="R281" s="10">
        <v>22500</v>
      </c>
      <c r="S281" s="103">
        <f>MROUND(G281,500)</f>
        <v>22500</v>
      </c>
      <c r="T281" s="103">
        <f>S281-R281</f>
        <v>0</v>
      </c>
      <c r="U281" s="12" t="s">
        <v>92</v>
      </c>
      <c r="V281" s="10">
        <v>65</v>
      </c>
      <c r="W281" s="11">
        <v>359.85</v>
      </c>
      <c r="X281" s="11">
        <v>240.35</v>
      </c>
      <c r="Y281" s="13">
        <v>-0.55869999999999997</v>
      </c>
      <c r="Z281" s="13">
        <v>0.10539999999999999</v>
      </c>
      <c r="AA281" s="10">
        <v>0</v>
      </c>
      <c r="AB281" s="14">
        <v>0</v>
      </c>
      <c r="AC281" s="11">
        <v>-119.5</v>
      </c>
      <c r="AD281" s="14">
        <v>-5.3494488277096974E-3</v>
      </c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 t="s">
        <v>91</v>
      </c>
    </row>
    <row r="282" spans="1:52" ht="18" hidden="1" customHeight="1" x14ac:dyDescent="0.25">
      <c r="A282" s="4">
        <v>141</v>
      </c>
      <c r="B282" s="4">
        <v>1</v>
      </c>
      <c r="C282" s="4">
        <v>141</v>
      </c>
      <c r="D282" s="85">
        <v>45357</v>
      </c>
      <c r="E282" s="85">
        <v>45364</v>
      </c>
      <c r="F282" s="85">
        <v>45365</v>
      </c>
      <c r="G282" s="5">
        <v>22474.05</v>
      </c>
      <c r="H282" s="5">
        <v>21997.7</v>
      </c>
      <c r="I282" s="5">
        <v>-476.35</v>
      </c>
      <c r="J282" s="6">
        <v>-2.119555665311771E-2</v>
      </c>
      <c r="K282" s="91">
        <f t="array" ref="K282">MAX(IF((D282&lt;[1]Nifty_D!$B$2:$B$6600)*(E282&gt;=[1]Nifty_D!$B$2:$B$6600),[1]Nifty_D!$F$2:$F$6600,""))</f>
        <v>22493.55</v>
      </c>
      <c r="L282" s="92">
        <f t="shared" si="16"/>
        <v>8.6766737637411495E-4</v>
      </c>
      <c r="M282" s="91">
        <f t="shared" si="17"/>
        <v>10869.65</v>
      </c>
      <c r="N282" s="93">
        <f t="array" ref="N282">INDEX([1]Nifty_D!$B$2:$B$6600,MATCH(E282,[1]Nifty_D!$B$2:$B$6600,0)-1)</f>
        <v>45363</v>
      </c>
      <c r="O282" s="89">
        <f>VLOOKUP(N282,[1]Nifty_D!$B$2:$F$6600,5,0)</f>
        <v>22335.7</v>
      </c>
      <c r="P282" s="92">
        <f t="shared" si="18"/>
        <v>-6.1559887959667936E-3</v>
      </c>
      <c r="Q282" s="7" t="s">
        <v>28</v>
      </c>
      <c r="R282" s="4">
        <v>22500</v>
      </c>
      <c r="S282" s="102"/>
      <c r="T282" s="102"/>
      <c r="U282" s="7" t="s">
        <v>90</v>
      </c>
      <c r="V282" s="4">
        <v>65</v>
      </c>
      <c r="W282" s="5">
        <v>179.95</v>
      </c>
      <c r="X282" s="4">
        <v>4</v>
      </c>
      <c r="Y282" s="8">
        <v>-8.4500000000000006E-2</v>
      </c>
      <c r="Z282" s="8">
        <v>0.78910000000000002</v>
      </c>
      <c r="AA282" s="5">
        <v>175.95</v>
      </c>
      <c r="AB282" s="6">
        <v>7.8290294806677031E-3</v>
      </c>
      <c r="AC282" s="4">
        <v>0</v>
      </c>
      <c r="AD282" s="6">
        <v>0</v>
      </c>
      <c r="AE282" s="5">
        <v>48857.3</v>
      </c>
      <c r="AF282" s="5">
        <v>45971.4</v>
      </c>
      <c r="AG282" s="5">
        <v>-2885.9</v>
      </c>
      <c r="AH282" s="5">
        <v>-5.9067999999999996</v>
      </c>
      <c r="AI282" s="4">
        <v>7</v>
      </c>
      <c r="AJ282" s="5">
        <v>-0.11666700000000001</v>
      </c>
      <c r="AK282" s="5">
        <v>-2942.9002</v>
      </c>
      <c r="AL282" s="5">
        <v>-6.0235000000000003</v>
      </c>
      <c r="AM282" s="8">
        <v>-6.6595000000000004</v>
      </c>
      <c r="AN282" s="8">
        <v>0.64790000000000003</v>
      </c>
      <c r="AO282" s="9">
        <v>-2512.4002</v>
      </c>
      <c r="AP282" s="9">
        <v>-4.1079999999999997</v>
      </c>
      <c r="AQ282" s="5">
        <v>122.0746</v>
      </c>
      <c r="AR282" s="5">
        <v>131.19229999999999</v>
      </c>
      <c r="AS282" s="5">
        <v>-9.1176999999999992</v>
      </c>
      <c r="AT282" s="5">
        <v>-6.9499000000000004</v>
      </c>
      <c r="AU282" s="8">
        <v>0.34399999999999997</v>
      </c>
      <c r="AV282" s="8">
        <v>-4.4579000000000004</v>
      </c>
      <c r="AW282" s="8">
        <v>-4.4579000000000004</v>
      </c>
      <c r="AX282" s="5">
        <v>121.6292</v>
      </c>
      <c r="AY282" s="5">
        <v>-7.2893999999999997</v>
      </c>
      <c r="AZ282" s="7" t="s">
        <v>91</v>
      </c>
    </row>
    <row r="283" spans="1:52" ht="18" customHeight="1" x14ac:dyDescent="0.25">
      <c r="A283" s="10">
        <v>141</v>
      </c>
      <c r="B283" s="10">
        <v>2</v>
      </c>
      <c r="C283" s="10">
        <v>141</v>
      </c>
      <c r="D283" s="86">
        <v>45357</v>
      </c>
      <c r="E283" s="86">
        <v>45364</v>
      </c>
      <c r="F283" s="86">
        <v>45379</v>
      </c>
      <c r="G283" s="11">
        <v>22474.05</v>
      </c>
      <c r="H283" s="11">
        <v>21997.7</v>
      </c>
      <c r="I283" s="12"/>
      <c r="J283" s="12"/>
      <c r="K283" s="91">
        <f t="array" ref="K283">MAX(IF((D283&lt;[1]Nifty_D!$B$2:$B$6600)*(E283&gt;=[1]Nifty_D!$B$2:$B$6600),[1]Nifty_D!$F$2:$F$6600,""))</f>
        <v>22493.55</v>
      </c>
      <c r="L283" s="92">
        <f t="shared" si="16"/>
        <v>8.6766737637411495E-4</v>
      </c>
      <c r="M283" s="91">
        <f t="shared" si="17"/>
        <v>10869.65</v>
      </c>
      <c r="N283" s="93">
        <f t="array" ref="N283">INDEX([1]Nifty_D!$B$2:$B$6600,MATCH(E283,[1]Nifty_D!$B$2:$B$6600,0)-1)</f>
        <v>45363</v>
      </c>
      <c r="O283" s="89">
        <f>VLOOKUP(N283,[1]Nifty_D!$B$2:$F$6600,5,0)</f>
        <v>22335.7</v>
      </c>
      <c r="P283" s="92">
        <f t="shared" si="18"/>
        <v>-6.1559887959667936E-3</v>
      </c>
      <c r="Q283" s="12" t="s">
        <v>40</v>
      </c>
      <c r="R283" s="10">
        <v>22500</v>
      </c>
      <c r="S283" s="103">
        <f>MROUND(G283,500)</f>
        <v>22500</v>
      </c>
      <c r="T283" s="103">
        <f>S283-R283</f>
        <v>0</v>
      </c>
      <c r="U283" s="12" t="s">
        <v>92</v>
      </c>
      <c r="V283" s="10">
        <v>65</v>
      </c>
      <c r="W283" s="11">
        <v>240.35</v>
      </c>
      <c r="X283" s="11">
        <v>494.9</v>
      </c>
      <c r="Y283" s="13">
        <v>-0.21940000000000001</v>
      </c>
      <c r="Z283" s="13">
        <v>1.4125000000000001</v>
      </c>
      <c r="AA283" s="10">
        <v>0</v>
      </c>
      <c r="AB283" s="14">
        <v>0</v>
      </c>
      <c r="AC283" s="11">
        <v>254.55</v>
      </c>
      <c r="AD283" s="14">
        <v>1.132639644389863E-2</v>
      </c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 t="s">
        <v>91</v>
      </c>
    </row>
    <row r="284" spans="1:52" ht="18" hidden="1" customHeight="1" x14ac:dyDescent="0.25">
      <c r="A284" s="4">
        <v>142</v>
      </c>
      <c r="B284" s="4">
        <v>1</v>
      </c>
      <c r="C284" s="4">
        <v>142</v>
      </c>
      <c r="D284" s="85">
        <v>45364</v>
      </c>
      <c r="E284" s="85">
        <v>45371</v>
      </c>
      <c r="F284" s="85">
        <v>45372</v>
      </c>
      <c r="G284" s="5">
        <v>21997.7</v>
      </c>
      <c r="H284" s="5">
        <v>21839.1</v>
      </c>
      <c r="I284" s="5">
        <v>-158.6</v>
      </c>
      <c r="J284" s="6">
        <v>-7.2098446655786737E-3</v>
      </c>
      <c r="K284" s="91">
        <f t="array" ref="K284">MAX(IF((D284&lt;[1]Nifty_D!$B$2:$B$6600)*(E284&gt;=[1]Nifty_D!$B$2:$B$6600),[1]Nifty_D!$F$2:$F$6600,""))</f>
        <v>22146.65</v>
      </c>
      <c r="L284" s="92">
        <f t="shared" si="16"/>
        <v>6.7711624397095438E-3</v>
      </c>
      <c r="M284" s="91">
        <f t="shared" si="17"/>
        <v>10522.750000000002</v>
      </c>
      <c r="N284" s="93">
        <f t="array" ref="N284">INDEX([1]Nifty_D!$B$2:$B$6600,MATCH(E284,[1]Nifty_D!$B$2:$B$6600,0)-1)</f>
        <v>45370</v>
      </c>
      <c r="O284" s="89">
        <f>VLOOKUP(N284,[1]Nifty_D!$B$2:$F$6600,5,0)</f>
        <v>21817.45</v>
      </c>
      <c r="P284" s="92">
        <f t="shared" si="18"/>
        <v>-8.1940384676579825E-3</v>
      </c>
      <c r="Q284" s="7" t="s">
        <v>28</v>
      </c>
      <c r="R284" s="4">
        <v>22000</v>
      </c>
      <c r="S284" s="102"/>
      <c r="T284" s="102"/>
      <c r="U284" s="7" t="s">
        <v>90</v>
      </c>
      <c r="V284" s="4">
        <v>65</v>
      </c>
      <c r="W284" s="5">
        <v>215.6</v>
      </c>
      <c r="X284" s="5">
        <v>21.7</v>
      </c>
      <c r="Y284" s="8">
        <v>-0.60570000000000002</v>
      </c>
      <c r="Z284" s="8">
        <v>0.90490000000000004</v>
      </c>
      <c r="AA284" s="5">
        <v>193.9</v>
      </c>
      <c r="AB284" s="6">
        <v>8.814557885597131E-3</v>
      </c>
      <c r="AC284" s="4">
        <v>0</v>
      </c>
      <c r="AD284" s="6">
        <v>0</v>
      </c>
      <c r="AE284" s="5">
        <v>45971.4</v>
      </c>
      <c r="AF284" s="5">
        <v>45919.9</v>
      </c>
      <c r="AG284" s="5">
        <v>-51.5</v>
      </c>
      <c r="AH284" s="5">
        <v>-0.112</v>
      </c>
      <c r="AI284" s="4">
        <v>7</v>
      </c>
      <c r="AJ284" s="5">
        <v>-0.11666700000000001</v>
      </c>
      <c r="AK284" s="5">
        <v>-105.13330000000001</v>
      </c>
      <c r="AL284" s="5">
        <v>-0.22869999999999999</v>
      </c>
      <c r="AM284" s="8">
        <v>-1.4913000000000001</v>
      </c>
      <c r="AN284" s="8">
        <v>2.5194000000000001</v>
      </c>
      <c r="AO284" s="15">
        <v>188.9667</v>
      </c>
      <c r="AP284" s="15">
        <v>1.1083000000000001</v>
      </c>
      <c r="AQ284" s="5">
        <v>123.4276</v>
      </c>
      <c r="AR284" s="5">
        <v>131.19229999999999</v>
      </c>
      <c r="AS284" s="5">
        <v>-7.7647000000000004</v>
      </c>
      <c r="AT284" s="5">
        <v>-5.9185999999999996</v>
      </c>
      <c r="AU284" s="8">
        <v>1.0991</v>
      </c>
      <c r="AV284" s="8">
        <v>0.4073</v>
      </c>
      <c r="AW284" s="8">
        <v>0.4073</v>
      </c>
      <c r="AX284" s="5">
        <v>122.5718</v>
      </c>
      <c r="AY284" s="5">
        <v>-6.5709</v>
      </c>
      <c r="AZ284" s="7" t="s">
        <v>91</v>
      </c>
    </row>
    <row r="285" spans="1:52" ht="18" customHeight="1" x14ac:dyDescent="0.25">
      <c r="A285" s="10">
        <v>142</v>
      </c>
      <c r="B285" s="10">
        <v>2</v>
      </c>
      <c r="C285" s="10">
        <v>142</v>
      </c>
      <c r="D285" s="86">
        <v>45364</v>
      </c>
      <c r="E285" s="86">
        <v>45371</v>
      </c>
      <c r="F285" s="86">
        <v>45379</v>
      </c>
      <c r="G285" s="11">
        <v>21997.7</v>
      </c>
      <c r="H285" s="11">
        <v>21839.1</v>
      </c>
      <c r="I285" s="12"/>
      <c r="J285" s="12"/>
      <c r="K285" s="91">
        <f t="array" ref="K285">MAX(IF((D285&lt;[1]Nifty_D!$B$2:$B$6600)*(E285&gt;=[1]Nifty_D!$B$2:$B$6600),[1]Nifty_D!$F$2:$F$6600,""))</f>
        <v>22146.65</v>
      </c>
      <c r="L285" s="92">
        <f t="shared" si="16"/>
        <v>6.7711624397095438E-3</v>
      </c>
      <c r="M285" s="91">
        <f t="shared" si="17"/>
        <v>10522.750000000002</v>
      </c>
      <c r="N285" s="93">
        <f t="array" ref="N285">INDEX([1]Nifty_D!$B$2:$B$6600,MATCH(E285,[1]Nifty_D!$B$2:$B$6600,0)-1)</f>
        <v>45370</v>
      </c>
      <c r="O285" s="89">
        <f>VLOOKUP(N285,[1]Nifty_D!$B$2:$F$6600,5,0)</f>
        <v>21817.45</v>
      </c>
      <c r="P285" s="92">
        <f t="shared" si="18"/>
        <v>-8.1940384676579825E-3</v>
      </c>
      <c r="Q285" s="12" t="s">
        <v>40</v>
      </c>
      <c r="R285" s="10">
        <v>22500</v>
      </c>
      <c r="S285" s="103">
        <f>MROUND(G285,500)</f>
        <v>22000</v>
      </c>
      <c r="T285" s="103">
        <f>S285-R285</f>
        <v>-500</v>
      </c>
      <c r="U285" s="12" t="s">
        <v>92</v>
      </c>
      <c r="V285" s="10">
        <v>65</v>
      </c>
      <c r="W285" s="11">
        <v>494.9</v>
      </c>
      <c r="X285" s="11">
        <v>595.1</v>
      </c>
      <c r="Y285" s="13">
        <v>-0.81459999999999999</v>
      </c>
      <c r="Z285" s="13">
        <v>0.99370000000000003</v>
      </c>
      <c r="AA285" s="10">
        <v>0</v>
      </c>
      <c r="AB285" s="14">
        <v>0</v>
      </c>
      <c r="AC285" s="11">
        <v>100.2</v>
      </c>
      <c r="AD285" s="14">
        <v>4.5550216613555053E-3</v>
      </c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 t="s">
        <v>91</v>
      </c>
    </row>
    <row r="286" spans="1:52" ht="18" hidden="1" customHeight="1" x14ac:dyDescent="0.25">
      <c r="A286" s="4">
        <v>143</v>
      </c>
      <c r="B286" s="4">
        <v>1</v>
      </c>
      <c r="C286" s="4">
        <v>143</v>
      </c>
      <c r="D286" s="85">
        <v>45371</v>
      </c>
      <c r="E286" s="85">
        <v>45373</v>
      </c>
      <c r="F286" s="85">
        <v>45379</v>
      </c>
      <c r="G286" s="5">
        <v>21839.1</v>
      </c>
      <c r="H286" s="5">
        <v>22096.75</v>
      </c>
      <c r="I286" s="5">
        <v>257.64999999999998</v>
      </c>
      <c r="J286" s="6">
        <v>1.179764733894712E-2</v>
      </c>
      <c r="K286" s="91">
        <f t="array" ref="K286">MAX(IF((D286&lt;[1]Nifty_D!$B$2:$B$6600)*(E286&gt;=[1]Nifty_D!$B$2:$B$6600),[1]Nifty_D!$F$2:$F$6600,""))</f>
        <v>22096.75</v>
      </c>
      <c r="L286" s="92">
        <f t="shared" si="16"/>
        <v>1.179764733894717E-2</v>
      </c>
      <c r="M286" s="91">
        <f t="shared" si="17"/>
        <v>10472.85</v>
      </c>
      <c r="N286" s="93">
        <f t="array" ref="N286">INDEX([1]Nifty_D!$B$2:$B$6600,MATCH(E286,[1]Nifty_D!$B$2:$B$6600,0)-1)</f>
        <v>45372</v>
      </c>
      <c r="O286" s="89">
        <f>VLOOKUP(N286,[1]Nifty_D!$B$2:$F$6600,5,0)</f>
        <v>22011.95</v>
      </c>
      <c r="P286" s="92">
        <f t="shared" si="18"/>
        <v>7.9147034447391018E-3</v>
      </c>
      <c r="Q286" s="7" t="s">
        <v>28</v>
      </c>
      <c r="R286" s="4">
        <v>21800</v>
      </c>
      <c r="S286" s="102"/>
      <c r="T286" s="102"/>
      <c r="U286" s="7" t="s">
        <v>90</v>
      </c>
      <c r="V286" s="4">
        <v>65</v>
      </c>
      <c r="W286" s="5">
        <v>230.35</v>
      </c>
      <c r="X286" s="5">
        <v>389.4</v>
      </c>
      <c r="Y286" s="8">
        <v>-1.1380999999999999</v>
      </c>
      <c r="Z286" s="8">
        <v>-3.7999999999999999E-2</v>
      </c>
      <c r="AA286" s="5">
        <v>-159.05000000000001</v>
      </c>
      <c r="AB286" s="6">
        <v>-7.2828092732759144E-3</v>
      </c>
      <c r="AC286" s="4">
        <v>0</v>
      </c>
      <c r="AD286" s="6">
        <v>0</v>
      </c>
      <c r="AE286" s="5">
        <v>45919.9</v>
      </c>
      <c r="AF286" s="5">
        <v>47312.85</v>
      </c>
      <c r="AG286" s="5">
        <v>1392.95</v>
      </c>
      <c r="AH286" s="5">
        <v>3.0333999999999999</v>
      </c>
      <c r="AI286" s="4">
        <v>2</v>
      </c>
      <c r="AJ286" s="5">
        <v>-3.3333000000000002E-2</v>
      </c>
      <c r="AK286" s="5">
        <v>1377.6433999999999</v>
      </c>
      <c r="AL286" s="5">
        <v>3.0001000000000002</v>
      </c>
      <c r="AM286" s="8">
        <v>1.0828</v>
      </c>
      <c r="AN286" s="8">
        <v>3.1257000000000001</v>
      </c>
      <c r="AO286" s="15">
        <v>967.1934</v>
      </c>
      <c r="AP286" s="15">
        <v>1.1207</v>
      </c>
      <c r="AQ286" s="5">
        <v>124.8108</v>
      </c>
      <c r="AR286" s="5">
        <v>131.19229999999999</v>
      </c>
      <c r="AS286" s="5">
        <v>-6.3815</v>
      </c>
      <c r="AT286" s="5">
        <v>-4.8642000000000003</v>
      </c>
      <c r="AU286" s="8">
        <v>0.49390000000000001</v>
      </c>
      <c r="AV286" s="8">
        <v>0.84289999999999998</v>
      </c>
      <c r="AW286" s="8">
        <v>0.49390000000000001</v>
      </c>
      <c r="AX286" s="5">
        <v>124.0372</v>
      </c>
      <c r="AY286" s="5">
        <v>-5.4539</v>
      </c>
      <c r="AZ286" s="7" t="s">
        <v>95</v>
      </c>
    </row>
    <row r="287" spans="1:52" ht="18" customHeight="1" x14ac:dyDescent="0.25">
      <c r="A287" s="10">
        <v>143</v>
      </c>
      <c r="B287" s="10">
        <v>2</v>
      </c>
      <c r="C287" s="10">
        <v>143</v>
      </c>
      <c r="D287" s="86">
        <v>45371</v>
      </c>
      <c r="E287" s="86">
        <v>45373</v>
      </c>
      <c r="F287" s="86">
        <v>45379</v>
      </c>
      <c r="G287" s="11">
        <v>21839.1</v>
      </c>
      <c r="H287" s="11">
        <v>22096.75</v>
      </c>
      <c r="I287" s="12"/>
      <c r="J287" s="12"/>
      <c r="K287" s="91">
        <f t="array" ref="K287">MAX(IF((D287&lt;[1]Nifty_D!$B$2:$B$6600)*(E287&gt;=[1]Nifty_D!$B$2:$B$6600),[1]Nifty_D!$F$2:$F$6600,""))</f>
        <v>22096.75</v>
      </c>
      <c r="L287" s="92">
        <f t="shared" si="16"/>
        <v>1.179764733894717E-2</v>
      </c>
      <c r="M287" s="91">
        <f t="shared" si="17"/>
        <v>10472.85</v>
      </c>
      <c r="N287" s="93">
        <f t="array" ref="N287">INDEX([1]Nifty_D!$B$2:$B$6600,MATCH(E287,[1]Nifty_D!$B$2:$B$6600,0)-1)</f>
        <v>45372</v>
      </c>
      <c r="O287" s="89">
        <f>VLOOKUP(N287,[1]Nifty_D!$B$2:$F$6600,5,0)</f>
        <v>22011.95</v>
      </c>
      <c r="P287" s="92">
        <f t="shared" si="18"/>
        <v>7.9147034447391018E-3</v>
      </c>
      <c r="Q287" s="12" t="s">
        <v>40</v>
      </c>
      <c r="R287" s="10">
        <v>22500</v>
      </c>
      <c r="S287" s="103">
        <f>MROUND(G287,500)</f>
        <v>22000</v>
      </c>
      <c r="T287" s="103">
        <f>S287-R287</f>
        <v>-500</v>
      </c>
      <c r="U287" s="12" t="s">
        <v>92</v>
      </c>
      <c r="V287" s="10">
        <v>65</v>
      </c>
      <c r="W287" s="11">
        <v>595.1</v>
      </c>
      <c r="X287" s="11">
        <v>343.7</v>
      </c>
      <c r="Y287" s="13">
        <v>-1.4937</v>
      </c>
      <c r="Z287" s="13">
        <v>-0.2019</v>
      </c>
      <c r="AA287" s="10">
        <v>0</v>
      </c>
      <c r="AB287" s="14">
        <v>0</v>
      </c>
      <c r="AC287" s="11">
        <v>-251.4</v>
      </c>
      <c r="AD287" s="14">
        <v>-1.151146338448013E-2</v>
      </c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 t="s">
        <v>95</v>
      </c>
    </row>
    <row r="288" spans="1:52" ht="18" hidden="1" customHeight="1" x14ac:dyDescent="0.25">
      <c r="A288" s="4">
        <v>144</v>
      </c>
      <c r="B288" s="4">
        <v>1</v>
      </c>
      <c r="C288" s="4">
        <v>144</v>
      </c>
      <c r="D288" s="85">
        <v>45373</v>
      </c>
      <c r="E288" s="85">
        <v>45378</v>
      </c>
      <c r="F288" s="85">
        <v>45379</v>
      </c>
      <c r="G288" s="5">
        <v>22096.75</v>
      </c>
      <c r="H288" s="5">
        <v>22123.65</v>
      </c>
      <c r="I288" s="5">
        <v>26.9</v>
      </c>
      <c r="J288" s="6">
        <v>1.2173735956645211E-3</v>
      </c>
      <c r="K288" s="91">
        <f t="array" ref="K288">MAX(IF((D288&lt;[1]Nifty_D!$B$2:$B$6600)*(E288&gt;=[1]Nifty_D!$B$2:$B$6600),[1]Nifty_D!$F$2:$F$6600,""))</f>
        <v>22123.65</v>
      </c>
      <c r="L288" s="92">
        <f t="shared" si="16"/>
        <v>1.2173735956646503E-3</v>
      </c>
      <c r="M288" s="91">
        <f t="shared" si="17"/>
        <v>10499.750000000002</v>
      </c>
      <c r="N288" s="93">
        <f t="array" ref="N288">INDEX([1]Nifty_D!$B$2:$B$6600,MATCH(E288,[1]Nifty_D!$B$2:$B$6600,0)-1)</f>
        <v>45377</v>
      </c>
      <c r="O288" s="89">
        <f>VLOOKUP(N288,[1]Nifty_D!$B$2:$F$6600,5,0)</f>
        <v>22004.7</v>
      </c>
      <c r="P288" s="92">
        <f t="shared" si="18"/>
        <v>-4.1657709844207247E-3</v>
      </c>
      <c r="Q288" s="7" t="s">
        <v>28</v>
      </c>
      <c r="R288" s="4">
        <v>22100</v>
      </c>
      <c r="S288" s="102"/>
      <c r="T288" s="102"/>
      <c r="U288" s="7" t="s">
        <v>90</v>
      </c>
      <c r="V288" s="4">
        <v>65</v>
      </c>
      <c r="W288" s="4">
        <v>156</v>
      </c>
      <c r="X288" s="5">
        <v>98.4</v>
      </c>
      <c r="Y288" s="8">
        <v>9.4999999999999998E-3</v>
      </c>
      <c r="Z288" s="8">
        <v>0.38919999999999999</v>
      </c>
      <c r="AA288" s="5">
        <v>57.6</v>
      </c>
      <c r="AB288" s="6">
        <v>2.6067181825381561E-3</v>
      </c>
      <c r="AC288" s="4">
        <v>0</v>
      </c>
      <c r="AD288" s="6">
        <v>0</v>
      </c>
      <c r="AE288" s="5">
        <v>47312.85</v>
      </c>
      <c r="AF288" s="5">
        <v>47837.35</v>
      </c>
      <c r="AG288" s="5">
        <v>524.5</v>
      </c>
      <c r="AH288" s="5">
        <v>1.1086</v>
      </c>
      <c r="AI288" s="4">
        <v>5</v>
      </c>
      <c r="AJ288" s="5">
        <v>-8.3333000000000004E-2</v>
      </c>
      <c r="AK288" s="5">
        <v>485.07260000000002</v>
      </c>
      <c r="AL288" s="5">
        <v>1.0251999999999999</v>
      </c>
      <c r="AM288" s="8">
        <v>-0.31840000000000002</v>
      </c>
      <c r="AN288" s="8">
        <v>1.6536999999999999</v>
      </c>
      <c r="AO288" s="15">
        <v>534.82259999999997</v>
      </c>
      <c r="AP288" s="15">
        <v>1.2503</v>
      </c>
      <c r="AQ288" s="5">
        <v>126.37130000000001</v>
      </c>
      <c r="AR288" s="5">
        <v>131.19229999999999</v>
      </c>
      <c r="AS288" s="5">
        <v>-4.8209999999999997</v>
      </c>
      <c r="AT288" s="5">
        <v>-3.6747000000000001</v>
      </c>
      <c r="AU288" s="8">
        <v>1.4256</v>
      </c>
      <c r="AV288" s="8">
        <v>0.52400000000000002</v>
      </c>
      <c r="AW288" s="8">
        <v>0.52400000000000002</v>
      </c>
      <c r="AX288" s="5">
        <v>125.4648</v>
      </c>
      <c r="AY288" s="5">
        <v>-4.3657000000000004</v>
      </c>
      <c r="AZ288" s="7" t="s">
        <v>91</v>
      </c>
    </row>
    <row r="289" spans="1:52" ht="18" customHeight="1" x14ac:dyDescent="0.25">
      <c r="A289" s="10">
        <v>144</v>
      </c>
      <c r="B289" s="10">
        <v>2</v>
      </c>
      <c r="C289" s="10">
        <v>144</v>
      </c>
      <c r="D289" s="86">
        <v>45373</v>
      </c>
      <c r="E289" s="86">
        <v>45378</v>
      </c>
      <c r="F289" s="86">
        <v>45379</v>
      </c>
      <c r="G289" s="11">
        <v>22096.75</v>
      </c>
      <c r="H289" s="11">
        <v>22123.65</v>
      </c>
      <c r="I289" s="12"/>
      <c r="J289" s="12"/>
      <c r="K289" s="91">
        <f t="array" ref="K289">MAX(IF((D289&lt;[1]Nifty_D!$B$2:$B$6600)*(E289&gt;=[1]Nifty_D!$B$2:$B$6600),[1]Nifty_D!$F$2:$F$6600,""))</f>
        <v>22123.65</v>
      </c>
      <c r="L289" s="92">
        <f t="shared" si="16"/>
        <v>1.2173735956646503E-3</v>
      </c>
      <c r="M289" s="91">
        <f t="shared" si="17"/>
        <v>10499.750000000002</v>
      </c>
      <c r="N289" s="93">
        <f t="array" ref="N289">INDEX([1]Nifty_D!$B$2:$B$6600,MATCH(E289,[1]Nifty_D!$B$2:$B$6600,0)-1)</f>
        <v>45377</v>
      </c>
      <c r="O289" s="89">
        <f>VLOOKUP(N289,[1]Nifty_D!$B$2:$F$6600,5,0)</f>
        <v>22004.7</v>
      </c>
      <c r="P289" s="92">
        <f t="shared" si="18"/>
        <v>-4.1657709844207247E-3</v>
      </c>
      <c r="Q289" s="12" t="s">
        <v>40</v>
      </c>
      <c r="R289" s="10">
        <v>22500</v>
      </c>
      <c r="S289" s="103">
        <f>MROUND(G289,500)</f>
        <v>22000</v>
      </c>
      <c r="T289" s="103">
        <f>S289-R289</f>
        <v>-500</v>
      </c>
      <c r="U289" s="12" t="s">
        <v>92</v>
      </c>
      <c r="V289" s="10">
        <v>65</v>
      </c>
      <c r="W289" s="11">
        <v>343.7</v>
      </c>
      <c r="X289" s="11">
        <v>335.85</v>
      </c>
      <c r="Y289" s="13">
        <v>-0.23760000000000001</v>
      </c>
      <c r="Z289" s="13">
        <v>0.45319999999999999</v>
      </c>
      <c r="AA289" s="10">
        <v>0</v>
      </c>
      <c r="AB289" s="14">
        <v>0</v>
      </c>
      <c r="AC289" s="11">
        <v>-7.85</v>
      </c>
      <c r="AD289" s="14">
        <v>-3.5525586341882853E-4</v>
      </c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 t="s">
        <v>91</v>
      </c>
    </row>
    <row r="290" spans="1:52" ht="18" hidden="1" customHeight="1" x14ac:dyDescent="0.25">
      <c r="A290" s="4">
        <v>145</v>
      </c>
      <c r="B290" s="4">
        <v>1</v>
      </c>
      <c r="C290" s="4">
        <v>145</v>
      </c>
      <c r="D290" s="85">
        <v>45378</v>
      </c>
      <c r="E290" s="85">
        <v>45379</v>
      </c>
      <c r="F290" s="85">
        <v>45386</v>
      </c>
      <c r="G290" s="5">
        <v>22123.65</v>
      </c>
      <c r="H290" s="5">
        <v>22326.9</v>
      </c>
      <c r="I290" s="5">
        <v>203.25</v>
      </c>
      <c r="J290" s="6">
        <v>9.1870012407536724E-3</v>
      </c>
      <c r="K290" s="91">
        <f t="array" ref="K290">MAX(IF((D290&lt;[1]Nifty_D!$B$2:$B$6600)*(E290&gt;=[1]Nifty_D!$B$2:$B$6600),[1]Nifty_D!$F$2:$F$6600,""))</f>
        <v>22326.9</v>
      </c>
      <c r="L290" s="92">
        <f t="shared" si="16"/>
        <v>9.1870012407537782E-3</v>
      </c>
      <c r="M290" s="91">
        <f t="shared" si="17"/>
        <v>10703.000000000002</v>
      </c>
      <c r="N290" s="93">
        <f t="array" ref="N290">INDEX([1]Nifty_D!$B$2:$B$6600,MATCH(E290,[1]Nifty_D!$B$2:$B$6600,0)-1)</f>
        <v>45378</v>
      </c>
      <c r="O290" s="89">
        <f>VLOOKUP(N290,[1]Nifty_D!$B$2:$F$6600,5,0)</f>
        <v>22123.65</v>
      </c>
      <c r="P290" s="92">
        <f t="shared" si="18"/>
        <v>0</v>
      </c>
      <c r="Q290" s="7" t="s">
        <v>28</v>
      </c>
      <c r="R290" s="4">
        <v>22100</v>
      </c>
      <c r="S290" s="102"/>
      <c r="T290" s="102"/>
      <c r="U290" s="7" t="s">
        <v>90</v>
      </c>
      <c r="V290" s="4">
        <v>65</v>
      </c>
      <c r="W290" s="5">
        <v>242.55</v>
      </c>
      <c r="X290" s="4">
        <v>337</v>
      </c>
      <c r="Y290" s="8">
        <v>-1.0435000000000001</v>
      </c>
      <c r="Z290" s="8">
        <v>0.12</v>
      </c>
      <c r="AA290" s="5">
        <v>-94.45</v>
      </c>
      <c r="AB290" s="6">
        <v>-4.2691870464412517E-3</v>
      </c>
      <c r="AC290" s="4">
        <v>0</v>
      </c>
      <c r="AD290" s="6">
        <v>0</v>
      </c>
      <c r="AE290" s="5">
        <v>47837.35</v>
      </c>
      <c r="AF290" s="5">
        <v>48075.75</v>
      </c>
      <c r="AG290" s="5">
        <v>238.4</v>
      </c>
      <c r="AH290" s="5">
        <v>0.49840000000000001</v>
      </c>
      <c r="AI290" s="4">
        <v>1</v>
      </c>
      <c r="AJ290" s="5">
        <v>-1.6667000000000001E-2</v>
      </c>
      <c r="AK290" s="5">
        <v>230.4271</v>
      </c>
      <c r="AL290" s="5">
        <v>0.48170000000000002</v>
      </c>
      <c r="AM290" s="8">
        <v>-0.12570000000000001</v>
      </c>
      <c r="AN290" s="8">
        <v>0.84630000000000005</v>
      </c>
      <c r="AO290" s="9">
        <v>-83.272900000000007</v>
      </c>
      <c r="AP290" s="9">
        <v>-0.93620000000000003</v>
      </c>
      <c r="AQ290" s="5">
        <v>125.1883</v>
      </c>
      <c r="AR290" s="5">
        <v>131.19229999999999</v>
      </c>
      <c r="AS290" s="5">
        <v>-6.0039999999999996</v>
      </c>
      <c r="AT290" s="5">
        <v>-4.5765000000000002</v>
      </c>
      <c r="AU290" s="8">
        <v>-1.6585000000000001</v>
      </c>
      <c r="AV290" s="8">
        <v>-8.6400000000000005E-2</v>
      </c>
      <c r="AW290" s="8">
        <v>-1.6585000000000001</v>
      </c>
      <c r="AX290" s="5">
        <v>124.27549999999999</v>
      </c>
      <c r="AY290" s="5">
        <v>-5.2723000000000004</v>
      </c>
      <c r="AZ290" s="7" t="s">
        <v>94</v>
      </c>
    </row>
    <row r="291" spans="1:52" s="101" customFormat="1" ht="18" customHeight="1" x14ac:dyDescent="0.25">
      <c r="A291" s="94">
        <v>145</v>
      </c>
      <c r="B291" s="94">
        <v>2</v>
      </c>
      <c r="C291" s="94">
        <v>145</v>
      </c>
      <c r="D291" s="95">
        <v>45378</v>
      </c>
      <c r="E291" s="95">
        <v>45379</v>
      </c>
      <c r="F291" s="95">
        <v>45379</v>
      </c>
      <c r="G291" s="96">
        <v>22123.65</v>
      </c>
      <c r="H291" s="96">
        <v>22326.9</v>
      </c>
      <c r="I291" s="12"/>
      <c r="J291" s="12"/>
      <c r="K291" s="97">
        <f t="array" ref="K291">MAX(IF((D291&lt;[1]Nifty_D!$B$2:$B$6600)*(E291&gt;=[1]Nifty_D!$B$2:$B$6600),[1]Nifty_D!$F$2:$F$6600,""))</f>
        <v>22326.9</v>
      </c>
      <c r="L291" s="98">
        <f t="shared" si="16"/>
        <v>9.1870012407537782E-3</v>
      </c>
      <c r="M291" s="97">
        <f t="shared" si="17"/>
        <v>10703.000000000002</v>
      </c>
      <c r="N291" s="93">
        <f t="array" ref="N291">INDEX([1]Nifty_D!$B$2:$B$6600,MATCH(E291,[1]Nifty_D!$B$2:$B$6600,0)-1)</f>
        <v>45378</v>
      </c>
      <c r="O291" s="89">
        <f>VLOOKUP(N291,[1]Nifty_D!$B$2:$F$6600,5,0)</f>
        <v>22123.65</v>
      </c>
      <c r="P291" s="92">
        <f t="shared" si="18"/>
        <v>0</v>
      </c>
      <c r="Q291" s="99" t="s">
        <v>40</v>
      </c>
      <c r="R291" s="94">
        <v>22500</v>
      </c>
      <c r="S291" s="103">
        <f>MROUND(G291,500)</f>
        <v>22000</v>
      </c>
      <c r="T291" s="103">
        <f>S291-R291</f>
        <v>-500</v>
      </c>
      <c r="U291" s="99" t="s">
        <v>92</v>
      </c>
      <c r="V291" s="94">
        <v>65</v>
      </c>
      <c r="W291" s="96">
        <v>335.85</v>
      </c>
      <c r="X291" s="96">
        <v>116.6</v>
      </c>
      <c r="Y291" s="13">
        <v>-1.4613</v>
      </c>
      <c r="Z291" s="13">
        <v>-8.0699999999999994E-2</v>
      </c>
      <c r="AA291" s="10">
        <v>0</v>
      </c>
      <c r="AB291" s="14">
        <v>0</v>
      </c>
      <c r="AC291" s="96">
        <v>-219.25</v>
      </c>
      <c r="AD291" s="100">
        <v>-9.9102092105054999E-3</v>
      </c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 t="s">
        <v>94</v>
      </c>
    </row>
    <row r="292" spans="1:52" ht="18" hidden="1" customHeight="1" x14ac:dyDescent="0.25">
      <c r="A292" s="4">
        <v>146</v>
      </c>
      <c r="B292" s="4">
        <v>1</v>
      </c>
      <c r="C292" s="4">
        <v>146</v>
      </c>
      <c r="D292" s="85">
        <v>45412</v>
      </c>
      <c r="E292" s="85">
        <v>45420</v>
      </c>
      <c r="F292" s="85">
        <v>45421</v>
      </c>
      <c r="G292" s="5">
        <v>22604.85</v>
      </c>
      <c r="H292" s="5">
        <v>22302.5</v>
      </c>
      <c r="I292" s="5">
        <v>-302.35000000000002</v>
      </c>
      <c r="J292" s="6">
        <v>-1.337544818921603E-2</v>
      </c>
      <c r="K292" s="91">
        <f t="array" ref="K292">MAX(IF((D292&lt;[1]Nifty_D!$B$2:$B$6600)*(E292&gt;=[1]Nifty_D!$B$2:$B$6600),[1]Nifty_D!$F$2:$F$6600,""))</f>
        <v>22648.2</v>
      </c>
      <c r="L292" s="92">
        <f t="shared" si="16"/>
        <v>1.917730044658672E-3</v>
      </c>
      <c r="M292" s="91">
        <f t="shared" si="17"/>
        <v>11024.300000000001</v>
      </c>
      <c r="N292" s="93">
        <f t="array" ref="N292">INDEX([1]Nifty_D!$B$2:$B$6600,MATCH(E292,[1]Nifty_D!$B$2:$B$6600,0)-1)</f>
        <v>45419</v>
      </c>
      <c r="O292" s="89">
        <f>VLOOKUP(N292,[1]Nifty_D!$B$2:$F$6600,5,0)</f>
        <v>22302.5</v>
      </c>
      <c r="P292" s="92">
        <f t="shared" si="18"/>
        <v>-1.3375448189215988E-2</v>
      </c>
      <c r="Q292" s="7" t="s">
        <v>28</v>
      </c>
      <c r="R292" s="4">
        <v>22600</v>
      </c>
      <c r="S292" s="102"/>
      <c r="T292" s="102"/>
      <c r="U292" s="7" t="s">
        <v>90</v>
      </c>
      <c r="V292" s="4">
        <v>65</v>
      </c>
      <c r="W292" s="4">
        <v>204</v>
      </c>
      <c r="X292" s="5">
        <v>5.7</v>
      </c>
      <c r="Y292" s="8">
        <v>-0.33929999999999999</v>
      </c>
      <c r="Z292" s="8">
        <v>0.88009999999999999</v>
      </c>
      <c r="AA292" s="5">
        <v>198.3</v>
      </c>
      <c r="AB292" s="6">
        <v>8.7724536990955483E-3</v>
      </c>
      <c r="AC292" s="4">
        <v>0</v>
      </c>
      <c r="AD292" s="6">
        <v>0</v>
      </c>
      <c r="AE292" s="5">
        <v>50868.2</v>
      </c>
      <c r="AF292" s="5">
        <v>50036.3</v>
      </c>
      <c r="AG292" s="5">
        <v>-831.9</v>
      </c>
      <c r="AH292" s="5">
        <v>-1.6354</v>
      </c>
      <c r="AI292" s="4">
        <v>8</v>
      </c>
      <c r="AJ292" s="5">
        <v>-0.13333300000000001</v>
      </c>
      <c r="AK292" s="5">
        <v>-899.72429999999997</v>
      </c>
      <c r="AL292" s="5">
        <v>-1.7686999999999999</v>
      </c>
      <c r="AM292" s="8">
        <v>-3.2795000000000001</v>
      </c>
      <c r="AN292" s="8">
        <v>0.88229999999999997</v>
      </c>
      <c r="AO292" s="9">
        <v>-585.52430000000004</v>
      </c>
      <c r="AP292" s="9">
        <v>-0.37869999999999998</v>
      </c>
      <c r="AQ292" s="5">
        <v>99.621300000000005</v>
      </c>
      <c r="AR292" s="4">
        <v>100</v>
      </c>
      <c r="AS292" s="5">
        <v>-0.37869999999999998</v>
      </c>
      <c r="AT292" s="5">
        <v>-0.37869999999999998</v>
      </c>
      <c r="AU292" s="8">
        <v>0.2276</v>
      </c>
      <c r="AV292" s="8">
        <v>-1.5233000000000001</v>
      </c>
      <c r="AW292" s="8">
        <v>-1.5233000000000001</v>
      </c>
      <c r="AX292" s="5">
        <v>98.476699999999994</v>
      </c>
      <c r="AY292" s="5">
        <v>-1.5233000000000001</v>
      </c>
      <c r="AZ292" s="7" t="s">
        <v>91</v>
      </c>
    </row>
    <row r="293" spans="1:52" ht="18" customHeight="1" x14ac:dyDescent="0.25">
      <c r="A293" s="10">
        <v>146</v>
      </c>
      <c r="B293" s="10">
        <v>2</v>
      </c>
      <c r="C293" s="10">
        <v>146</v>
      </c>
      <c r="D293" s="86">
        <v>45412</v>
      </c>
      <c r="E293" s="86">
        <v>45420</v>
      </c>
      <c r="F293" s="86">
        <v>45442</v>
      </c>
      <c r="G293" s="11">
        <v>22604.85</v>
      </c>
      <c r="H293" s="11">
        <v>22302.5</v>
      </c>
      <c r="I293" s="12"/>
      <c r="J293" s="12"/>
      <c r="K293" s="91">
        <f t="array" ref="K293">MAX(IF((D293&lt;[1]Nifty_D!$B$2:$B$6600)*(E293&gt;=[1]Nifty_D!$B$2:$B$6600),[1]Nifty_D!$F$2:$F$6600,""))</f>
        <v>22648.2</v>
      </c>
      <c r="L293" s="92">
        <f t="shared" si="16"/>
        <v>1.917730044658672E-3</v>
      </c>
      <c r="M293" s="91">
        <f t="shared" si="17"/>
        <v>11024.300000000001</v>
      </c>
      <c r="N293" s="93">
        <f t="array" ref="N293">INDEX([1]Nifty_D!$B$2:$B$6600,MATCH(E293,[1]Nifty_D!$B$2:$B$6600,0)-1)</f>
        <v>45419</v>
      </c>
      <c r="O293" s="89">
        <f>VLOOKUP(N293,[1]Nifty_D!$B$2:$F$6600,5,0)</f>
        <v>22302.5</v>
      </c>
      <c r="P293" s="92">
        <f t="shared" si="18"/>
        <v>-1.3375448189215988E-2</v>
      </c>
      <c r="Q293" s="12" t="s">
        <v>40</v>
      </c>
      <c r="R293" s="10">
        <v>22500</v>
      </c>
      <c r="S293" s="103">
        <f>MROUND(G293,500)</f>
        <v>22500</v>
      </c>
      <c r="T293" s="103">
        <f>S293-R293</f>
        <v>0</v>
      </c>
      <c r="U293" s="12" t="s">
        <v>92</v>
      </c>
      <c r="V293" s="10">
        <v>65</v>
      </c>
      <c r="W293" s="11">
        <v>226.95</v>
      </c>
      <c r="X293" s="11">
        <v>342.85</v>
      </c>
      <c r="Y293" s="13">
        <v>-0.31540000000000001</v>
      </c>
      <c r="Z293" s="13">
        <v>0.87609999999999999</v>
      </c>
      <c r="AA293" s="10">
        <v>0</v>
      </c>
      <c r="AB293" s="14">
        <v>0</v>
      </c>
      <c r="AC293" s="11">
        <v>115.9</v>
      </c>
      <c r="AD293" s="14">
        <v>5.1272182739544826E-3</v>
      </c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 t="s">
        <v>91</v>
      </c>
    </row>
    <row r="294" spans="1:52" ht="18" hidden="1" customHeight="1" x14ac:dyDescent="0.25">
      <c r="A294" s="4">
        <v>147</v>
      </c>
      <c r="B294" s="4">
        <v>1</v>
      </c>
      <c r="C294" s="4">
        <v>147</v>
      </c>
      <c r="D294" s="85">
        <v>45420</v>
      </c>
      <c r="E294" s="85">
        <v>45427</v>
      </c>
      <c r="F294" s="85">
        <v>45428</v>
      </c>
      <c r="G294" s="5">
        <v>22302.5</v>
      </c>
      <c r="H294" s="5">
        <v>22200.55</v>
      </c>
      <c r="I294" s="5">
        <v>-101.95</v>
      </c>
      <c r="J294" s="6">
        <v>-4.5712364084743856E-3</v>
      </c>
      <c r="K294" s="91">
        <f t="array" ref="K294">MAX(IF((D294&lt;[1]Nifty_D!$B$2:$B$6600)*(E294&gt;=[1]Nifty_D!$B$2:$B$6600),[1]Nifty_D!$F$2:$F$6600,""))</f>
        <v>22217.85</v>
      </c>
      <c r="L294" s="92">
        <f t="shared" si="16"/>
        <v>-3.795538616747085E-3</v>
      </c>
      <c r="M294" s="91">
        <f t="shared" si="17"/>
        <v>10593.949999999999</v>
      </c>
      <c r="N294" s="93">
        <f t="array" ref="N294">INDEX([1]Nifty_D!$B$2:$B$6600,MATCH(E294,[1]Nifty_D!$B$2:$B$6600,0)-1)</f>
        <v>45426</v>
      </c>
      <c r="O294" s="89">
        <f>VLOOKUP(N294,[1]Nifty_D!$B$2:$F$6600,5,0)</f>
        <v>22217.85</v>
      </c>
      <c r="P294" s="92">
        <f t="shared" si="18"/>
        <v>-3.795538616747085E-3</v>
      </c>
      <c r="Q294" s="7" t="s">
        <v>28</v>
      </c>
      <c r="R294" s="4">
        <v>22300</v>
      </c>
      <c r="S294" s="102"/>
      <c r="T294" s="102"/>
      <c r="U294" s="7" t="s">
        <v>90</v>
      </c>
      <c r="V294" s="4">
        <v>65</v>
      </c>
      <c r="W294" s="5">
        <v>191.8</v>
      </c>
      <c r="X294" s="5">
        <v>34.299999999999997</v>
      </c>
      <c r="Y294" s="8">
        <v>1.8E-3</v>
      </c>
      <c r="Z294" s="8">
        <v>0.79139999999999999</v>
      </c>
      <c r="AA294" s="5">
        <v>157.5</v>
      </c>
      <c r="AB294" s="6">
        <v>7.0619885663042257E-3</v>
      </c>
      <c r="AC294" s="4">
        <v>0</v>
      </c>
      <c r="AD294" s="6">
        <v>0</v>
      </c>
      <c r="AE294" s="5">
        <v>50036.3</v>
      </c>
      <c r="AF294" s="5">
        <v>50707.75</v>
      </c>
      <c r="AG294" s="5">
        <v>671.45</v>
      </c>
      <c r="AH294" s="5">
        <v>1.3419000000000001</v>
      </c>
      <c r="AI294" s="4">
        <v>7</v>
      </c>
      <c r="AJ294" s="5">
        <v>-0.11666700000000001</v>
      </c>
      <c r="AK294" s="5">
        <v>613.07429999999999</v>
      </c>
      <c r="AL294" s="5">
        <v>1.2253000000000001</v>
      </c>
      <c r="AM294" s="8">
        <v>-3.0150999999999999</v>
      </c>
      <c r="AN294" s="8">
        <v>1.3454999999999999</v>
      </c>
      <c r="AO294" s="15">
        <v>781.62429999999995</v>
      </c>
      <c r="AP294" s="15">
        <v>1.9810000000000001</v>
      </c>
      <c r="AQ294" s="5">
        <v>101.59480000000001</v>
      </c>
      <c r="AR294" s="5">
        <v>101.59480000000001</v>
      </c>
      <c r="AS294" s="4">
        <v>0</v>
      </c>
      <c r="AT294" s="4">
        <v>0</v>
      </c>
      <c r="AU294" s="8">
        <v>1.1776</v>
      </c>
      <c r="AV294" s="8">
        <v>-0.73370000000000002</v>
      </c>
      <c r="AW294" s="8">
        <v>-0.73370000000000002</v>
      </c>
      <c r="AX294" s="5">
        <v>98.8904</v>
      </c>
      <c r="AY294" s="5">
        <v>-1.1095999999999999</v>
      </c>
      <c r="AZ294" s="7" t="s">
        <v>91</v>
      </c>
    </row>
    <row r="295" spans="1:52" ht="18" customHeight="1" x14ac:dyDescent="0.25">
      <c r="A295" s="10">
        <v>147</v>
      </c>
      <c r="B295" s="10">
        <v>2</v>
      </c>
      <c r="C295" s="10">
        <v>147</v>
      </c>
      <c r="D295" s="86">
        <v>45420</v>
      </c>
      <c r="E295" s="86">
        <v>45427</v>
      </c>
      <c r="F295" s="86">
        <v>45442</v>
      </c>
      <c r="G295" s="11">
        <v>22302.5</v>
      </c>
      <c r="H295" s="11">
        <v>22200.55</v>
      </c>
      <c r="I295" s="12"/>
      <c r="J295" s="12"/>
      <c r="K295" s="91">
        <f t="array" ref="K295">MAX(IF((D295&lt;[1]Nifty_D!$B$2:$B$6600)*(E295&gt;=[1]Nifty_D!$B$2:$B$6600),[1]Nifty_D!$F$2:$F$6600,""))</f>
        <v>22217.85</v>
      </c>
      <c r="L295" s="92">
        <f t="shared" si="16"/>
        <v>-3.795538616747085E-3</v>
      </c>
      <c r="M295" s="91">
        <f t="shared" si="17"/>
        <v>10593.949999999999</v>
      </c>
      <c r="N295" s="93">
        <f t="array" ref="N295">INDEX([1]Nifty_D!$B$2:$B$6600,MATCH(E295,[1]Nifty_D!$B$2:$B$6600,0)-1)</f>
        <v>45426</v>
      </c>
      <c r="O295" s="89">
        <f>VLOOKUP(N295,[1]Nifty_D!$B$2:$F$6600,5,0)</f>
        <v>22217.85</v>
      </c>
      <c r="P295" s="92">
        <f t="shared" si="18"/>
        <v>-3.795538616747085E-3</v>
      </c>
      <c r="Q295" s="12" t="s">
        <v>40</v>
      </c>
      <c r="R295" s="10">
        <v>22500</v>
      </c>
      <c r="S295" s="103">
        <f>MROUND(G295,500)</f>
        <v>22500</v>
      </c>
      <c r="T295" s="103">
        <f>S295-R295</f>
        <v>0</v>
      </c>
      <c r="U295" s="12" t="s">
        <v>92</v>
      </c>
      <c r="V295" s="10">
        <v>65</v>
      </c>
      <c r="W295" s="11">
        <v>342.85</v>
      </c>
      <c r="X295" s="11">
        <v>353.9</v>
      </c>
      <c r="Y295" s="13">
        <v>-0.16969999999999999</v>
      </c>
      <c r="Z295" s="13">
        <v>1.49</v>
      </c>
      <c r="AA295" s="10">
        <v>0</v>
      </c>
      <c r="AB295" s="14">
        <v>0</v>
      </c>
      <c r="AC295" s="11">
        <v>11.05</v>
      </c>
      <c r="AD295" s="14">
        <v>4.9546015020737592E-4</v>
      </c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 t="s">
        <v>91</v>
      </c>
    </row>
    <row r="296" spans="1:52" ht="18" hidden="1" customHeight="1" x14ac:dyDescent="0.25">
      <c r="A296" s="4">
        <v>148</v>
      </c>
      <c r="B296" s="4">
        <v>1</v>
      </c>
      <c r="C296" s="4">
        <v>148</v>
      </c>
      <c r="D296" s="85">
        <v>45427</v>
      </c>
      <c r="E296" s="85">
        <v>45429</v>
      </c>
      <c r="F296" s="85">
        <v>45435</v>
      </c>
      <c r="G296" s="5">
        <v>22200.55</v>
      </c>
      <c r="H296" s="5">
        <v>22466.1</v>
      </c>
      <c r="I296" s="5">
        <v>265.55</v>
      </c>
      <c r="J296" s="6">
        <v>1.196141537033992E-2</v>
      </c>
      <c r="K296" s="91">
        <f t="array" ref="K296">MAX(IF((D296&lt;[1]Nifty_D!$B$2:$B$6600)*(E296&gt;=[1]Nifty_D!$B$2:$B$6600),[1]Nifty_D!$F$2:$F$6600,""))</f>
        <v>22466.1</v>
      </c>
      <c r="L296" s="92">
        <f t="shared" si="16"/>
        <v>1.196141537033979E-2</v>
      </c>
      <c r="M296" s="91">
        <f t="shared" si="17"/>
        <v>10842.199999999999</v>
      </c>
      <c r="N296" s="93">
        <f t="array" ref="N296">INDEX([1]Nifty_D!$B$2:$B$6600,MATCH(E296,[1]Nifty_D!$B$2:$B$6600,0)-1)</f>
        <v>45428</v>
      </c>
      <c r="O296" s="89">
        <f>VLOOKUP(N296,[1]Nifty_D!$B$2:$F$6600,5,0)</f>
        <v>22403.85</v>
      </c>
      <c r="P296" s="92">
        <f t="shared" si="18"/>
        <v>9.1574307843724778E-3</v>
      </c>
      <c r="Q296" s="7" t="s">
        <v>28</v>
      </c>
      <c r="R296" s="4">
        <v>22200</v>
      </c>
      <c r="S296" s="102"/>
      <c r="T296" s="102"/>
      <c r="U296" s="7" t="s">
        <v>90</v>
      </c>
      <c r="V296" s="4">
        <v>65</v>
      </c>
      <c r="W296" s="5">
        <v>196.45</v>
      </c>
      <c r="X296" s="5">
        <v>313.35000000000002</v>
      </c>
      <c r="Y296" s="8">
        <v>-0.67589999999999995</v>
      </c>
      <c r="Z296" s="8">
        <v>0.26939999999999997</v>
      </c>
      <c r="AA296" s="5">
        <v>-116.9</v>
      </c>
      <c r="AB296" s="6">
        <v>-5.2656353108368938E-3</v>
      </c>
      <c r="AC296" s="4">
        <v>0</v>
      </c>
      <c r="AD296" s="6">
        <v>0</v>
      </c>
      <c r="AE296" s="5">
        <v>50707.75</v>
      </c>
      <c r="AF296" s="5">
        <v>51604.9</v>
      </c>
      <c r="AG296" s="5">
        <v>897.15</v>
      </c>
      <c r="AH296" s="5">
        <v>1.7693000000000001</v>
      </c>
      <c r="AI296" s="4">
        <v>2</v>
      </c>
      <c r="AJ296" s="5">
        <v>-3.3333000000000002E-2</v>
      </c>
      <c r="AK296" s="5">
        <v>880.24739999999997</v>
      </c>
      <c r="AL296" s="5">
        <v>1.7359</v>
      </c>
      <c r="AM296" s="8">
        <v>1.6E-2</v>
      </c>
      <c r="AN296" s="8">
        <v>1.7837000000000001</v>
      </c>
      <c r="AO296" s="15">
        <v>613.09739999999999</v>
      </c>
      <c r="AP296" s="15">
        <v>0.53259999999999996</v>
      </c>
      <c r="AQ296" s="5">
        <v>102.13590000000001</v>
      </c>
      <c r="AR296" s="5">
        <v>102.13590000000001</v>
      </c>
      <c r="AS296" s="4">
        <v>0</v>
      </c>
      <c r="AT296" s="4">
        <v>0</v>
      </c>
      <c r="AU296" s="8">
        <v>0.34720000000000001</v>
      </c>
      <c r="AV296" s="8">
        <v>0.71689999999999998</v>
      </c>
      <c r="AW296" s="8">
        <v>0.34720000000000001</v>
      </c>
      <c r="AX296" s="5">
        <v>101.94750000000001</v>
      </c>
      <c r="AY296" s="5">
        <v>0.34720000000000001</v>
      </c>
      <c r="AZ296" s="7" t="s">
        <v>95</v>
      </c>
    </row>
    <row r="297" spans="1:52" ht="18" customHeight="1" x14ac:dyDescent="0.25">
      <c r="A297" s="10">
        <v>148</v>
      </c>
      <c r="B297" s="10">
        <v>2</v>
      </c>
      <c r="C297" s="10">
        <v>148</v>
      </c>
      <c r="D297" s="86">
        <v>45427</v>
      </c>
      <c r="E297" s="86">
        <v>45429</v>
      </c>
      <c r="F297" s="86">
        <v>45442</v>
      </c>
      <c r="G297" s="11">
        <v>22200.55</v>
      </c>
      <c r="H297" s="11">
        <v>22466.1</v>
      </c>
      <c r="I297" s="12"/>
      <c r="J297" s="12"/>
      <c r="K297" s="91">
        <f t="array" ref="K297">MAX(IF((D297&lt;[1]Nifty_D!$B$2:$B$6600)*(E297&gt;=[1]Nifty_D!$B$2:$B$6600),[1]Nifty_D!$F$2:$F$6600,""))</f>
        <v>22466.1</v>
      </c>
      <c r="L297" s="92">
        <f t="shared" si="16"/>
        <v>1.196141537033979E-2</v>
      </c>
      <c r="M297" s="91">
        <f t="shared" si="17"/>
        <v>10842.199999999999</v>
      </c>
      <c r="N297" s="93">
        <f t="array" ref="N297">INDEX([1]Nifty_D!$B$2:$B$6600,MATCH(E297,[1]Nifty_D!$B$2:$B$6600,0)-1)</f>
        <v>45428</v>
      </c>
      <c r="O297" s="89">
        <f>VLOOKUP(N297,[1]Nifty_D!$B$2:$F$6600,5,0)</f>
        <v>22403.85</v>
      </c>
      <c r="P297" s="92">
        <f t="shared" si="18"/>
        <v>9.1574307843724778E-3</v>
      </c>
      <c r="Q297" s="12" t="s">
        <v>40</v>
      </c>
      <c r="R297" s="10">
        <v>22500</v>
      </c>
      <c r="S297" s="103">
        <f>MROUND(G297,500)</f>
        <v>22000</v>
      </c>
      <c r="T297" s="103">
        <f>S297-R297</f>
        <v>-500</v>
      </c>
      <c r="U297" s="12" t="s">
        <v>92</v>
      </c>
      <c r="V297" s="10">
        <v>65</v>
      </c>
      <c r="W297" s="11">
        <v>353.9</v>
      </c>
      <c r="X297" s="11">
        <v>203.65</v>
      </c>
      <c r="Y297" s="13">
        <v>-0.76060000000000005</v>
      </c>
      <c r="Z297" s="13">
        <v>0.43149999999999999</v>
      </c>
      <c r="AA297" s="10">
        <v>0</v>
      </c>
      <c r="AB297" s="14">
        <v>0</v>
      </c>
      <c r="AC297" s="11">
        <v>-150.25</v>
      </c>
      <c r="AD297" s="14">
        <v>-6.7678503460499853E-3</v>
      </c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 t="s">
        <v>95</v>
      </c>
    </row>
    <row r="298" spans="1:52" ht="18" hidden="1" customHeight="1" x14ac:dyDescent="0.25">
      <c r="A298" s="4">
        <v>149</v>
      </c>
      <c r="B298" s="4">
        <v>1</v>
      </c>
      <c r="C298" s="4">
        <v>149</v>
      </c>
      <c r="D298" s="85">
        <v>45429</v>
      </c>
      <c r="E298" s="85">
        <v>45434</v>
      </c>
      <c r="F298" s="85">
        <v>45435</v>
      </c>
      <c r="G298" s="5">
        <v>22466.1</v>
      </c>
      <c r="H298" s="5">
        <v>22597.8</v>
      </c>
      <c r="I298" s="5">
        <v>131.69999999999999</v>
      </c>
      <c r="J298" s="6">
        <v>5.8621656629321509E-3</v>
      </c>
      <c r="K298" s="91">
        <f t="array" ref="K298">MAX(IF((D298&lt;[1]Nifty_D!$B$2:$B$6600)*(E298&gt;=[1]Nifty_D!$B$2:$B$6600),[1]Nifty_D!$F$2:$F$6600,""))</f>
        <v>22597.8</v>
      </c>
      <c r="L298" s="92">
        <f t="shared" si="16"/>
        <v>5.8621656629322949E-3</v>
      </c>
      <c r="M298" s="91">
        <f t="shared" si="17"/>
        <v>10973.9</v>
      </c>
      <c r="N298" s="93">
        <f t="array" ref="N298">INDEX([1]Nifty_D!$B$2:$B$6600,MATCH(E298,[1]Nifty_D!$B$2:$B$6600,0)-1)</f>
        <v>45433</v>
      </c>
      <c r="O298" s="89">
        <f>VLOOKUP(N298,[1]Nifty_D!$B$2:$F$6600,5,0)</f>
        <v>22529.05</v>
      </c>
      <c r="P298" s="92">
        <f t="shared" si="18"/>
        <v>2.8019994569596918E-3</v>
      </c>
      <c r="Q298" s="7" t="s">
        <v>28</v>
      </c>
      <c r="R298" s="4">
        <v>22500</v>
      </c>
      <c r="S298" s="102"/>
      <c r="T298" s="102"/>
      <c r="U298" s="7" t="s">
        <v>90</v>
      </c>
      <c r="V298" s="4">
        <v>65</v>
      </c>
      <c r="W298" s="5">
        <v>113.15</v>
      </c>
      <c r="X298" s="5">
        <v>141.69999999999999</v>
      </c>
      <c r="Y298" s="8">
        <v>-0.26619999999999999</v>
      </c>
      <c r="Z298" s="8">
        <v>0.1246</v>
      </c>
      <c r="AA298" s="5">
        <v>-28.55</v>
      </c>
      <c r="AB298" s="6">
        <v>-1.270803566262057E-3</v>
      </c>
      <c r="AC298" s="4">
        <v>0</v>
      </c>
      <c r="AD298" s="6">
        <v>0</v>
      </c>
      <c r="AE298" s="5">
        <v>51604.9</v>
      </c>
      <c r="AF298" s="5">
        <v>52167.5</v>
      </c>
      <c r="AG298" s="5">
        <v>562.6</v>
      </c>
      <c r="AH298" s="5">
        <v>1.0902000000000001</v>
      </c>
      <c r="AI298" s="4">
        <v>5</v>
      </c>
      <c r="AJ298" s="5">
        <v>-8.3333000000000004E-2</v>
      </c>
      <c r="AK298" s="5">
        <v>519.59590000000003</v>
      </c>
      <c r="AL298" s="5">
        <v>1.0068999999999999</v>
      </c>
      <c r="AM298" s="8">
        <v>-0.1166</v>
      </c>
      <c r="AN298" s="8">
        <v>1.4026000000000001</v>
      </c>
      <c r="AO298" s="15">
        <v>390.44589999999999</v>
      </c>
      <c r="AP298" s="15">
        <v>0.432</v>
      </c>
      <c r="AQ298" s="5">
        <v>102.5771</v>
      </c>
      <c r="AR298" s="5">
        <v>102.5771</v>
      </c>
      <c r="AS298" s="4">
        <v>0</v>
      </c>
      <c r="AT298" s="4">
        <v>0</v>
      </c>
      <c r="AU298" s="8">
        <v>0.65590000000000004</v>
      </c>
      <c r="AV298" s="8">
        <v>-8.8999999999999999E-3</v>
      </c>
      <c r="AW298" s="8">
        <v>-8.8999999999999999E-3</v>
      </c>
      <c r="AX298" s="5">
        <v>102.1268</v>
      </c>
      <c r="AY298" s="5">
        <v>-8.8999999999999999E-3</v>
      </c>
      <c r="AZ298" s="7" t="s">
        <v>91</v>
      </c>
    </row>
    <row r="299" spans="1:52" ht="18" customHeight="1" x14ac:dyDescent="0.25">
      <c r="A299" s="10">
        <v>149</v>
      </c>
      <c r="B299" s="10">
        <v>2</v>
      </c>
      <c r="C299" s="10">
        <v>149</v>
      </c>
      <c r="D299" s="86">
        <v>45429</v>
      </c>
      <c r="E299" s="86">
        <v>45434</v>
      </c>
      <c r="F299" s="86">
        <v>45442</v>
      </c>
      <c r="G299" s="11">
        <v>22466.1</v>
      </c>
      <c r="H299" s="11">
        <v>22597.8</v>
      </c>
      <c r="I299" s="12"/>
      <c r="J299" s="12"/>
      <c r="K299" s="91">
        <f t="array" ref="K299">MAX(IF((D299&lt;[1]Nifty_D!$B$2:$B$6600)*(E299&gt;=[1]Nifty_D!$B$2:$B$6600),[1]Nifty_D!$F$2:$F$6600,""))</f>
        <v>22597.8</v>
      </c>
      <c r="L299" s="92">
        <f t="shared" si="16"/>
        <v>5.8621656629322949E-3</v>
      </c>
      <c r="M299" s="91">
        <f t="shared" si="17"/>
        <v>10973.9</v>
      </c>
      <c r="N299" s="93">
        <f t="array" ref="N299">INDEX([1]Nifty_D!$B$2:$B$6600,MATCH(E299,[1]Nifty_D!$B$2:$B$6600,0)-1)</f>
        <v>45433</v>
      </c>
      <c r="O299" s="89">
        <f>VLOOKUP(N299,[1]Nifty_D!$B$2:$F$6600,5,0)</f>
        <v>22529.05</v>
      </c>
      <c r="P299" s="92">
        <f t="shared" si="18"/>
        <v>2.8019994569596918E-3</v>
      </c>
      <c r="Q299" s="12" t="s">
        <v>40</v>
      </c>
      <c r="R299" s="10">
        <v>22500</v>
      </c>
      <c r="S299" s="103">
        <f>MROUND(G299,500)</f>
        <v>22500</v>
      </c>
      <c r="T299" s="103">
        <f>S299-R299</f>
        <v>0</v>
      </c>
      <c r="U299" s="12" t="s">
        <v>92</v>
      </c>
      <c r="V299" s="10">
        <v>65</v>
      </c>
      <c r="W299" s="11">
        <v>203.65</v>
      </c>
      <c r="X299" s="11">
        <v>103.05</v>
      </c>
      <c r="Y299" s="13">
        <v>-0.48049999999999998</v>
      </c>
      <c r="Z299" s="13">
        <v>-1.6899999999999998E-2</v>
      </c>
      <c r="AA299" s="10">
        <v>0</v>
      </c>
      <c r="AB299" s="14">
        <v>0</v>
      </c>
      <c r="AC299" s="11">
        <v>-100.6</v>
      </c>
      <c r="AD299" s="14">
        <v>-4.4778577501212941E-3</v>
      </c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 t="s">
        <v>91</v>
      </c>
    </row>
    <row r="300" spans="1:52" ht="18" hidden="1" customHeight="1" x14ac:dyDescent="0.25">
      <c r="A300" s="4">
        <v>150</v>
      </c>
      <c r="B300" s="4">
        <v>1</v>
      </c>
      <c r="C300" s="4">
        <v>150</v>
      </c>
      <c r="D300" s="85">
        <v>45434</v>
      </c>
      <c r="E300" s="85">
        <v>45435</v>
      </c>
      <c r="F300" s="85">
        <v>45442</v>
      </c>
      <c r="G300" s="5">
        <v>22597.8</v>
      </c>
      <c r="H300" s="5">
        <v>22967.65</v>
      </c>
      <c r="I300" s="5">
        <v>369.85</v>
      </c>
      <c r="J300" s="6">
        <v>1.6366637460283742E-2</v>
      </c>
      <c r="K300" s="91">
        <f t="array" ref="K300">MAX(IF((D300&lt;[1]Nifty_D!$B$2:$B$6600)*(E300&gt;=[1]Nifty_D!$B$2:$B$6600),[1]Nifty_D!$F$2:$F$6600,""))</f>
        <v>22967.65</v>
      </c>
      <c r="L300" s="92">
        <f t="shared" si="16"/>
        <v>1.6366637460283773E-2</v>
      </c>
      <c r="M300" s="91">
        <f t="shared" si="17"/>
        <v>11343.750000000002</v>
      </c>
      <c r="N300" s="93">
        <f t="array" ref="N300">INDEX([1]Nifty_D!$B$2:$B$6600,MATCH(E300,[1]Nifty_D!$B$2:$B$6600,0)-1)</f>
        <v>45434</v>
      </c>
      <c r="O300" s="89">
        <f>VLOOKUP(N300,[1]Nifty_D!$B$2:$F$6600,5,0)</f>
        <v>22597.8</v>
      </c>
      <c r="P300" s="92">
        <f t="shared" si="18"/>
        <v>0</v>
      </c>
      <c r="Q300" s="7" t="s">
        <v>28</v>
      </c>
      <c r="R300" s="4">
        <v>22600</v>
      </c>
      <c r="S300" s="102"/>
      <c r="T300" s="102"/>
      <c r="U300" s="7" t="s">
        <v>90</v>
      </c>
      <c r="V300" s="4">
        <v>65</v>
      </c>
      <c r="W300" s="5">
        <v>196.2</v>
      </c>
      <c r="X300" s="5">
        <v>450.45</v>
      </c>
      <c r="Y300" s="8">
        <v>-1.2102999999999999</v>
      </c>
      <c r="Z300" s="8">
        <v>4.2500000000000003E-2</v>
      </c>
      <c r="AA300" s="5">
        <v>-254.25</v>
      </c>
      <c r="AB300" s="6">
        <v>-1.125109523935958E-2</v>
      </c>
      <c r="AC300" s="4">
        <v>0</v>
      </c>
      <c r="AD300" s="6">
        <v>0</v>
      </c>
      <c r="AE300" s="5">
        <v>52167.5</v>
      </c>
      <c r="AF300" s="5">
        <v>52418.55</v>
      </c>
      <c r="AG300" s="5">
        <v>251.05</v>
      </c>
      <c r="AH300" s="5">
        <v>0.48120000000000002</v>
      </c>
      <c r="AI300" s="4">
        <v>1</v>
      </c>
      <c r="AJ300" s="5">
        <v>-1.6667000000000001E-2</v>
      </c>
      <c r="AK300" s="5">
        <v>242.3554</v>
      </c>
      <c r="AL300" s="5">
        <v>0.46460000000000001</v>
      </c>
      <c r="AM300" s="8">
        <v>-0.23710000000000001</v>
      </c>
      <c r="AN300" s="8">
        <v>0.52980000000000005</v>
      </c>
      <c r="AO300" s="9">
        <v>-76.544600000000003</v>
      </c>
      <c r="AP300" s="9">
        <v>-0.9466</v>
      </c>
      <c r="AQ300" s="5">
        <v>101.6061</v>
      </c>
      <c r="AR300" s="5">
        <v>102.5771</v>
      </c>
      <c r="AS300" s="5">
        <v>-0.97099999999999997</v>
      </c>
      <c r="AT300" s="5">
        <v>-0.9466</v>
      </c>
      <c r="AU300" s="8">
        <v>-0.98050000000000004</v>
      </c>
      <c r="AV300" s="8">
        <v>-0.1946</v>
      </c>
      <c r="AW300" s="8">
        <v>-0.98050000000000004</v>
      </c>
      <c r="AX300" s="5">
        <v>101.5714</v>
      </c>
      <c r="AY300" s="5">
        <v>-0.98050000000000004</v>
      </c>
      <c r="AZ300" s="7" t="s">
        <v>97</v>
      </c>
    </row>
    <row r="301" spans="1:52" ht="18" customHeight="1" x14ac:dyDescent="0.25">
      <c r="A301" s="10">
        <v>150</v>
      </c>
      <c r="B301" s="10">
        <v>2</v>
      </c>
      <c r="C301" s="10">
        <v>150</v>
      </c>
      <c r="D301" s="86">
        <v>45434</v>
      </c>
      <c r="E301" s="86">
        <v>45435</v>
      </c>
      <c r="F301" s="86">
        <v>45442</v>
      </c>
      <c r="G301" s="11">
        <v>22597.8</v>
      </c>
      <c r="H301" s="11">
        <v>22967.65</v>
      </c>
      <c r="I301" s="12"/>
      <c r="J301" s="12"/>
      <c r="K301" s="91">
        <f t="array" ref="K301">MAX(IF((D301&lt;[1]Nifty_D!$B$2:$B$6600)*(E301&gt;=[1]Nifty_D!$B$2:$B$6600),[1]Nifty_D!$F$2:$F$6600,""))</f>
        <v>22967.65</v>
      </c>
      <c r="L301" s="92">
        <f t="shared" si="16"/>
        <v>1.6366637460283773E-2</v>
      </c>
      <c r="M301" s="91">
        <f t="shared" si="17"/>
        <v>11343.750000000002</v>
      </c>
      <c r="N301" s="93">
        <f t="array" ref="N301">INDEX([1]Nifty_D!$B$2:$B$6600,MATCH(E301,[1]Nifty_D!$B$2:$B$6600,0)-1)</f>
        <v>45434</v>
      </c>
      <c r="O301" s="89">
        <f>VLOOKUP(N301,[1]Nifty_D!$B$2:$F$6600,5,0)</f>
        <v>22597.8</v>
      </c>
      <c r="P301" s="92">
        <f t="shared" si="18"/>
        <v>0</v>
      </c>
      <c r="Q301" s="12" t="s">
        <v>40</v>
      </c>
      <c r="R301" s="10">
        <v>22500</v>
      </c>
      <c r="S301" s="103">
        <f>MROUND(G301,500)</f>
        <v>22500</v>
      </c>
      <c r="T301" s="103">
        <f>S301-R301</f>
        <v>0</v>
      </c>
      <c r="U301" s="12" t="s">
        <v>92</v>
      </c>
      <c r="V301" s="10">
        <v>65</v>
      </c>
      <c r="W301" s="11">
        <v>103.05</v>
      </c>
      <c r="X301" s="11">
        <v>38.4</v>
      </c>
      <c r="Y301" s="13">
        <v>-0.3</v>
      </c>
      <c r="Z301" s="13">
        <v>0</v>
      </c>
      <c r="AA301" s="10">
        <v>0</v>
      </c>
      <c r="AB301" s="14">
        <v>0</v>
      </c>
      <c r="AC301" s="11">
        <v>-64.650000000000006</v>
      </c>
      <c r="AD301" s="14">
        <v>-2.8608979635185729E-3</v>
      </c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 t="s">
        <v>97</v>
      </c>
    </row>
    <row r="302" spans="1:52" ht="18" hidden="1" customHeight="1" x14ac:dyDescent="0.25">
      <c r="A302" s="4">
        <v>151</v>
      </c>
      <c r="B302" s="4">
        <v>1</v>
      </c>
      <c r="C302" s="4">
        <v>151</v>
      </c>
      <c r="D302" s="85">
        <v>45435</v>
      </c>
      <c r="E302" s="85">
        <v>45441</v>
      </c>
      <c r="F302" s="85">
        <v>45442</v>
      </c>
      <c r="G302" s="5">
        <v>22967.65</v>
      </c>
      <c r="H302" s="5">
        <v>22704.7</v>
      </c>
      <c r="I302" s="5">
        <v>-262.95</v>
      </c>
      <c r="J302" s="6">
        <v>-1.144871155734261E-2</v>
      </c>
      <c r="K302" s="91">
        <f t="array" ref="K302">MAX(IF((D302&lt;[1]Nifty_D!$B$2:$B$6600)*(E302&gt;=[1]Nifty_D!$B$2:$B$6600),[1]Nifty_D!$F$2:$F$6600,""))</f>
        <v>22957.1</v>
      </c>
      <c r="L302" s="92">
        <f t="shared" si="16"/>
        <v>-4.5934172629780168E-4</v>
      </c>
      <c r="M302" s="91">
        <f t="shared" si="17"/>
        <v>11333.199999999999</v>
      </c>
      <c r="N302" s="93">
        <f t="array" ref="N302">INDEX([1]Nifty_D!$B$2:$B$6600,MATCH(E302,[1]Nifty_D!$B$2:$B$6600,0)-1)</f>
        <v>45440</v>
      </c>
      <c r="O302" s="89">
        <f>VLOOKUP(N302,[1]Nifty_D!$B$2:$F$6600,5,0)</f>
        <v>22888.15</v>
      </c>
      <c r="P302" s="92">
        <f t="shared" si="18"/>
        <v>-3.4613902597784296E-3</v>
      </c>
      <c r="Q302" s="7" t="s">
        <v>28</v>
      </c>
      <c r="R302" s="4">
        <v>23000</v>
      </c>
      <c r="S302" s="102"/>
      <c r="T302" s="102"/>
      <c r="U302" s="7" t="s">
        <v>90</v>
      </c>
      <c r="V302" s="4">
        <v>65</v>
      </c>
      <c r="W302" s="5">
        <v>164.9</v>
      </c>
      <c r="X302" s="5">
        <v>12.15</v>
      </c>
      <c r="Y302" s="8">
        <v>-0.37009999999999998</v>
      </c>
      <c r="Z302" s="8">
        <v>0.67700000000000005</v>
      </c>
      <c r="AA302" s="5">
        <v>152.75</v>
      </c>
      <c r="AB302" s="6">
        <v>6.6506586437881099E-3</v>
      </c>
      <c r="AC302" s="4">
        <v>0</v>
      </c>
      <c r="AD302" s="6">
        <v>0</v>
      </c>
      <c r="AE302" s="5">
        <v>52418.55</v>
      </c>
      <c r="AF302" s="5">
        <v>52125.75</v>
      </c>
      <c r="AG302" s="5">
        <v>-292.8</v>
      </c>
      <c r="AH302" s="5">
        <v>-0.55859999999999999</v>
      </c>
      <c r="AI302" s="4">
        <v>6</v>
      </c>
      <c r="AJ302" s="5">
        <v>-0.1</v>
      </c>
      <c r="AK302" s="5">
        <v>-345.21859999999998</v>
      </c>
      <c r="AL302" s="5">
        <v>-0.65859999999999996</v>
      </c>
      <c r="AM302" s="8">
        <v>-1.1716</v>
      </c>
      <c r="AN302" s="8">
        <v>1.125</v>
      </c>
      <c r="AO302" s="9">
        <v>-85.968599999999995</v>
      </c>
      <c r="AP302" s="9">
        <v>0.47020000000000001</v>
      </c>
      <c r="AQ302" s="5">
        <v>102.0839</v>
      </c>
      <c r="AR302" s="5">
        <v>102.5771</v>
      </c>
      <c r="AS302" s="5">
        <v>-0.49320000000000003</v>
      </c>
      <c r="AT302" s="5">
        <v>-0.48089999999999999</v>
      </c>
      <c r="AU302" s="8">
        <v>0.33710000000000001</v>
      </c>
      <c r="AV302" s="8">
        <v>0.11360000000000001</v>
      </c>
      <c r="AW302" s="8">
        <v>0.11360000000000001</v>
      </c>
      <c r="AX302" s="5">
        <v>101.72150000000001</v>
      </c>
      <c r="AY302" s="5">
        <v>-0.83409999999999995</v>
      </c>
      <c r="AZ302" s="7" t="s">
        <v>91</v>
      </c>
    </row>
    <row r="303" spans="1:52" ht="18" customHeight="1" x14ac:dyDescent="0.25">
      <c r="A303" s="10">
        <v>151</v>
      </c>
      <c r="B303" s="10">
        <v>2</v>
      </c>
      <c r="C303" s="10">
        <v>151</v>
      </c>
      <c r="D303" s="86">
        <v>45435</v>
      </c>
      <c r="E303" s="86">
        <v>45441</v>
      </c>
      <c r="F303" s="86">
        <v>45442</v>
      </c>
      <c r="G303" s="11">
        <v>22967.65</v>
      </c>
      <c r="H303" s="11">
        <v>22704.7</v>
      </c>
      <c r="I303" s="12"/>
      <c r="J303" s="12"/>
      <c r="K303" s="91">
        <f t="array" ref="K303">MAX(IF((D303&lt;[1]Nifty_D!$B$2:$B$6600)*(E303&gt;=[1]Nifty_D!$B$2:$B$6600),[1]Nifty_D!$F$2:$F$6600,""))</f>
        <v>22957.1</v>
      </c>
      <c r="L303" s="92">
        <f t="shared" si="16"/>
        <v>-4.5934172629780168E-4</v>
      </c>
      <c r="M303" s="91">
        <f t="shared" si="17"/>
        <v>11333.199999999999</v>
      </c>
      <c r="N303" s="93">
        <f t="array" ref="N303">INDEX([1]Nifty_D!$B$2:$B$6600,MATCH(E303,[1]Nifty_D!$B$2:$B$6600,0)-1)</f>
        <v>45440</v>
      </c>
      <c r="O303" s="89">
        <f>VLOOKUP(N303,[1]Nifty_D!$B$2:$F$6600,5,0)</f>
        <v>22888.15</v>
      </c>
      <c r="P303" s="92">
        <f t="shared" si="18"/>
        <v>-3.4613902597784296E-3</v>
      </c>
      <c r="Q303" s="12" t="s">
        <v>40</v>
      </c>
      <c r="R303" s="10">
        <v>23000</v>
      </c>
      <c r="S303" s="103">
        <f>MROUND(G303,500)</f>
        <v>23000</v>
      </c>
      <c r="T303" s="103">
        <f>S303-R303</f>
        <v>0</v>
      </c>
      <c r="U303" s="12" t="s">
        <v>92</v>
      </c>
      <c r="V303" s="10">
        <v>65</v>
      </c>
      <c r="W303" s="11">
        <v>164.3</v>
      </c>
      <c r="X303" s="11">
        <v>270.8</v>
      </c>
      <c r="Y303" s="13">
        <v>-0.4178</v>
      </c>
      <c r="Z303" s="13">
        <v>0.60819999999999996</v>
      </c>
      <c r="AA303" s="10">
        <v>0</v>
      </c>
      <c r="AB303" s="14">
        <v>0</v>
      </c>
      <c r="AC303" s="11">
        <v>106.5</v>
      </c>
      <c r="AD303" s="14">
        <v>4.6369567630994016E-3</v>
      </c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 t="s">
        <v>91</v>
      </c>
    </row>
    <row r="304" spans="1:52" ht="18" hidden="1" customHeight="1" x14ac:dyDescent="0.25">
      <c r="A304" s="4">
        <v>152</v>
      </c>
      <c r="B304" s="4">
        <v>1</v>
      </c>
      <c r="C304" s="4">
        <v>152</v>
      </c>
      <c r="D304" s="85">
        <v>45441</v>
      </c>
      <c r="E304" s="85">
        <v>45446</v>
      </c>
      <c r="F304" s="85">
        <v>45449</v>
      </c>
      <c r="G304" s="5">
        <v>22704.7</v>
      </c>
      <c r="H304" s="5">
        <v>23263.9</v>
      </c>
      <c r="I304" s="5">
        <v>559.20000000000005</v>
      </c>
      <c r="J304" s="6">
        <v>2.462926178280268E-2</v>
      </c>
      <c r="K304" s="91">
        <f t="array" ref="K304">MAX(IF((D304&lt;[1]Nifty_D!$B$2:$B$6600)*(E304&gt;=[1]Nifty_D!$B$2:$B$6600),[1]Nifty_D!$F$2:$F$6600,""))</f>
        <v>23263.9</v>
      </c>
      <c r="L304" s="92">
        <f t="shared" si="16"/>
        <v>2.462926178280278E-2</v>
      </c>
      <c r="M304" s="91">
        <f t="shared" si="17"/>
        <v>11640.000000000002</v>
      </c>
      <c r="N304" s="93">
        <f t="array" ref="N304">INDEX([1]Nifty_D!$B$2:$B$6600,MATCH(E304,[1]Nifty_D!$B$2:$B$6600,0)-1)</f>
        <v>45443</v>
      </c>
      <c r="O304" s="89">
        <f>VLOOKUP(N304,[1]Nifty_D!$B$2:$F$6600,5,0)</f>
        <v>22530.7</v>
      </c>
      <c r="P304" s="92">
        <f t="shared" si="18"/>
        <v>-7.6636114989407922E-3</v>
      </c>
      <c r="Q304" s="7" t="s">
        <v>28</v>
      </c>
      <c r="R304" s="4">
        <v>22700</v>
      </c>
      <c r="S304" s="102"/>
      <c r="T304" s="102"/>
      <c r="U304" s="7" t="s">
        <v>90</v>
      </c>
      <c r="V304" s="4">
        <v>65</v>
      </c>
      <c r="W304" s="5">
        <v>492.7</v>
      </c>
      <c r="X304" s="5">
        <v>699.55</v>
      </c>
      <c r="Y304" s="8">
        <v>-1.3532</v>
      </c>
      <c r="Z304" s="8">
        <v>0.86260000000000003</v>
      </c>
      <c r="AA304" s="5">
        <v>-206.85</v>
      </c>
      <c r="AB304" s="6">
        <v>-9.1104484974476648E-3</v>
      </c>
      <c r="AC304" s="4">
        <v>0</v>
      </c>
      <c r="AD304" s="6">
        <v>0</v>
      </c>
      <c r="AE304" s="5">
        <v>52125.75</v>
      </c>
      <c r="AF304" s="5">
        <v>53353.35</v>
      </c>
      <c r="AG304" s="5">
        <v>1227.5999999999999</v>
      </c>
      <c r="AH304" s="5">
        <v>2.3551000000000002</v>
      </c>
      <c r="AI304" s="4">
        <v>5</v>
      </c>
      <c r="AJ304" s="5">
        <v>-8.3333000000000004E-2</v>
      </c>
      <c r="AK304" s="5">
        <v>1184.1619000000001</v>
      </c>
      <c r="AL304" s="5">
        <v>2.2717000000000001</v>
      </c>
      <c r="AM304" s="8">
        <v>-1.8349</v>
      </c>
      <c r="AN304" s="8">
        <v>2.9445000000000001</v>
      </c>
      <c r="AO304" s="15">
        <v>750.71190000000001</v>
      </c>
      <c r="AP304" s="15">
        <v>0.36259999999999998</v>
      </c>
      <c r="AQ304" s="5">
        <v>102.45399999999999</v>
      </c>
      <c r="AR304" s="5">
        <v>102.5771</v>
      </c>
      <c r="AS304" s="5">
        <v>-0.1231</v>
      </c>
      <c r="AT304" s="5">
        <v>-0.12</v>
      </c>
      <c r="AU304" s="8">
        <v>0.31230000000000002</v>
      </c>
      <c r="AV304" s="8">
        <v>-0.49109999999999998</v>
      </c>
      <c r="AW304" s="8">
        <v>-0.49109999999999998</v>
      </c>
      <c r="AX304" s="5">
        <v>101.5825</v>
      </c>
      <c r="AY304" s="5">
        <v>-0.96960000000000002</v>
      </c>
      <c r="AZ304" s="7" t="s">
        <v>97</v>
      </c>
    </row>
    <row r="305" spans="1:52" ht="18" customHeight="1" x14ac:dyDescent="0.25">
      <c r="A305" s="10">
        <v>152</v>
      </c>
      <c r="B305" s="10">
        <v>2</v>
      </c>
      <c r="C305" s="10">
        <v>152</v>
      </c>
      <c r="D305" s="86">
        <v>45441</v>
      </c>
      <c r="E305" s="86">
        <v>45446</v>
      </c>
      <c r="F305" s="86">
        <v>45470</v>
      </c>
      <c r="G305" s="11">
        <v>22704.7</v>
      </c>
      <c r="H305" s="11">
        <v>23263.9</v>
      </c>
      <c r="I305" s="12"/>
      <c r="J305" s="12"/>
      <c r="K305" s="91">
        <f t="array" ref="K305">MAX(IF((D305&lt;[1]Nifty_D!$B$2:$B$6600)*(E305&gt;=[1]Nifty_D!$B$2:$B$6600),[1]Nifty_D!$F$2:$F$6600,""))</f>
        <v>23263.9</v>
      </c>
      <c r="L305" s="92">
        <f t="shared" si="16"/>
        <v>2.462926178280278E-2</v>
      </c>
      <c r="M305" s="91">
        <f t="shared" si="17"/>
        <v>11640.000000000002</v>
      </c>
      <c r="N305" s="93">
        <f t="array" ref="N305">INDEX([1]Nifty_D!$B$2:$B$6600,MATCH(E305,[1]Nifty_D!$B$2:$B$6600,0)-1)</f>
        <v>45443</v>
      </c>
      <c r="O305" s="89">
        <f>VLOOKUP(N305,[1]Nifty_D!$B$2:$F$6600,5,0)</f>
        <v>22530.7</v>
      </c>
      <c r="P305" s="92">
        <f t="shared" si="18"/>
        <v>-7.6636114989407922E-3</v>
      </c>
      <c r="Q305" s="12" t="s">
        <v>40</v>
      </c>
      <c r="R305" s="10">
        <v>22500</v>
      </c>
      <c r="S305" s="103">
        <f>MROUND(G305,500)</f>
        <v>22500</v>
      </c>
      <c r="T305" s="103">
        <f>S305-R305</f>
        <v>0</v>
      </c>
      <c r="U305" s="12" t="s">
        <v>92</v>
      </c>
      <c r="V305" s="10">
        <v>65</v>
      </c>
      <c r="W305" s="11">
        <v>415.65</v>
      </c>
      <c r="X305" s="11">
        <v>189.05</v>
      </c>
      <c r="Y305" s="13">
        <v>-1.2789999999999999</v>
      </c>
      <c r="Z305" s="13">
        <v>0.48120000000000002</v>
      </c>
      <c r="AA305" s="10">
        <v>0</v>
      </c>
      <c r="AB305" s="14">
        <v>0</v>
      </c>
      <c r="AC305" s="11">
        <v>-226.6</v>
      </c>
      <c r="AD305" s="14">
        <v>-9.9803124463216861E-3</v>
      </c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 t="s">
        <v>97</v>
      </c>
    </row>
    <row r="306" spans="1:52" ht="18" hidden="1" customHeight="1" x14ac:dyDescent="0.25">
      <c r="A306" s="4">
        <v>153</v>
      </c>
      <c r="B306" s="4">
        <v>1</v>
      </c>
      <c r="C306" s="4">
        <v>153</v>
      </c>
      <c r="D306" s="85">
        <v>45446</v>
      </c>
      <c r="E306" s="85">
        <v>45448</v>
      </c>
      <c r="F306" s="85">
        <v>45449</v>
      </c>
      <c r="G306" s="5">
        <v>23263.9</v>
      </c>
      <c r="H306" s="5">
        <v>22620.35</v>
      </c>
      <c r="I306" s="5">
        <v>-643.54999999999995</v>
      </c>
      <c r="J306" s="6">
        <v>-2.766303156392522E-2</v>
      </c>
      <c r="K306" s="91">
        <f t="array" ref="K306">MAX(IF((D306&lt;[1]Nifty_D!$B$2:$B$6600)*(E306&gt;=[1]Nifty_D!$B$2:$B$6600),[1]Nifty_D!$F$2:$F$6600,""))</f>
        <v>22620.35</v>
      </c>
      <c r="L306" s="92">
        <f t="shared" si="16"/>
        <v>-2.7663031563925355E-2</v>
      </c>
      <c r="M306" s="91">
        <f t="shared" si="17"/>
        <v>10996.449999999999</v>
      </c>
      <c r="N306" s="93">
        <f t="array" ref="N306">INDEX([1]Nifty_D!$B$2:$B$6600,MATCH(E306,[1]Nifty_D!$B$2:$B$6600,0)-1)</f>
        <v>45447</v>
      </c>
      <c r="O306" s="89">
        <f>VLOOKUP(N306,[1]Nifty_D!$B$2:$F$6600,5,0)</f>
        <v>21884.5</v>
      </c>
      <c r="P306" s="92">
        <f t="shared" si="18"/>
        <v>-5.9293583620975032E-2</v>
      </c>
      <c r="Q306" s="7" t="s">
        <v>28</v>
      </c>
      <c r="R306" s="4">
        <v>23300</v>
      </c>
      <c r="S306" s="102"/>
      <c r="T306" s="102"/>
      <c r="U306" s="7" t="s">
        <v>90</v>
      </c>
      <c r="V306" s="4">
        <v>65</v>
      </c>
      <c r="W306" s="5">
        <v>332.8</v>
      </c>
      <c r="X306" s="5">
        <v>12.5</v>
      </c>
      <c r="Y306" s="8">
        <v>2.06E-2</v>
      </c>
      <c r="Z306" s="8">
        <v>1.4158999999999999</v>
      </c>
      <c r="AA306" s="5">
        <v>320.3</v>
      </c>
      <c r="AB306" s="6">
        <v>1.376811282716999E-2</v>
      </c>
      <c r="AC306" s="4">
        <v>0</v>
      </c>
      <c r="AD306" s="6">
        <v>0</v>
      </c>
      <c r="AE306" s="5">
        <v>53353.35</v>
      </c>
      <c r="AF306" s="5">
        <v>51266.7</v>
      </c>
      <c r="AG306" s="5">
        <v>-2086.65</v>
      </c>
      <c r="AH306" s="5">
        <v>-3.911</v>
      </c>
      <c r="AI306" s="4">
        <v>2</v>
      </c>
      <c r="AJ306" s="5">
        <v>-3.3333000000000002E-2</v>
      </c>
      <c r="AK306" s="5">
        <v>-2104.4344999999998</v>
      </c>
      <c r="AL306" s="5">
        <v>-3.9443000000000001</v>
      </c>
      <c r="AM306" s="8">
        <v>-11.460599999999999</v>
      </c>
      <c r="AN306" s="8">
        <v>8.9800000000000005E-2</v>
      </c>
      <c r="AO306" s="9">
        <v>-1365.1845000000001</v>
      </c>
      <c r="AP306" s="9">
        <v>-0.76659999999999995</v>
      </c>
      <c r="AQ306" s="5">
        <v>101.6686</v>
      </c>
      <c r="AR306" s="5">
        <v>102.5771</v>
      </c>
      <c r="AS306" s="5">
        <v>-0.90849999999999997</v>
      </c>
      <c r="AT306" s="5">
        <v>-0.88570000000000004</v>
      </c>
      <c r="AU306" s="8">
        <v>0.14369999999999999</v>
      </c>
      <c r="AV306" s="8">
        <v>-2.3578999999999999</v>
      </c>
      <c r="AW306" s="8">
        <v>-2.3578999999999999</v>
      </c>
      <c r="AX306" s="5">
        <v>100.03830000000001</v>
      </c>
      <c r="AY306" s="5">
        <v>-2.4750999999999999</v>
      </c>
      <c r="AZ306" s="7" t="s">
        <v>91</v>
      </c>
    </row>
    <row r="307" spans="1:52" ht="18" customHeight="1" x14ac:dyDescent="0.25">
      <c r="A307" s="10">
        <v>153</v>
      </c>
      <c r="B307" s="10">
        <v>2</v>
      </c>
      <c r="C307" s="10">
        <v>153</v>
      </c>
      <c r="D307" s="86">
        <v>45446</v>
      </c>
      <c r="E307" s="86">
        <v>45448</v>
      </c>
      <c r="F307" s="86">
        <v>45470</v>
      </c>
      <c r="G307" s="11">
        <v>23263.9</v>
      </c>
      <c r="H307" s="11">
        <v>22620.35</v>
      </c>
      <c r="I307" s="12"/>
      <c r="J307" s="12"/>
      <c r="K307" s="91">
        <f t="array" ref="K307">MAX(IF((D307&lt;[1]Nifty_D!$B$2:$B$6600)*(E307&gt;=[1]Nifty_D!$B$2:$B$6600),[1]Nifty_D!$F$2:$F$6600,""))</f>
        <v>22620.35</v>
      </c>
      <c r="L307" s="92">
        <f t="shared" si="16"/>
        <v>-2.7663031563925355E-2</v>
      </c>
      <c r="M307" s="91">
        <f t="shared" si="17"/>
        <v>10996.449999999999</v>
      </c>
      <c r="N307" s="93">
        <f t="array" ref="N307">INDEX([1]Nifty_D!$B$2:$B$6600,MATCH(E307,[1]Nifty_D!$B$2:$B$6600,0)-1)</f>
        <v>45447</v>
      </c>
      <c r="O307" s="89">
        <f>VLOOKUP(N307,[1]Nifty_D!$B$2:$F$6600,5,0)</f>
        <v>21884.5</v>
      </c>
      <c r="P307" s="92">
        <f t="shared" si="18"/>
        <v>-5.9293583620975032E-2</v>
      </c>
      <c r="Q307" s="12" t="s">
        <v>40</v>
      </c>
      <c r="R307" s="10">
        <v>23500</v>
      </c>
      <c r="S307" s="103">
        <f>MROUND(G307,500)</f>
        <v>23500</v>
      </c>
      <c r="T307" s="103">
        <f>S307-R307</f>
        <v>0</v>
      </c>
      <c r="U307" s="12" t="s">
        <v>92</v>
      </c>
      <c r="V307" s="10">
        <v>65</v>
      </c>
      <c r="W307" s="11">
        <v>517.25</v>
      </c>
      <c r="X307" s="11">
        <v>936.2</v>
      </c>
      <c r="Y307" s="13">
        <v>3.3300000000000003E-2</v>
      </c>
      <c r="Z307" s="13">
        <v>7.6867999999999999</v>
      </c>
      <c r="AA307" s="10">
        <v>0</v>
      </c>
      <c r="AB307" s="14">
        <v>0</v>
      </c>
      <c r="AC307" s="11">
        <v>418.95</v>
      </c>
      <c r="AD307" s="14">
        <v>1.8008588413808521E-2</v>
      </c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 t="s">
        <v>91</v>
      </c>
    </row>
    <row r="308" spans="1:52" ht="18" hidden="1" customHeight="1" x14ac:dyDescent="0.25">
      <c r="A308" s="4">
        <v>154</v>
      </c>
      <c r="B308" s="4">
        <v>1</v>
      </c>
      <c r="C308" s="4">
        <v>154</v>
      </c>
      <c r="D308" s="85">
        <v>45448</v>
      </c>
      <c r="E308" s="85">
        <v>45450</v>
      </c>
      <c r="F308" s="85">
        <v>45456</v>
      </c>
      <c r="G308" s="5">
        <v>22620.35</v>
      </c>
      <c r="H308" s="5">
        <v>23290.15</v>
      </c>
      <c r="I308" s="5">
        <v>669.8</v>
      </c>
      <c r="J308" s="6">
        <v>2.961050558457318E-2</v>
      </c>
      <c r="K308" s="91">
        <f t="array" ref="K308">MAX(IF((D308&lt;[1]Nifty_D!$B$2:$B$6600)*(E308&gt;=[1]Nifty_D!$B$2:$B$6600),[1]Nifty_D!$F$2:$F$6600,""))</f>
        <v>23290.15</v>
      </c>
      <c r="L308" s="92">
        <f t="shared" si="16"/>
        <v>2.9610505584573232E-2</v>
      </c>
      <c r="M308" s="91">
        <f t="shared" si="17"/>
        <v>11666.250000000002</v>
      </c>
      <c r="N308" s="93">
        <f t="array" ref="N308">INDEX([1]Nifty_D!$B$2:$B$6600,MATCH(E308,[1]Nifty_D!$B$2:$B$6600,0)-1)</f>
        <v>45449</v>
      </c>
      <c r="O308" s="89">
        <f>VLOOKUP(N308,[1]Nifty_D!$B$2:$F$6600,5,0)</f>
        <v>22821.4</v>
      </c>
      <c r="P308" s="92">
        <f t="shared" si="18"/>
        <v>8.888014553267487E-3</v>
      </c>
      <c r="Q308" s="7" t="s">
        <v>28</v>
      </c>
      <c r="R308" s="4">
        <v>22600</v>
      </c>
      <c r="S308" s="102"/>
      <c r="T308" s="102"/>
      <c r="U308" s="7" t="s">
        <v>90</v>
      </c>
      <c r="V308" s="4">
        <v>65</v>
      </c>
      <c r="W308" s="5">
        <v>296.39999999999998</v>
      </c>
      <c r="X308" s="5">
        <v>739.1</v>
      </c>
      <c r="Y308" s="8">
        <v>-2.0541</v>
      </c>
      <c r="Z308" s="8">
        <v>1.2999999999999999E-3</v>
      </c>
      <c r="AA308" s="5">
        <v>-442.7</v>
      </c>
      <c r="AB308" s="6">
        <v>-1.9570873129726111E-2</v>
      </c>
      <c r="AC308" s="4">
        <v>0</v>
      </c>
      <c r="AD308" s="6">
        <v>0</v>
      </c>
      <c r="AE308" s="5">
        <v>51266.7</v>
      </c>
      <c r="AF308" s="5">
        <v>53194.7</v>
      </c>
      <c r="AG308" s="4">
        <v>1928</v>
      </c>
      <c r="AH308" s="5">
        <v>3.7606999999999999</v>
      </c>
      <c r="AI308" s="4">
        <v>2</v>
      </c>
      <c r="AJ308" s="5">
        <v>-3.3333000000000002E-2</v>
      </c>
      <c r="AK308" s="5">
        <v>1910.9111</v>
      </c>
      <c r="AL308" s="5">
        <v>3.7273999999999998</v>
      </c>
      <c r="AM308" s="8">
        <v>1.0598000000000001</v>
      </c>
      <c r="AN308" s="8">
        <v>3.8041</v>
      </c>
      <c r="AO308" s="15">
        <v>951.16110000000003</v>
      </c>
      <c r="AP308" s="15">
        <v>-0.51549999999999996</v>
      </c>
      <c r="AQ308" s="5">
        <v>101.14449999999999</v>
      </c>
      <c r="AR308" s="5">
        <v>102.5771</v>
      </c>
      <c r="AS308" s="5">
        <v>-1.4326000000000001</v>
      </c>
      <c r="AT308" s="5">
        <v>-1.3966000000000001</v>
      </c>
      <c r="AU308" s="8">
        <v>-0.58620000000000005</v>
      </c>
      <c r="AV308" s="8">
        <v>0.86499999999999999</v>
      </c>
      <c r="AW308" s="8">
        <v>-0.58620000000000005</v>
      </c>
      <c r="AX308" s="5">
        <v>101.07259999999999</v>
      </c>
      <c r="AY308" s="5">
        <v>-1.4666999999999999</v>
      </c>
      <c r="AZ308" s="7" t="s">
        <v>95</v>
      </c>
    </row>
    <row r="309" spans="1:52" ht="18" customHeight="1" x14ac:dyDescent="0.25">
      <c r="A309" s="10">
        <v>154</v>
      </c>
      <c r="B309" s="10">
        <v>2</v>
      </c>
      <c r="C309" s="10">
        <v>154</v>
      </c>
      <c r="D309" s="86">
        <v>45448</v>
      </c>
      <c r="E309" s="86">
        <v>45450</v>
      </c>
      <c r="F309" s="86">
        <v>45470</v>
      </c>
      <c r="G309" s="11">
        <v>22620.35</v>
      </c>
      <c r="H309" s="11">
        <v>23290.15</v>
      </c>
      <c r="I309" s="12"/>
      <c r="J309" s="12"/>
      <c r="K309" s="91">
        <f t="array" ref="K309">MAX(IF((D309&lt;[1]Nifty_D!$B$2:$B$6600)*(E309&gt;=[1]Nifty_D!$B$2:$B$6600),[1]Nifty_D!$F$2:$F$6600,""))</f>
        <v>23290.15</v>
      </c>
      <c r="L309" s="92">
        <f t="shared" si="16"/>
        <v>2.9610505584573232E-2</v>
      </c>
      <c r="M309" s="91">
        <f t="shared" si="17"/>
        <v>11666.250000000002</v>
      </c>
      <c r="N309" s="93">
        <f t="array" ref="N309">INDEX([1]Nifty_D!$B$2:$B$6600,MATCH(E309,[1]Nifty_D!$B$2:$B$6600,0)-1)</f>
        <v>45449</v>
      </c>
      <c r="O309" s="89">
        <f>VLOOKUP(N309,[1]Nifty_D!$B$2:$F$6600,5,0)</f>
        <v>22821.4</v>
      </c>
      <c r="P309" s="92">
        <f t="shared" si="18"/>
        <v>8.888014553267487E-3</v>
      </c>
      <c r="Q309" s="12" t="s">
        <v>40</v>
      </c>
      <c r="R309" s="10">
        <v>23500</v>
      </c>
      <c r="S309" s="103">
        <f>MROUND(G309,500)</f>
        <v>22500</v>
      </c>
      <c r="T309" s="103">
        <f>S309-R309</f>
        <v>-1000</v>
      </c>
      <c r="U309" s="12" t="s">
        <v>92</v>
      </c>
      <c r="V309" s="10">
        <v>65</v>
      </c>
      <c r="W309" s="11">
        <v>936.2</v>
      </c>
      <c r="X309" s="11">
        <v>419.15</v>
      </c>
      <c r="Y309" s="13">
        <v>-2.3361999999999998</v>
      </c>
      <c r="Z309" s="13">
        <v>-0.1961</v>
      </c>
      <c r="AA309" s="10">
        <v>0</v>
      </c>
      <c r="AB309" s="14">
        <v>0</v>
      </c>
      <c r="AC309" s="11">
        <v>-517.04999999999995</v>
      </c>
      <c r="AD309" s="14">
        <v>-2.2857736507171642E-2</v>
      </c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 t="s">
        <v>95</v>
      </c>
    </row>
    <row r="310" spans="1:52" ht="18" hidden="1" customHeight="1" x14ac:dyDescent="0.25">
      <c r="A310" s="4">
        <v>155</v>
      </c>
      <c r="B310" s="4">
        <v>1</v>
      </c>
      <c r="C310" s="4">
        <v>155</v>
      </c>
      <c r="D310" s="85">
        <v>45450</v>
      </c>
      <c r="E310" s="85">
        <v>45455</v>
      </c>
      <c r="F310" s="85">
        <v>45456</v>
      </c>
      <c r="G310" s="5">
        <v>23290.15</v>
      </c>
      <c r="H310" s="5">
        <v>23322.95</v>
      </c>
      <c r="I310" s="5">
        <v>32.799999999999997</v>
      </c>
      <c r="J310" s="6">
        <v>1.408320684924743E-3</v>
      </c>
      <c r="K310" s="91">
        <f t="array" ref="K310">MAX(IF((D310&lt;[1]Nifty_D!$B$2:$B$6600)*(E310&gt;=[1]Nifty_D!$B$2:$B$6600),[1]Nifty_D!$F$2:$F$6600,""))</f>
        <v>23322.95</v>
      </c>
      <c r="L310" s="92">
        <f t="shared" si="16"/>
        <v>1.408320684924691E-3</v>
      </c>
      <c r="M310" s="91">
        <f t="shared" si="17"/>
        <v>11699.050000000001</v>
      </c>
      <c r="N310" s="93">
        <f t="array" ref="N310">INDEX([1]Nifty_D!$B$2:$B$6600,MATCH(E310,[1]Nifty_D!$B$2:$B$6600,0)-1)</f>
        <v>45454</v>
      </c>
      <c r="O310" s="89">
        <f>VLOOKUP(N310,[1]Nifty_D!$B$2:$F$6600,5,0)</f>
        <v>23264.85</v>
      </c>
      <c r="P310" s="92">
        <f t="shared" si="18"/>
        <v>-1.0862961380670999E-3</v>
      </c>
      <c r="Q310" s="7" t="s">
        <v>28</v>
      </c>
      <c r="R310" s="4">
        <v>23300</v>
      </c>
      <c r="S310" s="102"/>
      <c r="T310" s="102"/>
      <c r="U310" s="7" t="s">
        <v>90</v>
      </c>
      <c r="V310" s="4">
        <v>65</v>
      </c>
      <c r="W310" s="5">
        <v>209.6</v>
      </c>
      <c r="X310" s="5">
        <v>97.35</v>
      </c>
      <c r="Y310" s="8">
        <v>-0.2145</v>
      </c>
      <c r="Z310" s="8">
        <v>0.52080000000000004</v>
      </c>
      <c r="AA310" s="5">
        <v>112.25</v>
      </c>
      <c r="AB310" s="6">
        <v>4.8196340513049496E-3</v>
      </c>
      <c r="AC310" s="4">
        <v>0</v>
      </c>
      <c r="AD310" s="6">
        <v>0</v>
      </c>
      <c r="AE310" s="5">
        <v>53194.7</v>
      </c>
      <c r="AF310" s="5">
        <v>54226.1</v>
      </c>
      <c r="AG310" s="5">
        <v>1031.4000000000001</v>
      </c>
      <c r="AH310" s="5">
        <v>1.9389000000000001</v>
      </c>
      <c r="AI310" s="4">
        <v>5</v>
      </c>
      <c r="AJ310" s="5">
        <v>-8.3333000000000004E-2</v>
      </c>
      <c r="AK310" s="5">
        <v>987.0711</v>
      </c>
      <c r="AL310" s="5">
        <v>1.8555999999999999</v>
      </c>
      <c r="AM310" s="8">
        <v>-0.433</v>
      </c>
      <c r="AN310" s="8">
        <v>2.0093999999999999</v>
      </c>
      <c r="AO310" s="15">
        <v>995.52110000000005</v>
      </c>
      <c r="AP310" s="15">
        <v>1.8918999999999999</v>
      </c>
      <c r="AQ310" s="5">
        <v>103.0581</v>
      </c>
      <c r="AR310" s="5">
        <v>103.0581</v>
      </c>
      <c r="AS310" s="4">
        <v>0</v>
      </c>
      <c r="AT310" s="4">
        <v>0</v>
      </c>
      <c r="AU310" s="8">
        <v>1.1043000000000001</v>
      </c>
      <c r="AV310" s="8">
        <v>0.31259999999999999</v>
      </c>
      <c r="AW310" s="8">
        <v>0.31259999999999999</v>
      </c>
      <c r="AX310" s="5">
        <v>101.4607</v>
      </c>
      <c r="AY310" s="5">
        <v>-1.0884</v>
      </c>
      <c r="AZ310" s="7" t="s">
        <v>91</v>
      </c>
    </row>
    <row r="311" spans="1:52" ht="18" customHeight="1" x14ac:dyDescent="0.25">
      <c r="A311" s="10">
        <v>155</v>
      </c>
      <c r="B311" s="10">
        <v>2</v>
      </c>
      <c r="C311" s="10">
        <v>155</v>
      </c>
      <c r="D311" s="86">
        <v>45450</v>
      </c>
      <c r="E311" s="86">
        <v>45455</v>
      </c>
      <c r="F311" s="86">
        <v>45470</v>
      </c>
      <c r="G311" s="11">
        <v>23290.15</v>
      </c>
      <c r="H311" s="11">
        <v>23322.95</v>
      </c>
      <c r="I311" s="12"/>
      <c r="J311" s="12"/>
      <c r="K311" s="91">
        <f t="array" ref="K311">MAX(IF((D311&lt;[1]Nifty_D!$B$2:$B$6600)*(E311&gt;=[1]Nifty_D!$B$2:$B$6600),[1]Nifty_D!$F$2:$F$6600,""))</f>
        <v>23322.95</v>
      </c>
      <c r="L311" s="92">
        <f t="shared" si="16"/>
        <v>1.408320684924691E-3</v>
      </c>
      <c r="M311" s="91">
        <f t="shared" si="17"/>
        <v>11699.050000000001</v>
      </c>
      <c r="N311" s="93">
        <f t="array" ref="N311">INDEX([1]Nifty_D!$B$2:$B$6600,MATCH(E311,[1]Nifty_D!$B$2:$B$6600,0)-1)</f>
        <v>45454</v>
      </c>
      <c r="O311" s="89">
        <f>VLOOKUP(N311,[1]Nifty_D!$B$2:$F$6600,5,0)</f>
        <v>23264.85</v>
      </c>
      <c r="P311" s="92">
        <f t="shared" si="18"/>
        <v>-1.0862961380670999E-3</v>
      </c>
      <c r="Q311" s="12" t="s">
        <v>40</v>
      </c>
      <c r="R311" s="10">
        <v>23500</v>
      </c>
      <c r="S311" s="103">
        <f>MROUND(G311,500)</f>
        <v>23500</v>
      </c>
      <c r="T311" s="103">
        <f>S311-R311</f>
        <v>0</v>
      </c>
      <c r="U311" s="12" t="s">
        <v>92</v>
      </c>
      <c r="V311" s="10">
        <v>65</v>
      </c>
      <c r="W311" s="11">
        <v>419.15</v>
      </c>
      <c r="X311" s="11">
        <v>315.35000000000002</v>
      </c>
      <c r="Y311" s="13">
        <v>-0.69059999999999999</v>
      </c>
      <c r="Z311" s="13">
        <v>0.2248</v>
      </c>
      <c r="AA311" s="10">
        <v>0</v>
      </c>
      <c r="AB311" s="14">
        <v>0</v>
      </c>
      <c r="AC311" s="11">
        <v>-103.8</v>
      </c>
      <c r="AD311" s="14">
        <v>-4.4568197285118384E-3</v>
      </c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 t="s">
        <v>91</v>
      </c>
    </row>
    <row r="312" spans="1:52" ht="18" hidden="1" customHeight="1" x14ac:dyDescent="0.25">
      <c r="A312" s="4">
        <v>156</v>
      </c>
      <c r="B312" s="4">
        <v>1</v>
      </c>
      <c r="C312" s="4">
        <v>156</v>
      </c>
      <c r="D312" s="85">
        <v>45455</v>
      </c>
      <c r="E312" s="85">
        <v>45461</v>
      </c>
      <c r="F312" s="85">
        <v>45463</v>
      </c>
      <c r="G312" s="5">
        <v>23322.95</v>
      </c>
      <c r="H312" s="5">
        <v>23557.9</v>
      </c>
      <c r="I312" s="5">
        <v>234.95</v>
      </c>
      <c r="J312" s="6">
        <v>1.0073768541286591E-2</v>
      </c>
      <c r="K312" s="91">
        <f t="array" ref="K312">MAX(IF((D312&lt;[1]Nifty_D!$B$2:$B$6600)*(E312&gt;=[1]Nifty_D!$B$2:$B$6600),[1]Nifty_D!$F$2:$F$6600,""))</f>
        <v>23557.9</v>
      </c>
      <c r="L312" s="92">
        <f t="shared" si="16"/>
        <v>1.007376854128661E-2</v>
      </c>
      <c r="M312" s="91">
        <f t="shared" si="17"/>
        <v>11934.000000000002</v>
      </c>
      <c r="N312" s="93">
        <f t="array" ref="N312">INDEX([1]Nifty_D!$B$2:$B$6600,MATCH(E312,[1]Nifty_D!$B$2:$B$6600,0)-1)</f>
        <v>45457</v>
      </c>
      <c r="O312" s="89">
        <f>VLOOKUP(N312,[1]Nifty_D!$B$2:$F$6600,5,0)</f>
        <v>23465.599999999999</v>
      </c>
      <c r="P312" s="92">
        <f t="shared" si="18"/>
        <v>6.1162931790359476E-3</v>
      </c>
      <c r="Q312" s="7" t="s">
        <v>28</v>
      </c>
      <c r="R312" s="4">
        <v>23300</v>
      </c>
      <c r="S312" s="102"/>
      <c r="T312" s="102"/>
      <c r="U312" s="7" t="s">
        <v>90</v>
      </c>
      <c r="V312" s="4">
        <v>65</v>
      </c>
      <c r="W312" s="5">
        <v>202.55</v>
      </c>
      <c r="X312" s="5">
        <v>276.75</v>
      </c>
      <c r="Y312" s="8">
        <v>-0.52869999999999995</v>
      </c>
      <c r="Z312" s="8">
        <v>0.2039</v>
      </c>
      <c r="AA312" s="5">
        <v>-74.2</v>
      </c>
      <c r="AB312" s="6">
        <v>-3.18141572999985E-3</v>
      </c>
      <c r="AC312" s="4">
        <v>0</v>
      </c>
      <c r="AD312" s="6">
        <v>0</v>
      </c>
      <c r="AE312" s="5">
        <v>54226.1</v>
      </c>
      <c r="AF312" s="5">
        <v>55490.05</v>
      </c>
      <c r="AG312" s="5">
        <v>1263.95</v>
      </c>
      <c r="AH312" s="5">
        <v>2.3309000000000002</v>
      </c>
      <c r="AI312" s="4">
        <v>6</v>
      </c>
      <c r="AJ312" s="5">
        <v>-0.1</v>
      </c>
      <c r="AK312" s="5">
        <v>1209.7239</v>
      </c>
      <c r="AL312" s="5">
        <v>2.2309000000000001</v>
      </c>
      <c r="AM312" s="8">
        <v>0.22550000000000001</v>
      </c>
      <c r="AN312" s="8">
        <v>2.2896999999999998</v>
      </c>
      <c r="AO312" s="15">
        <v>952.77390000000003</v>
      </c>
      <c r="AP312" s="15">
        <v>1.1292</v>
      </c>
      <c r="AQ312" s="5">
        <v>104.2218</v>
      </c>
      <c r="AR312" s="5">
        <v>104.2218</v>
      </c>
      <c r="AS312" s="4">
        <v>0</v>
      </c>
      <c r="AT312" s="4">
        <v>0</v>
      </c>
      <c r="AU312" s="8">
        <v>0.93630000000000002</v>
      </c>
      <c r="AV312" s="8">
        <v>0.31709999999999999</v>
      </c>
      <c r="AW312" s="8">
        <v>0.31709999999999999</v>
      </c>
      <c r="AX312" s="5">
        <v>103.3849</v>
      </c>
      <c r="AY312" s="5">
        <v>0.31709999999999999</v>
      </c>
      <c r="AZ312" s="7" t="s">
        <v>97</v>
      </c>
    </row>
    <row r="313" spans="1:52" ht="18" customHeight="1" x14ac:dyDescent="0.25">
      <c r="A313" s="10">
        <v>156</v>
      </c>
      <c r="B313" s="10">
        <v>2</v>
      </c>
      <c r="C313" s="10">
        <v>156</v>
      </c>
      <c r="D313" s="86">
        <v>45455</v>
      </c>
      <c r="E313" s="86">
        <v>45461</v>
      </c>
      <c r="F313" s="86">
        <v>45470</v>
      </c>
      <c r="G313" s="11">
        <v>23322.95</v>
      </c>
      <c r="H313" s="11">
        <v>23557.9</v>
      </c>
      <c r="I313" s="12"/>
      <c r="J313" s="12"/>
      <c r="K313" s="91">
        <f t="array" ref="K313">MAX(IF((D313&lt;[1]Nifty_D!$B$2:$B$6600)*(E313&gt;=[1]Nifty_D!$B$2:$B$6600),[1]Nifty_D!$F$2:$F$6600,""))</f>
        <v>23557.9</v>
      </c>
      <c r="L313" s="92">
        <f t="shared" si="16"/>
        <v>1.007376854128661E-2</v>
      </c>
      <c r="M313" s="91">
        <f t="shared" si="17"/>
        <v>11934.000000000002</v>
      </c>
      <c r="N313" s="93">
        <f t="array" ref="N313">INDEX([1]Nifty_D!$B$2:$B$6600,MATCH(E313,[1]Nifty_D!$B$2:$B$6600,0)-1)</f>
        <v>45457</v>
      </c>
      <c r="O313" s="89">
        <f>VLOOKUP(N313,[1]Nifty_D!$B$2:$F$6600,5,0)</f>
        <v>23465.599999999999</v>
      </c>
      <c r="P313" s="92">
        <f t="shared" si="18"/>
        <v>6.1162931790359476E-3</v>
      </c>
      <c r="Q313" s="12" t="s">
        <v>40</v>
      </c>
      <c r="R313" s="10">
        <v>23500</v>
      </c>
      <c r="S313" s="103">
        <f>MROUND(G313,500)</f>
        <v>23500</v>
      </c>
      <c r="T313" s="103">
        <f>S313-R313</f>
        <v>0</v>
      </c>
      <c r="U313" s="12" t="s">
        <v>92</v>
      </c>
      <c r="V313" s="10">
        <v>65</v>
      </c>
      <c r="W313" s="11">
        <v>315.35000000000002</v>
      </c>
      <c r="X313" s="11">
        <v>132.6</v>
      </c>
      <c r="Y313" s="13">
        <v>-0.82469999999999999</v>
      </c>
      <c r="Z313" s="13">
        <v>-0.1123</v>
      </c>
      <c r="AA313" s="10">
        <v>0</v>
      </c>
      <c r="AB313" s="14">
        <v>0</v>
      </c>
      <c r="AC313" s="11">
        <v>-182.75</v>
      </c>
      <c r="AD313" s="14">
        <v>-7.83562971236486E-3</v>
      </c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 t="s">
        <v>97</v>
      </c>
    </row>
    <row r="314" spans="1:52" ht="18" hidden="1" customHeight="1" x14ac:dyDescent="0.25">
      <c r="A314" s="4">
        <v>157</v>
      </c>
      <c r="B314" s="4">
        <v>1</v>
      </c>
      <c r="C314" s="4">
        <v>157</v>
      </c>
      <c r="D314" s="85">
        <v>45461</v>
      </c>
      <c r="E314" s="85">
        <v>45462</v>
      </c>
      <c r="F314" s="85">
        <v>45463</v>
      </c>
      <c r="G314" s="5">
        <v>23557.9</v>
      </c>
      <c r="H314" s="4">
        <v>23516</v>
      </c>
      <c r="I314" s="5">
        <v>-41.9</v>
      </c>
      <c r="J314" s="6">
        <v>-1.7785965642098829E-3</v>
      </c>
      <c r="K314" s="91">
        <f t="array" ref="K314">MAX(IF((D314&lt;[1]Nifty_D!$B$2:$B$6600)*(E314&gt;=[1]Nifty_D!$B$2:$B$6600),[1]Nifty_D!$F$2:$F$6600,""))</f>
        <v>23516</v>
      </c>
      <c r="L314" s="92">
        <f t="shared" si="16"/>
        <v>-1.7785965642099777E-3</v>
      </c>
      <c r="M314" s="91">
        <f t="shared" si="17"/>
        <v>11892.1</v>
      </c>
      <c r="N314" s="93">
        <f t="array" ref="N314">INDEX([1]Nifty_D!$B$2:$B$6600,MATCH(E314,[1]Nifty_D!$B$2:$B$6600,0)-1)</f>
        <v>45461</v>
      </c>
      <c r="O314" s="89">
        <f>VLOOKUP(N314,[1]Nifty_D!$B$2:$F$6600,5,0)</f>
        <v>23557.9</v>
      </c>
      <c r="P314" s="92">
        <f t="shared" si="18"/>
        <v>0</v>
      </c>
      <c r="Q314" s="7" t="s">
        <v>28</v>
      </c>
      <c r="R314" s="4">
        <v>23600</v>
      </c>
      <c r="S314" s="102"/>
      <c r="T314" s="102"/>
      <c r="U314" s="7" t="s">
        <v>90</v>
      </c>
      <c r="V314" s="4">
        <v>65</v>
      </c>
      <c r="W314" s="5">
        <v>63.85</v>
      </c>
      <c r="X314" s="4">
        <v>39</v>
      </c>
      <c r="Y314" s="8">
        <v>-0.3296</v>
      </c>
      <c r="Z314" s="8">
        <v>0.1547</v>
      </c>
      <c r="AA314" s="5">
        <v>24.85</v>
      </c>
      <c r="AB314" s="6">
        <v>1.0548478429741189E-3</v>
      </c>
      <c r="AC314" s="4">
        <v>0</v>
      </c>
      <c r="AD314" s="6">
        <v>0</v>
      </c>
      <c r="AE314" s="5">
        <v>55490.05</v>
      </c>
      <c r="AF314" s="5">
        <v>54951.7</v>
      </c>
      <c r="AG314" s="5">
        <v>-538.35</v>
      </c>
      <c r="AH314" s="5">
        <v>-0.97019999999999995</v>
      </c>
      <c r="AI314" s="4">
        <v>1</v>
      </c>
      <c r="AJ314" s="5">
        <v>-1.6667000000000001E-2</v>
      </c>
      <c r="AK314" s="5">
        <v>-547.59829999999999</v>
      </c>
      <c r="AL314" s="5">
        <v>-0.98680000000000001</v>
      </c>
      <c r="AM314" s="8">
        <v>-1.4907999999999999</v>
      </c>
      <c r="AN314" s="8">
        <v>0.32490000000000002</v>
      </c>
      <c r="AO314" s="9">
        <v>-494.69830000000002</v>
      </c>
      <c r="AP314" s="9">
        <v>-0.76219999999999999</v>
      </c>
      <c r="AQ314" s="5">
        <v>103.42740000000001</v>
      </c>
      <c r="AR314" s="5">
        <v>104.2218</v>
      </c>
      <c r="AS314" s="5">
        <v>-0.7944</v>
      </c>
      <c r="AT314" s="5">
        <v>-0.76219999999999999</v>
      </c>
      <c r="AU314" s="8">
        <v>-0.12839999999999999</v>
      </c>
      <c r="AV314" s="8">
        <v>-1.0542</v>
      </c>
      <c r="AW314" s="8">
        <v>-1.0542</v>
      </c>
      <c r="AX314" s="5">
        <v>103.12309999999999</v>
      </c>
      <c r="AY314" s="5">
        <v>-1.0542</v>
      </c>
      <c r="AZ314" s="7" t="s">
        <v>91</v>
      </c>
    </row>
    <row r="315" spans="1:52" ht="18" customHeight="1" x14ac:dyDescent="0.25">
      <c r="A315" s="10">
        <v>157</v>
      </c>
      <c r="B315" s="10">
        <v>2</v>
      </c>
      <c r="C315" s="10">
        <v>157</v>
      </c>
      <c r="D315" s="86">
        <v>45461</v>
      </c>
      <c r="E315" s="86">
        <v>45462</v>
      </c>
      <c r="F315" s="86">
        <v>45470</v>
      </c>
      <c r="G315" s="11">
        <v>23557.9</v>
      </c>
      <c r="H315" s="10">
        <v>23516</v>
      </c>
      <c r="I315" s="12"/>
      <c r="J315" s="12"/>
      <c r="K315" s="91">
        <f t="array" ref="K315">MAX(IF((D315&lt;[1]Nifty_D!$B$2:$B$6600)*(E315&gt;=[1]Nifty_D!$B$2:$B$6600),[1]Nifty_D!$F$2:$F$6600,""))</f>
        <v>23516</v>
      </c>
      <c r="L315" s="92">
        <f t="shared" si="16"/>
        <v>-1.7785965642099777E-3</v>
      </c>
      <c r="M315" s="91">
        <f t="shared" si="17"/>
        <v>11892.1</v>
      </c>
      <c r="N315" s="93">
        <f t="array" ref="N315">INDEX([1]Nifty_D!$B$2:$B$6600,MATCH(E315,[1]Nifty_D!$B$2:$B$6600,0)-1)</f>
        <v>45461</v>
      </c>
      <c r="O315" s="89">
        <f>VLOOKUP(N315,[1]Nifty_D!$B$2:$F$6600,5,0)</f>
        <v>23557.9</v>
      </c>
      <c r="P315" s="92">
        <f t="shared" si="18"/>
        <v>0</v>
      </c>
      <c r="Q315" s="12" t="s">
        <v>40</v>
      </c>
      <c r="R315" s="10">
        <v>23500</v>
      </c>
      <c r="S315" s="103">
        <f>MROUND(G315,500)</f>
        <v>23500</v>
      </c>
      <c r="T315" s="103">
        <f>S315-R315</f>
        <v>0</v>
      </c>
      <c r="U315" s="12" t="s">
        <v>92</v>
      </c>
      <c r="V315" s="10">
        <v>65</v>
      </c>
      <c r="W315" s="11">
        <v>132.6</v>
      </c>
      <c r="X315" s="11">
        <v>160.65</v>
      </c>
      <c r="Y315" s="13">
        <v>-0.1237</v>
      </c>
      <c r="Z315" s="13">
        <v>0.28189999999999998</v>
      </c>
      <c r="AA315" s="10">
        <v>0</v>
      </c>
      <c r="AB315" s="14">
        <v>0</v>
      </c>
      <c r="AC315" s="11">
        <v>28.05</v>
      </c>
      <c r="AD315" s="14">
        <v>1.1906833800975471E-3</v>
      </c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 t="s">
        <v>91</v>
      </c>
    </row>
    <row r="316" spans="1:52" ht="18" hidden="1" customHeight="1" x14ac:dyDescent="0.25">
      <c r="A316" s="4">
        <v>158</v>
      </c>
      <c r="B316" s="4">
        <v>1</v>
      </c>
      <c r="C316" s="4">
        <v>158</v>
      </c>
      <c r="D316" s="85">
        <v>45462</v>
      </c>
      <c r="E316" s="85">
        <v>45469</v>
      </c>
      <c r="F316" s="85">
        <v>45470</v>
      </c>
      <c r="G316" s="4">
        <v>23516</v>
      </c>
      <c r="H316" s="5">
        <v>23868.799999999999</v>
      </c>
      <c r="I316" s="5">
        <v>352.8</v>
      </c>
      <c r="J316" s="6">
        <v>1.500255145432897E-2</v>
      </c>
      <c r="K316" s="91">
        <f t="array" ref="K316">MAX(IF((D316&lt;[1]Nifty_D!$B$2:$B$6600)*(E316&gt;=[1]Nifty_D!$B$2:$B$6600),[1]Nifty_D!$F$2:$F$6600,""))</f>
        <v>23868.799999999999</v>
      </c>
      <c r="L316" s="92">
        <f t="shared" si="16"/>
        <v>1.5002551454328827E-2</v>
      </c>
      <c r="M316" s="91">
        <f t="shared" si="17"/>
        <v>12244.9</v>
      </c>
      <c r="N316" s="93">
        <f t="array" ref="N316">INDEX([1]Nifty_D!$B$2:$B$6600,MATCH(E316,[1]Nifty_D!$B$2:$B$6600,0)-1)</f>
        <v>45468</v>
      </c>
      <c r="O316" s="89">
        <f>VLOOKUP(N316,[1]Nifty_D!$B$2:$F$6600,5,0)</f>
        <v>23721.3</v>
      </c>
      <c r="P316" s="92">
        <f t="shared" si="18"/>
        <v>8.7302262289503663E-3</v>
      </c>
      <c r="Q316" s="7" t="s">
        <v>28</v>
      </c>
      <c r="R316" s="4">
        <v>23500</v>
      </c>
      <c r="S316" s="102"/>
      <c r="T316" s="102"/>
      <c r="U316" s="7" t="s">
        <v>90</v>
      </c>
      <c r="V316" s="4">
        <v>65</v>
      </c>
      <c r="W316" s="5">
        <v>166.25</v>
      </c>
      <c r="X316" s="5">
        <v>375.05</v>
      </c>
      <c r="Y316" s="8">
        <v>-1.0551999999999999</v>
      </c>
      <c r="Z316" s="8">
        <v>0.45029999999999998</v>
      </c>
      <c r="AA316" s="5">
        <v>-208.8</v>
      </c>
      <c r="AB316" s="6">
        <v>-8.8790610648069399E-3</v>
      </c>
      <c r="AC316" s="4">
        <v>0</v>
      </c>
      <c r="AD316" s="6">
        <v>0</v>
      </c>
      <c r="AE316" s="5">
        <v>54951.7</v>
      </c>
      <c r="AF316" s="5">
        <v>55245.8</v>
      </c>
      <c r="AG316" s="5">
        <v>294.10000000000002</v>
      </c>
      <c r="AH316" s="5">
        <v>0.53520000000000001</v>
      </c>
      <c r="AI316" s="4">
        <v>7</v>
      </c>
      <c r="AJ316" s="5">
        <v>-0.11666700000000001</v>
      </c>
      <c r="AK316" s="5">
        <v>229.9897</v>
      </c>
      <c r="AL316" s="5">
        <v>0.41849999999999998</v>
      </c>
      <c r="AM316" s="8">
        <v>-0.25409999999999999</v>
      </c>
      <c r="AN316" s="8">
        <v>1.6657999999999999</v>
      </c>
      <c r="AO316" s="9">
        <v>-133.2603</v>
      </c>
      <c r="AP316" s="9">
        <v>-1.1262000000000001</v>
      </c>
      <c r="AQ316" s="5">
        <v>102.26260000000001</v>
      </c>
      <c r="AR316" s="5">
        <v>104.2218</v>
      </c>
      <c r="AS316" s="5">
        <v>-1.9592000000000001</v>
      </c>
      <c r="AT316" s="5">
        <v>-1.8797999999999999</v>
      </c>
      <c r="AU316" s="8">
        <v>-5.0200000000000002E-2</v>
      </c>
      <c r="AV316" s="8">
        <v>0.52939999999999998</v>
      </c>
      <c r="AW316" s="8">
        <v>-1.1262000000000001</v>
      </c>
      <c r="AX316" s="5">
        <v>102.26260000000001</v>
      </c>
      <c r="AY316" s="5">
        <v>-1.8797999999999999</v>
      </c>
      <c r="AZ316" s="7" t="s">
        <v>93</v>
      </c>
    </row>
    <row r="317" spans="1:52" ht="18" customHeight="1" x14ac:dyDescent="0.25">
      <c r="A317" s="10">
        <v>158</v>
      </c>
      <c r="B317" s="10">
        <v>2</v>
      </c>
      <c r="C317" s="10">
        <v>158</v>
      </c>
      <c r="D317" s="86">
        <v>45462</v>
      </c>
      <c r="E317" s="86">
        <v>45469</v>
      </c>
      <c r="F317" s="86">
        <v>45470</v>
      </c>
      <c r="G317" s="10">
        <v>23516</v>
      </c>
      <c r="H317" s="11">
        <v>23868.799999999999</v>
      </c>
      <c r="I317" s="12"/>
      <c r="J317" s="12"/>
      <c r="K317" s="91">
        <f t="array" ref="K317">MAX(IF((D317&lt;[1]Nifty_D!$B$2:$B$6600)*(E317&gt;=[1]Nifty_D!$B$2:$B$6600),[1]Nifty_D!$F$2:$F$6600,""))</f>
        <v>23868.799999999999</v>
      </c>
      <c r="L317" s="92">
        <f t="shared" si="16"/>
        <v>1.5002551454328827E-2</v>
      </c>
      <c r="M317" s="91">
        <f t="shared" si="17"/>
        <v>12244.9</v>
      </c>
      <c r="N317" s="93">
        <f t="array" ref="N317">INDEX([1]Nifty_D!$B$2:$B$6600,MATCH(E317,[1]Nifty_D!$B$2:$B$6600,0)-1)</f>
        <v>45468</v>
      </c>
      <c r="O317" s="89">
        <f>VLOOKUP(N317,[1]Nifty_D!$B$2:$F$6600,5,0)</f>
        <v>23721.3</v>
      </c>
      <c r="P317" s="92">
        <f t="shared" si="18"/>
        <v>8.7302262289503663E-3</v>
      </c>
      <c r="Q317" s="12" t="s">
        <v>40</v>
      </c>
      <c r="R317" s="10">
        <v>23500</v>
      </c>
      <c r="S317" s="103">
        <f>MROUND(G317,500)</f>
        <v>23500</v>
      </c>
      <c r="T317" s="103">
        <f>S317-R317</f>
        <v>0</v>
      </c>
      <c r="U317" s="12" t="s">
        <v>92</v>
      </c>
      <c r="V317" s="10">
        <v>65</v>
      </c>
      <c r="W317" s="11">
        <v>160.65</v>
      </c>
      <c r="X317" s="11">
        <v>6.2</v>
      </c>
      <c r="Y317" s="13">
        <v>-0.66080000000000005</v>
      </c>
      <c r="Z317" s="13">
        <v>0.3332</v>
      </c>
      <c r="AA317" s="10">
        <v>0</v>
      </c>
      <c r="AB317" s="14">
        <v>0</v>
      </c>
      <c r="AC317" s="11">
        <v>-154.44999999999999</v>
      </c>
      <c r="AD317" s="14">
        <v>-6.5678686851505354E-3</v>
      </c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 t="s">
        <v>93</v>
      </c>
    </row>
    <row r="318" spans="1:52" ht="18" hidden="1" customHeight="1" x14ac:dyDescent="0.25">
      <c r="A318" s="4">
        <v>159</v>
      </c>
      <c r="B318" s="4">
        <v>1</v>
      </c>
      <c r="C318" s="4">
        <v>159</v>
      </c>
      <c r="D318" s="85">
        <v>45469</v>
      </c>
      <c r="E318" s="85">
        <v>45474</v>
      </c>
      <c r="F318" s="85">
        <v>45477</v>
      </c>
      <c r="G318" s="5">
        <v>23868.799999999999</v>
      </c>
      <c r="H318" s="5">
        <v>24141.95</v>
      </c>
      <c r="I318" s="5">
        <v>273.14999999999998</v>
      </c>
      <c r="J318" s="6">
        <v>1.1443809491888991E-2</v>
      </c>
      <c r="K318" s="91">
        <f t="array" ref="K318">MAX(IF((D318&lt;[1]Nifty_D!$B$2:$B$6600)*(E318&gt;=[1]Nifty_D!$B$2:$B$6600),[1]Nifty_D!$F$2:$F$6600,""))</f>
        <v>24141.95</v>
      </c>
      <c r="L318" s="92">
        <f t="shared" si="16"/>
        <v>1.1443809491888945E-2</v>
      </c>
      <c r="M318" s="91">
        <f t="shared" si="17"/>
        <v>12518.050000000001</v>
      </c>
      <c r="N318" s="93">
        <f t="array" ref="N318">INDEX([1]Nifty_D!$B$2:$B$6600,MATCH(E318,[1]Nifty_D!$B$2:$B$6600,0)-1)</f>
        <v>45471</v>
      </c>
      <c r="O318" s="89">
        <f>VLOOKUP(N318,[1]Nifty_D!$B$2:$F$6600,5,0)</f>
        <v>24010.6</v>
      </c>
      <c r="P318" s="92">
        <f t="shared" si="18"/>
        <v>5.940809760021315E-3</v>
      </c>
      <c r="Q318" s="7" t="s">
        <v>28</v>
      </c>
      <c r="R318" s="4">
        <v>23900</v>
      </c>
      <c r="S318" s="102"/>
      <c r="T318" s="102"/>
      <c r="U318" s="7" t="s">
        <v>90</v>
      </c>
      <c r="V318" s="4">
        <v>65</v>
      </c>
      <c r="W318" s="5">
        <v>180.5</v>
      </c>
      <c r="X318" s="5">
        <v>294.35000000000002</v>
      </c>
      <c r="Y318" s="8">
        <v>-0.73529999999999995</v>
      </c>
      <c r="Z318" s="8">
        <v>0.15790000000000001</v>
      </c>
      <c r="AA318" s="5">
        <v>-113.85</v>
      </c>
      <c r="AB318" s="6">
        <v>-4.7698250435715241E-3</v>
      </c>
      <c r="AC318" s="4">
        <v>0</v>
      </c>
      <c r="AD318" s="6">
        <v>0</v>
      </c>
      <c r="AE318" s="5">
        <v>55245.8</v>
      </c>
      <c r="AF318" s="5">
        <v>56292.5</v>
      </c>
      <c r="AG318" s="5">
        <v>1046.7</v>
      </c>
      <c r="AH318" s="5">
        <v>1.8946000000000001</v>
      </c>
      <c r="AI318" s="4">
        <v>5</v>
      </c>
      <c r="AJ318" s="5">
        <v>-8.3333000000000004E-2</v>
      </c>
      <c r="AK318" s="5">
        <v>1000.6618</v>
      </c>
      <c r="AL318" s="5">
        <v>1.8112999999999999</v>
      </c>
      <c r="AM318" s="8">
        <v>-0.50529999999999997</v>
      </c>
      <c r="AN318" s="8">
        <v>1.8878999999999999</v>
      </c>
      <c r="AO318" s="15">
        <v>763.86180000000002</v>
      </c>
      <c r="AP318" s="15">
        <v>0.81920000000000004</v>
      </c>
      <c r="AQ318" s="5">
        <v>103.10039999999999</v>
      </c>
      <c r="AR318" s="5">
        <v>104.2218</v>
      </c>
      <c r="AS318" s="5">
        <v>-1.1214</v>
      </c>
      <c r="AT318" s="5">
        <v>-1.0760000000000001</v>
      </c>
      <c r="AU318" s="8">
        <v>0.61380000000000001</v>
      </c>
      <c r="AV318" s="8">
        <v>-0.19869999999999999</v>
      </c>
      <c r="AW318" s="8">
        <v>-0.19869999999999999</v>
      </c>
      <c r="AX318" s="5">
        <v>102.0594</v>
      </c>
      <c r="AY318" s="5">
        <v>-2.0748000000000002</v>
      </c>
      <c r="AZ318" s="7" t="s">
        <v>97</v>
      </c>
    </row>
    <row r="319" spans="1:52" ht="18" customHeight="1" x14ac:dyDescent="0.25">
      <c r="A319" s="10">
        <v>159</v>
      </c>
      <c r="B319" s="10">
        <v>2</v>
      </c>
      <c r="C319" s="10">
        <v>159</v>
      </c>
      <c r="D319" s="86">
        <v>45469</v>
      </c>
      <c r="E319" s="86">
        <v>45474</v>
      </c>
      <c r="F319" s="86">
        <v>45498</v>
      </c>
      <c r="G319" s="11">
        <v>23868.799999999999</v>
      </c>
      <c r="H319" s="11">
        <v>24141.95</v>
      </c>
      <c r="I319" s="12"/>
      <c r="J319" s="12"/>
      <c r="K319" s="91">
        <f t="array" ref="K319">MAX(IF((D319&lt;[1]Nifty_D!$B$2:$B$6600)*(E319&gt;=[1]Nifty_D!$B$2:$B$6600),[1]Nifty_D!$F$2:$F$6600,""))</f>
        <v>24141.95</v>
      </c>
      <c r="L319" s="92">
        <f t="shared" si="16"/>
        <v>1.1443809491888945E-2</v>
      </c>
      <c r="M319" s="91">
        <f t="shared" si="17"/>
        <v>12518.050000000001</v>
      </c>
      <c r="N319" s="93">
        <f t="array" ref="N319">INDEX([1]Nifty_D!$B$2:$B$6600,MATCH(E319,[1]Nifty_D!$B$2:$B$6600,0)-1)</f>
        <v>45471</v>
      </c>
      <c r="O319" s="89">
        <f>VLOOKUP(N319,[1]Nifty_D!$B$2:$F$6600,5,0)</f>
        <v>24010.6</v>
      </c>
      <c r="P319" s="92">
        <f t="shared" si="18"/>
        <v>5.940809760021315E-3</v>
      </c>
      <c r="Q319" s="12" t="s">
        <v>40</v>
      </c>
      <c r="R319" s="10">
        <v>24000</v>
      </c>
      <c r="S319" s="103">
        <f>MROUND(G319,500)</f>
        <v>24000</v>
      </c>
      <c r="T319" s="103">
        <f>S319-R319</f>
        <v>0</v>
      </c>
      <c r="U319" s="12" t="s">
        <v>92</v>
      </c>
      <c r="V319" s="10">
        <v>65</v>
      </c>
      <c r="W319" s="11">
        <v>360.6</v>
      </c>
      <c r="X319" s="11">
        <v>237.65</v>
      </c>
      <c r="Y319" s="13">
        <v>-0.53879999999999995</v>
      </c>
      <c r="Z319" s="13">
        <v>0.1487</v>
      </c>
      <c r="AA319" s="10">
        <v>0</v>
      </c>
      <c r="AB319" s="14">
        <v>0</v>
      </c>
      <c r="AC319" s="11">
        <v>-122.95</v>
      </c>
      <c r="AD319" s="14">
        <v>-5.1510758814854538E-3</v>
      </c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 t="s">
        <v>97</v>
      </c>
    </row>
    <row r="320" spans="1:52" ht="18" hidden="1" customHeight="1" x14ac:dyDescent="0.25">
      <c r="A320" s="4">
        <v>160</v>
      </c>
      <c r="B320" s="4">
        <v>1</v>
      </c>
      <c r="C320" s="4">
        <v>160</v>
      </c>
      <c r="D320" s="85">
        <v>45474</v>
      </c>
      <c r="E320" s="85">
        <v>45476</v>
      </c>
      <c r="F320" s="85">
        <v>45477</v>
      </c>
      <c r="G320" s="5">
        <v>24141.95</v>
      </c>
      <c r="H320" s="5">
        <v>24286.5</v>
      </c>
      <c r="I320" s="5">
        <v>144.55000000000001</v>
      </c>
      <c r="J320" s="6">
        <v>5.9875030807370576E-3</v>
      </c>
      <c r="K320" s="91">
        <f t="array" ref="K320">MAX(IF((D320&lt;[1]Nifty_D!$B$2:$B$6600)*(E320&gt;=[1]Nifty_D!$B$2:$B$6600),[1]Nifty_D!$F$2:$F$6600,""))</f>
        <v>24286.5</v>
      </c>
      <c r="L320" s="92">
        <f t="shared" si="16"/>
        <v>5.9875030807370333E-3</v>
      </c>
      <c r="M320" s="91">
        <f t="shared" si="17"/>
        <v>12662.6</v>
      </c>
      <c r="N320" s="93">
        <f t="array" ref="N320">INDEX([1]Nifty_D!$B$2:$B$6600,MATCH(E320,[1]Nifty_D!$B$2:$B$6600,0)-1)</f>
        <v>45475</v>
      </c>
      <c r="O320" s="89">
        <f>VLOOKUP(N320,[1]Nifty_D!$B$2:$F$6600,5,0)</f>
        <v>24123.85</v>
      </c>
      <c r="P320" s="92">
        <f t="shared" si="18"/>
        <v>-7.4973231242725369E-4</v>
      </c>
      <c r="Q320" s="7" t="s">
        <v>28</v>
      </c>
      <c r="R320" s="4">
        <v>24100</v>
      </c>
      <c r="S320" s="102"/>
      <c r="T320" s="102"/>
      <c r="U320" s="7" t="s">
        <v>90</v>
      </c>
      <c r="V320" s="4">
        <v>65</v>
      </c>
      <c r="W320" s="5">
        <v>151.85</v>
      </c>
      <c r="X320" s="5">
        <v>202.1</v>
      </c>
      <c r="Y320" s="8">
        <v>-0.4128</v>
      </c>
      <c r="Z320" s="8">
        <v>0.23630000000000001</v>
      </c>
      <c r="AA320" s="5">
        <v>-50.25</v>
      </c>
      <c r="AB320" s="6">
        <v>-2.081439154666462E-3</v>
      </c>
      <c r="AC320" s="4">
        <v>0</v>
      </c>
      <c r="AD320" s="6">
        <v>0</v>
      </c>
      <c r="AE320" s="5">
        <v>56292.5</v>
      </c>
      <c r="AF320" s="5">
        <v>56293.3</v>
      </c>
      <c r="AG320" s="5">
        <v>0.8</v>
      </c>
      <c r="AH320" s="5">
        <v>1.4E-3</v>
      </c>
      <c r="AI320" s="4">
        <v>2</v>
      </c>
      <c r="AJ320" s="5">
        <v>-3.3333000000000002E-2</v>
      </c>
      <c r="AK320" s="5">
        <v>-17.964200000000002</v>
      </c>
      <c r="AL320" s="5">
        <v>-3.1899999999999998E-2</v>
      </c>
      <c r="AM320" s="8">
        <v>-1.3912</v>
      </c>
      <c r="AN320" s="8">
        <v>0.3599</v>
      </c>
      <c r="AO320" s="9">
        <v>-142.5642</v>
      </c>
      <c r="AP320" s="9">
        <v>-0.54800000000000004</v>
      </c>
      <c r="AQ320" s="5">
        <v>102.5354</v>
      </c>
      <c r="AR320" s="5">
        <v>104.2218</v>
      </c>
      <c r="AS320" s="5">
        <v>-1.6863999999999999</v>
      </c>
      <c r="AT320" s="5">
        <v>-1.6181000000000001</v>
      </c>
      <c r="AU320" s="8">
        <v>-0.3866</v>
      </c>
      <c r="AV320" s="8">
        <v>-1.0428999999999999</v>
      </c>
      <c r="AW320" s="8">
        <v>-1.0428999999999999</v>
      </c>
      <c r="AX320" s="5">
        <v>102.02509999999999</v>
      </c>
      <c r="AY320" s="5">
        <v>-2.1076999999999999</v>
      </c>
      <c r="AZ320" s="7" t="s">
        <v>91</v>
      </c>
    </row>
    <row r="321" spans="1:52" ht="18" customHeight="1" x14ac:dyDescent="0.25">
      <c r="A321" s="10">
        <v>160</v>
      </c>
      <c r="B321" s="10">
        <v>2</v>
      </c>
      <c r="C321" s="10">
        <v>160</v>
      </c>
      <c r="D321" s="86">
        <v>45474</v>
      </c>
      <c r="E321" s="86">
        <v>45476</v>
      </c>
      <c r="F321" s="86">
        <v>45498</v>
      </c>
      <c r="G321" s="11">
        <v>24141.95</v>
      </c>
      <c r="H321" s="11">
        <v>24286.5</v>
      </c>
      <c r="I321" s="12"/>
      <c r="J321" s="12"/>
      <c r="K321" s="91">
        <f t="array" ref="K321">MAX(IF((D321&lt;[1]Nifty_D!$B$2:$B$6600)*(E321&gt;=[1]Nifty_D!$B$2:$B$6600),[1]Nifty_D!$F$2:$F$6600,""))</f>
        <v>24286.5</v>
      </c>
      <c r="L321" s="92">
        <f t="shared" si="16"/>
        <v>5.9875030807370333E-3</v>
      </c>
      <c r="M321" s="91">
        <f t="shared" si="17"/>
        <v>12662.6</v>
      </c>
      <c r="N321" s="93">
        <f t="array" ref="N321">INDEX([1]Nifty_D!$B$2:$B$6600,MATCH(E321,[1]Nifty_D!$B$2:$B$6600,0)-1)</f>
        <v>45475</v>
      </c>
      <c r="O321" s="89">
        <f>VLOOKUP(N321,[1]Nifty_D!$B$2:$F$6600,5,0)</f>
        <v>24123.85</v>
      </c>
      <c r="P321" s="92">
        <f t="shared" si="18"/>
        <v>-7.4973231242725369E-4</v>
      </c>
      <c r="Q321" s="12" t="s">
        <v>40</v>
      </c>
      <c r="R321" s="10">
        <v>24000</v>
      </c>
      <c r="S321" s="103">
        <f>MROUND(G321,500)</f>
        <v>24000</v>
      </c>
      <c r="T321" s="103">
        <f>S321-R321</f>
        <v>0</v>
      </c>
      <c r="U321" s="12" t="s">
        <v>92</v>
      </c>
      <c r="V321" s="10">
        <v>65</v>
      </c>
      <c r="W321" s="11">
        <v>237.65</v>
      </c>
      <c r="X321" s="11">
        <v>163.30000000000001</v>
      </c>
      <c r="Y321" s="13">
        <v>-0.3337</v>
      </c>
      <c r="Z321" s="13">
        <v>0.112</v>
      </c>
      <c r="AA321" s="10">
        <v>0</v>
      </c>
      <c r="AB321" s="14">
        <v>0</v>
      </c>
      <c r="AC321" s="11">
        <v>-74.349999999999994</v>
      </c>
      <c r="AD321" s="14">
        <v>-3.079701515411969E-3</v>
      </c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 t="s">
        <v>91</v>
      </c>
    </row>
    <row r="322" spans="1:52" ht="18" hidden="1" customHeight="1" x14ac:dyDescent="0.25">
      <c r="A322" s="4">
        <v>161</v>
      </c>
      <c r="B322" s="4">
        <v>1</v>
      </c>
      <c r="C322" s="4">
        <v>161</v>
      </c>
      <c r="D322" s="85">
        <v>45476</v>
      </c>
      <c r="E322" s="85">
        <v>45482</v>
      </c>
      <c r="F322" s="85">
        <v>45484</v>
      </c>
      <c r="G322" s="5">
        <v>24286.5</v>
      </c>
      <c r="H322" s="5">
        <v>24433.200000000001</v>
      </c>
      <c r="I322" s="5">
        <v>146.69999999999999</v>
      </c>
      <c r="J322" s="6">
        <v>6.0403928108208257E-3</v>
      </c>
      <c r="K322" s="91">
        <f t="array" ref="K322">MAX(IF((D322&lt;[1]Nifty_D!$B$2:$B$6600)*(E322&gt;=[1]Nifty_D!$B$2:$B$6600),[1]Nifty_D!$F$2:$F$6600,""))</f>
        <v>24433.200000000001</v>
      </c>
      <c r="L322" s="92">
        <f t="shared" si="16"/>
        <v>6.0403928108208049E-3</v>
      </c>
      <c r="M322" s="91">
        <f t="shared" si="17"/>
        <v>12809.300000000001</v>
      </c>
      <c r="N322" s="93">
        <f t="array" ref="N322">INDEX([1]Nifty_D!$B$2:$B$6600,MATCH(E322,[1]Nifty_D!$B$2:$B$6600,0)-1)</f>
        <v>45481</v>
      </c>
      <c r="O322" s="89">
        <f>VLOOKUP(N322,[1]Nifty_D!$B$2:$F$6600,5,0)</f>
        <v>24320.55</v>
      </c>
      <c r="P322" s="92">
        <f t="shared" si="18"/>
        <v>1.4020134642702686E-3</v>
      </c>
      <c r="Q322" s="7" t="s">
        <v>28</v>
      </c>
      <c r="R322" s="4">
        <v>24300</v>
      </c>
      <c r="S322" s="102"/>
      <c r="T322" s="102"/>
      <c r="U322" s="7" t="s">
        <v>90</v>
      </c>
      <c r="V322" s="4">
        <v>65</v>
      </c>
      <c r="W322" s="5">
        <v>174.9</v>
      </c>
      <c r="X322" s="5">
        <v>183.15</v>
      </c>
      <c r="Y322" s="8">
        <v>-0.21179999999999999</v>
      </c>
      <c r="Z322" s="8">
        <v>0.37940000000000002</v>
      </c>
      <c r="AA322" s="5">
        <v>-8.25</v>
      </c>
      <c r="AB322" s="6">
        <v>-3.3969489222407509E-4</v>
      </c>
      <c r="AC322" s="4">
        <v>0</v>
      </c>
      <c r="AD322" s="6">
        <v>0</v>
      </c>
      <c r="AE322" s="5">
        <v>56293.3</v>
      </c>
      <c r="AF322" s="5">
        <v>57077.55</v>
      </c>
      <c r="AG322" s="5">
        <v>784.25</v>
      </c>
      <c r="AH322" s="5">
        <v>1.3931</v>
      </c>
      <c r="AI322" s="4">
        <v>6</v>
      </c>
      <c r="AJ322" s="5">
        <v>-0.1</v>
      </c>
      <c r="AK322" s="5">
        <v>727.95669999999996</v>
      </c>
      <c r="AL322" s="5">
        <v>1.2930999999999999</v>
      </c>
      <c r="AM322" s="8">
        <v>2.4299999999999999E-2</v>
      </c>
      <c r="AN322" s="8">
        <v>1.7744</v>
      </c>
      <c r="AO322" s="15">
        <v>676.95669999999996</v>
      </c>
      <c r="AP322" s="15">
        <v>1.0831</v>
      </c>
      <c r="AQ322" s="5">
        <v>103.6459</v>
      </c>
      <c r="AR322" s="5">
        <v>104.2218</v>
      </c>
      <c r="AS322" s="5">
        <v>-0.57589999999999997</v>
      </c>
      <c r="AT322" s="5">
        <v>-0.55249999999999999</v>
      </c>
      <c r="AU322" s="8">
        <v>1.3638999999999999</v>
      </c>
      <c r="AV322" s="8">
        <v>0.44569999999999999</v>
      </c>
      <c r="AW322" s="8">
        <v>0.44569999999999999</v>
      </c>
      <c r="AX322" s="5">
        <v>102.9924</v>
      </c>
      <c r="AY322" s="5">
        <v>-1.1796</v>
      </c>
      <c r="AZ322" s="7" t="s">
        <v>96</v>
      </c>
    </row>
    <row r="323" spans="1:52" ht="18" customHeight="1" x14ac:dyDescent="0.25">
      <c r="A323" s="10">
        <v>161</v>
      </c>
      <c r="B323" s="10">
        <v>2</v>
      </c>
      <c r="C323" s="10">
        <v>161</v>
      </c>
      <c r="D323" s="86">
        <v>45476</v>
      </c>
      <c r="E323" s="86">
        <v>45482</v>
      </c>
      <c r="F323" s="86">
        <v>45498</v>
      </c>
      <c r="G323" s="11">
        <v>24286.5</v>
      </c>
      <c r="H323" s="11">
        <v>24433.200000000001</v>
      </c>
      <c r="I323" s="12"/>
      <c r="J323" s="12"/>
      <c r="K323" s="91">
        <f t="array" ref="K323">MAX(IF((D323&lt;[1]Nifty_D!$B$2:$B$6600)*(E323&gt;=[1]Nifty_D!$B$2:$B$6600),[1]Nifty_D!$F$2:$F$6600,""))</f>
        <v>24433.200000000001</v>
      </c>
      <c r="L323" s="92">
        <f t="shared" si="16"/>
        <v>6.0403928108208049E-3</v>
      </c>
      <c r="M323" s="91">
        <f t="shared" si="17"/>
        <v>12809.300000000001</v>
      </c>
      <c r="N323" s="93">
        <f t="array" ref="N323">INDEX([1]Nifty_D!$B$2:$B$6600,MATCH(E323,[1]Nifty_D!$B$2:$B$6600,0)-1)</f>
        <v>45481</v>
      </c>
      <c r="O323" s="89">
        <f>VLOOKUP(N323,[1]Nifty_D!$B$2:$F$6600,5,0)</f>
        <v>24320.55</v>
      </c>
      <c r="P323" s="92">
        <f t="shared" si="18"/>
        <v>1.4020134642702686E-3</v>
      </c>
      <c r="Q323" s="12" t="s">
        <v>40</v>
      </c>
      <c r="R323" s="10">
        <v>24000</v>
      </c>
      <c r="S323" s="103">
        <f>MROUND(G323,500)</f>
        <v>24500</v>
      </c>
      <c r="T323" s="103">
        <f>S323-R323</f>
        <v>500</v>
      </c>
      <c r="U323" s="12" t="s">
        <v>92</v>
      </c>
      <c r="V323" s="10">
        <v>65</v>
      </c>
      <c r="W323" s="11">
        <v>163.30000000000001</v>
      </c>
      <c r="X323" s="11">
        <v>120.55</v>
      </c>
      <c r="Y323" s="13">
        <v>-0.19869999999999999</v>
      </c>
      <c r="Z323" s="13">
        <v>4.2000000000000003E-2</v>
      </c>
      <c r="AA323" s="10">
        <v>0</v>
      </c>
      <c r="AB323" s="14">
        <v>0</v>
      </c>
      <c r="AC323" s="11">
        <v>-42.75</v>
      </c>
      <c r="AD323" s="14">
        <v>-1.7602371687974799E-3</v>
      </c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 t="s">
        <v>96</v>
      </c>
    </row>
    <row r="324" spans="1:52" ht="18" hidden="1" customHeight="1" x14ac:dyDescent="0.25">
      <c r="A324" s="4">
        <v>162</v>
      </c>
      <c r="B324" s="4">
        <v>1</v>
      </c>
      <c r="C324" s="4">
        <v>162</v>
      </c>
      <c r="D324" s="85">
        <v>45482</v>
      </c>
      <c r="E324" s="85">
        <v>45483</v>
      </c>
      <c r="F324" s="85">
        <v>45484</v>
      </c>
      <c r="G324" s="5">
        <v>24433.200000000001</v>
      </c>
      <c r="H324" s="5">
        <v>24324.45</v>
      </c>
      <c r="I324" s="5">
        <v>-108.75</v>
      </c>
      <c r="J324" s="6">
        <v>-4.4509110554491428E-3</v>
      </c>
      <c r="K324" s="91">
        <f t="array" ref="K324">MAX(IF((D324&lt;[1]Nifty_D!$B$2:$B$6600)*(E324&gt;=[1]Nifty_D!$B$2:$B$6600),[1]Nifty_D!$F$2:$F$6600,""))</f>
        <v>24324.45</v>
      </c>
      <c r="L324" s="92">
        <f t="shared" si="16"/>
        <v>-4.4509110554491471E-3</v>
      </c>
      <c r="M324" s="91">
        <f t="shared" si="17"/>
        <v>12700.550000000001</v>
      </c>
      <c r="N324" s="93">
        <f t="array" ref="N324">INDEX([1]Nifty_D!$B$2:$B$6600,MATCH(E324,[1]Nifty_D!$B$2:$B$6600,0)-1)</f>
        <v>45482</v>
      </c>
      <c r="O324" s="89">
        <f>VLOOKUP(N324,[1]Nifty_D!$B$2:$F$6600,5,0)</f>
        <v>24433.200000000001</v>
      </c>
      <c r="P324" s="92">
        <f t="shared" si="18"/>
        <v>0</v>
      </c>
      <c r="Q324" s="7" t="s">
        <v>28</v>
      </c>
      <c r="R324" s="4">
        <v>24400</v>
      </c>
      <c r="S324" s="102"/>
      <c r="T324" s="102"/>
      <c r="U324" s="7" t="s">
        <v>90</v>
      </c>
      <c r="V324" s="4">
        <v>65</v>
      </c>
      <c r="W324" s="5">
        <v>112.05</v>
      </c>
      <c r="X324" s="5">
        <v>35.950000000000003</v>
      </c>
      <c r="Y324" s="8">
        <v>-3.2500000000000001E-2</v>
      </c>
      <c r="Z324" s="8">
        <v>0.38700000000000001</v>
      </c>
      <c r="AA324" s="5">
        <v>76.099999999999994</v>
      </c>
      <c r="AB324" s="6">
        <v>3.1146145408706182E-3</v>
      </c>
      <c r="AC324" s="4">
        <v>0</v>
      </c>
      <c r="AD324" s="6">
        <v>0</v>
      </c>
      <c r="AE324" s="5">
        <v>57077.55</v>
      </c>
      <c r="AF324" s="5">
        <v>56921.15</v>
      </c>
      <c r="AG324" s="5">
        <v>-156.4</v>
      </c>
      <c r="AH324" s="5">
        <v>-0.27400000000000002</v>
      </c>
      <c r="AI324" s="4">
        <v>1</v>
      </c>
      <c r="AJ324" s="5">
        <v>-1.6667000000000001E-2</v>
      </c>
      <c r="AK324" s="5">
        <v>-165.91290000000001</v>
      </c>
      <c r="AL324" s="5">
        <v>-0.29070000000000001</v>
      </c>
      <c r="AM324" s="8">
        <v>-2.3809999999999998</v>
      </c>
      <c r="AN324" s="8">
        <v>0.50139999999999996</v>
      </c>
      <c r="AO324" s="9">
        <v>-25.012899999999998</v>
      </c>
      <c r="AP324" s="9">
        <v>0.28599999999999998</v>
      </c>
      <c r="AQ324" s="5">
        <v>103.94240000000001</v>
      </c>
      <c r="AR324" s="5">
        <v>104.2218</v>
      </c>
      <c r="AS324" s="5">
        <v>-0.27939999999999998</v>
      </c>
      <c r="AT324" s="5">
        <v>-0.2681</v>
      </c>
      <c r="AU324" s="8">
        <v>0.41099999999999998</v>
      </c>
      <c r="AV324" s="8">
        <v>-1.3311999999999999</v>
      </c>
      <c r="AW324" s="8">
        <v>-1.3311999999999999</v>
      </c>
      <c r="AX324" s="5">
        <v>102.2662</v>
      </c>
      <c r="AY324" s="5">
        <v>-1.8764000000000001</v>
      </c>
      <c r="AZ324" s="7" t="s">
        <v>91</v>
      </c>
    </row>
    <row r="325" spans="1:52" ht="18" customHeight="1" x14ac:dyDescent="0.25">
      <c r="A325" s="10">
        <v>162</v>
      </c>
      <c r="B325" s="10">
        <v>2</v>
      </c>
      <c r="C325" s="10">
        <v>162</v>
      </c>
      <c r="D325" s="86">
        <v>45482</v>
      </c>
      <c r="E325" s="86">
        <v>45483</v>
      </c>
      <c r="F325" s="86">
        <v>45498</v>
      </c>
      <c r="G325" s="11">
        <v>24433.200000000001</v>
      </c>
      <c r="H325" s="11">
        <v>24324.45</v>
      </c>
      <c r="I325" s="12"/>
      <c r="J325" s="12"/>
      <c r="K325" s="91">
        <f t="array" ref="K325">MAX(IF((D325&lt;[1]Nifty_D!$B$2:$B$6600)*(E325&gt;=[1]Nifty_D!$B$2:$B$6600),[1]Nifty_D!$F$2:$F$6600,""))</f>
        <v>24324.45</v>
      </c>
      <c r="L325" s="92">
        <f t="shared" si="16"/>
        <v>-4.4509110554491471E-3</v>
      </c>
      <c r="M325" s="91">
        <f t="shared" si="17"/>
        <v>12700.550000000001</v>
      </c>
      <c r="N325" s="93">
        <f t="array" ref="N325">INDEX([1]Nifty_D!$B$2:$B$6600,MATCH(E325,[1]Nifty_D!$B$2:$B$6600,0)-1)</f>
        <v>45482</v>
      </c>
      <c r="O325" s="89">
        <f>VLOOKUP(N325,[1]Nifty_D!$B$2:$F$6600,5,0)</f>
        <v>24433.200000000001</v>
      </c>
      <c r="P325" s="92">
        <f t="shared" si="18"/>
        <v>0</v>
      </c>
      <c r="Q325" s="12" t="s">
        <v>40</v>
      </c>
      <c r="R325" s="10">
        <v>24500</v>
      </c>
      <c r="S325" s="103">
        <f>MROUND(G325,500)</f>
        <v>24500</v>
      </c>
      <c r="T325" s="103">
        <f>S325-R325</f>
        <v>0</v>
      </c>
      <c r="U325" s="12" t="s">
        <v>92</v>
      </c>
      <c r="V325" s="10">
        <v>65</v>
      </c>
      <c r="W325" s="10">
        <v>291</v>
      </c>
      <c r="X325" s="11">
        <v>355.8</v>
      </c>
      <c r="Y325" s="13">
        <v>-5.79E-2</v>
      </c>
      <c r="Z325" s="13">
        <v>0.66279999999999994</v>
      </c>
      <c r="AA325" s="10">
        <v>0</v>
      </c>
      <c r="AB325" s="14">
        <v>0</v>
      </c>
      <c r="AC325" s="11">
        <v>64.8</v>
      </c>
      <c r="AD325" s="14">
        <v>2.65212907028142E-3</v>
      </c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 t="s">
        <v>91</v>
      </c>
    </row>
    <row r="326" spans="1:52" ht="18" hidden="1" customHeight="1" x14ac:dyDescent="0.25">
      <c r="A326" s="4">
        <v>163</v>
      </c>
      <c r="B326" s="4">
        <v>1</v>
      </c>
      <c r="C326" s="4">
        <v>163</v>
      </c>
      <c r="D326" s="85">
        <v>45483</v>
      </c>
      <c r="E326" s="85">
        <v>45488</v>
      </c>
      <c r="F326" s="85">
        <v>45491</v>
      </c>
      <c r="G326" s="5">
        <v>24324.45</v>
      </c>
      <c r="H326" s="5">
        <v>24586.7</v>
      </c>
      <c r="I326" s="5">
        <v>262.25</v>
      </c>
      <c r="J326" s="6">
        <v>1.0781333185334099E-2</v>
      </c>
      <c r="K326" s="91">
        <f t="array" ref="K326">MAX(IF((D326&lt;[1]Nifty_D!$B$2:$B$6600)*(E326&gt;=[1]Nifty_D!$B$2:$B$6600),[1]Nifty_D!$F$2:$F$6600,""))</f>
        <v>24586.7</v>
      </c>
      <c r="L326" s="92">
        <f t="shared" si="16"/>
        <v>1.0781333185334141E-2</v>
      </c>
      <c r="M326" s="91">
        <f t="shared" si="17"/>
        <v>12962.800000000001</v>
      </c>
      <c r="N326" s="93">
        <f t="array" ref="N326">INDEX([1]Nifty_D!$B$2:$B$6600,MATCH(E326,[1]Nifty_D!$B$2:$B$6600,0)-1)</f>
        <v>45485</v>
      </c>
      <c r="O326" s="89">
        <f>VLOOKUP(N326,[1]Nifty_D!$B$2:$F$6600,5,0)</f>
        <v>24502.15</v>
      </c>
      <c r="P326" s="92">
        <f t="shared" si="18"/>
        <v>7.3054066998432532E-3</v>
      </c>
      <c r="Q326" s="7" t="s">
        <v>28</v>
      </c>
      <c r="R326" s="4">
        <v>24300</v>
      </c>
      <c r="S326" s="102"/>
      <c r="T326" s="102"/>
      <c r="U326" s="7" t="s">
        <v>90</v>
      </c>
      <c r="V326" s="4">
        <v>65</v>
      </c>
      <c r="W326" s="5">
        <v>175.5</v>
      </c>
      <c r="X326" s="5">
        <v>328.35</v>
      </c>
      <c r="Y326" s="8">
        <v>-0.7379</v>
      </c>
      <c r="Z326" s="8">
        <v>0.29389999999999999</v>
      </c>
      <c r="AA326" s="5">
        <v>-152.85</v>
      </c>
      <c r="AB326" s="6">
        <v>-6.2838008670288532E-3</v>
      </c>
      <c r="AC326" s="4">
        <v>0</v>
      </c>
      <c r="AD326" s="6">
        <v>0</v>
      </c>
      <c r="AE326" s="5">
        <v>56921.15</v>
      </c>
      <c r="AF326" s="5">
        <v>57664.45</v>
      </c>
      <c r="AG326" s="5">
        <v>743.3</v>
      </c>
      <c r="AH326" s="5">
        <v>1.3058000000000001</v>
      </c>
      <c r="AI326" s="4">
        <v>5</v>
      </c>
      <c r="AJ326" s="5">
        <v>-8.3333000000000004E-2</v>
      </c>
      <c r="AK326" s="5">
        <v>695.86569999999995</v>
      </c>
      <c r="AL326" s="5">
        <v>1.2224999999999999</v>
      </c>
      <c r="AM326" s="8">
        <v>-4.6100000000000002E-2</v>
      </c>
      <c r="AN326" s="8">
        <v>1.2622</v>
      </c>
      <c r="AO326" s="15">
        <v>374.46570000000003</v>
      </c>
      <c r="AP326" s="15">
        <v>-9.8799999999999999E-2</v>
      </c>
      <c r="AQ326" s="5">
        <v>103.83969999999999</v>
      </c>
      <c r="AR326" s="5">
        <v>104.2218</v>
      </c>
      <c r="AS326" s="5">
        <v>-0.3821</v>
      </c>
      <c r="AT326" s="5">
        <v>-0.36670000000000003</v>
      </c>
      <c r="AU326" s="8">
        <v>-0.20669999999999999</v>
      </c>
      <c r="AV326" s="8">
        <v>0.50349999999999995</v>
      </c>
      <c r="AW326" s="8">
        <v>-0.20669999999999999</v>
      </c>
      <c r="AX326" s="5">
        <v>103.72750000000001</v>
      </c>
      <c r="AY326" s="5">
        <v>-0.4743</v>
      </c>
      <c r="AZ326" s="7" t="s">
        <v>95</v>
      </c>
    </row>
    <row r="327" spans="1:52" ht="18" customHeight="1" x14ac:dyDescent="0.25">
      <c r="A327" s="10">
        <v>163</v>
      </c>
      <c r="B327" s="10">
        <v>2</v>
      </c>
      <c r="C327" s="10">
        <v>163</v>
      </c>
      <c r="D327" s="86">
        <v>45483</v>
      </c>
      <c r="E327" s="86">
        <v>45488</v>
      </c>
      <c r="F327" s="86">
        <v>45498</v>
      </c>
      <c r="G327" s="11">
        <v>24324.45</v>
      </c>
      <c r="H327" s="11">
        <v>24586.7</v>
      </c>
      <c r="I327" s="12"/>
      <c r="J327" s="12"/>
      <c r="K327" s="91">
        <f t="array" ref="K327">MAX(IF((D327&lt;[1]Nifty_D!$B$2:$B$6600)*(E327&gt;=[1]Nifty_D!$B$2:$B$6600),[1]Nifty_D!$F$2:$F$6600,""))</f>
        <v>24586.7</v>
      </c>
      <c r="L327" s="92">
        <f t="shared" si="16"/>
        <v>1.0781333185334141E-2</v>
      </c>
      <c r="M327" s="91">
        <f t="shared" si="17"/>
        <v>12962.800000000001</v>
      </c>
      <c r="N327" s="93">
        <f t="array" ref="N327">INDEX([1]Nifty_D!$B$2:$B$6600,MATCH(E327,[1]Nifty_D!$B$2:$B$6600,0)-1)</f>
        <v>45485</v>
      </c>
      <c r="O327" s="89">
        <f>VLOOKUP(N327,[1]Nifty_D!$B$2:$F$6600,5,0)</f>
        <v>24502.15</v>
      </c>
      <c r="P327" s="92">
        <f t="shared" si="18"/>
        <v>7.3054066998432532E-3</v>
      </c>
      <c r="Q327" s="12" t="s">
        <v>40</v>
      </c>
      <c r="R327" s="10">
        <v>24500</v>
      </c>
      <c r="S327" s="103">
        <f>MROUND(G327,500)</f>
        <v>24500</v>
      </c>
      <c r="T327" s="103">
        <f>S327-R327</f>
        <v>0</v>
      </c>
      <c r="U327" s="12" t="s">
        <v>92</v>
      </c>
      <c r="V327" s="10">
        <v>65</v>
      </c>
      <c r="W327" s="11">
        <v>355.8</v>
      </c>
      <c r="X327" s="11">
        <v>187.25</v>
      </c>
      <c r="Y327" s="13">
        <v>-0.73099999999999998</v>
      </c>
      <c r="Z327" s="13">
        <v>0.25569999999999998</v>
      </c>
      <c r="AA327" s="10">
        <v>0</v>
      </c>
      <c r="AB327" s="14">
        <v>0</v>
      </c>
      <c r="AC327" s="11">
        <v>-168.55</v>
      </c>
      <c r="AD327" s="14">
        <v>-6.9292419766942316E-3</v>
      </c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 t="s">
        <v>95</v>
      </c>
    </row>
    <row r="328" spans="1:52" ht="18" hidden="1" customHeight="1" x14ac:dyDescent="0.25">
      <c r="A328" s="4">
        <v>164</v>
      </c>
      <c r="B328" s="4">
        <v>1</v>
      </c>
      <c r="C328" s="4">
        <v>164</v>
      </c>
      <c r="D328" s="85">
        <v>45488</v>
      </c>
      <c r="E328" s="85">
        <v>45489</v>
      </c>
      <c r="F328" s="85">
        <v>45491</v>
      </c>
      <c r="G328" s="5">
        <v>24586.7</v>
      </c>
      <c r="H328" s="4">
        <v>24613</v>
      </c>
      <c r="I328" s="5">
        <v>26.3</v>
      </c>
      <c r="J328" s="6">
        <v>1.069684016155076E-3</v>
      </c>
      <c r="K328" s="91">
        <f t="array" ref="K328">MAX(IF((D328&lt;[1]Nifty_D!$B$2:$B$6600)*(E328&gt;=[1]Nifty_D!$B$2:$B$6600),[1]Nifty_D!$F$2:$F$6600,""))</f>
        <v>24613</v>
      </c>
      <c r="L328" s="92">
        <f t="shared" ref="L328:L391" si="19">K328/G328-1</f>
        <v>1.0696840161550369E-3</v>
      </c>
      <c r="M328" s="91">
        <f t="shared" ref="M328:M391" si="20">K328-$G$2</f>
        <v>12989.1</v>
      </c>
      <c r="N328" s="93">
        <f t="array" ref="N328">INDEX([1]Nifty_D!$B$2:$B$6600,MATCH(E328,[1]Nifty_D!$B$2:$B$6600,0)-1)</f>
        <v>45488</v>
      </c>
      <c r="O328" s="89">
        <f>VLOOKUP(N328,[1]Nifty_D!$B$2:$F$6600,5,0)</f>
        <v>24586.7</v>
      </c>
      <c r="P328" s="92">
        <f t="shared" ref="P328:P391" si="21">O328/G328-1</f>
        <v>0</v>
      </c>
      <c r="Q328" s="7" t="s">
        <v>28</v>
      </c>
      <c r="R328" s="4">
        <v>24600</v>
      </c>
      <c r="S328" s="102"/>
      <c r="T328" s="102"/>
      <c r="U328" s="7" t="s">
        <v>90</v>
      </c>
      <c r="V328" s="4">
        <v>65</v>
      </c>
      <c r="W328" s="5">
        <v>102.1</v>
      </c>
      <c r="X328" s="5">
        <v>88.4</v>
      </c>
      <c r="Y328" s="8">
        <v>-0.14480000000000001</v>
      </c>
      <c r="Z328" s="8">
        <v>9.8599999999999993E-2</v>
      </c>
      <c r="AA328" s="5">
        <v>13.7</v>
      </c>
      <c r="AB328" s="6">
        <v>5.5721182590587586E-4</v>
      </c>
      <c r="AC328" s="4">
        <v>0</v>
      </c>
      <c r="AD328" s="6">
        <v>0</v>
      </c>
      <c r="AE328" s="5">
        <v>57664.45</v>
      </c>
      <c r="AF328" s="4">
        <v>57664</v>
      </c>
      <c r="AG328" s="5">
        <v>-0.45</v>
      </c>
      <c r="AH328" s="5">
        <v>-8.0000000000000004E-4</v>
      </c>
      <c r="AI328" s="4">
        <v>1</v>
      </c>
      <c r="AJ328" s="5">
        <v>-1.6667000000000001E-2</v>
      </c>
      <c r="AK328" s="5">
        <v>-10.060700000000001</v>
      </c>
      <c r="AL328" s="5">
        <v>-1.7399999999999999E-2</v>
      </c>
      <c r="AM328" s="8">
        <v>-0.19689999999999999</v>
      </c>
      <c r="AN328" s="8">
        <v>0.4088</v>
      </c>
      <c r="AO328" s="9">
        <v>-11.3607</v>
      </c>
      <c r="AP328" s="9">
        <v>-2.2700000000000001E-2</v>
      </c>
      <c r="AQ328" s="5">
        <v>103.81610000000001</v>
      </c>
      <c r="AR328" s="5">
        <v>104.2218</v>
      </c>
      <c r="AS328" s="5">
        <v>-0.40570000000000001</v>
      </c>
      <c r="AT328" s="5">
        <v>-0.38929999999999998</v>
      </c>
      <c r="AU328" s="8">
        <v>0.17050000000000001</v>
      </c>
      <c r="AV328" s="8">
        <v>-8.3299999999999999E-2</v>
      </c>
      <c r="AW328" s="8">
        <v>-8.3299999999999999E-2</v>
      </c>
      <c r="AX328" s="5">
        <v>103.75320000000001</v>
      </c>
      <c r="AY328" s="5">
        <v>-0.44969999999999999</v>
      </c>
      <c r="AZ328" s="7" t="s">
        <v>91</v>
      </c>
    </row>
    <row r="329" spans="1:52" ht="18" customHeight="1" x14ac:dyDescent="0.25">
      <c r="A329" s="10">
        <v>164</v>
      </c>
      <c r="B329" s="10">
        <v>2</v>
      </c>
      <c r="C329" s="10">
        <v>164</v>
      </c>
      <c r="D329" s="86">
        <v>45488</v>
      </c>
      <c r="E329" s="86">
        <v>45489</v>
      </c>
      <c r="F329" s="86">
        <v>45498</v>
      </c>
      <c r="G329" s="11">
        <v>24586.7</v>
      </c>
      <c r="H329" s="10">
        <v>24613</v>
      </c>
      <c r="I329" s="12"/>
      <c r="J329" s="12"/>
      <c r="K329" s="91">
        <f t="array" ref="K329">MAX(IF((D329&lt;[1]Nifty_D!$B$2:$B$6600)*(E329&gt;=[1]Nifty_D!$B$2:$B$6600),[1]Nifty_D!$F$2:$F$6600,""))</f>
        <v>24613</v>
      </c>
      <c r="L329" s="92">
        <f t="shared" si="19"/>
        <v>1.0696840161550369E-3</v>
      </c>
      <c r="M329" s="91">
        <f t="shared" si="20"/>
        <v>12989.1</v>
      </c>
      <c r="N329" s="93">
        <f t="array" ref="N329">INDEX([1]Nifty_D!$B$2:$B$6600,MATCH(E329,[1]Nifty_D!$B$2:$B$6600,0)-1)</f>
        <v>45488</v>
      </c>
      <c r="O329" s="89">
        <f>VLOOKUP(N329,[1]Nifty_D!$B$2:$F$6600,5,0)</f>
        <v>24586.7</v>
      </c>
      <c r="P329" s="92">
        <f t="shared" si="21"/>
        <v>0</v>
      </c>
      <c r="Q329" s="12" t="s">
        <v>40</v>
      </c>
      <c r="R329" s="10">
        <v>24500</v>
      </c>
      <c r="S329" s="103">
        <f>MROUND(G329,500)</f>
        <v>24500</v>
      </c>
      <c r="T329" s="103">
        <f>S329-R329</f>
        <v>0</v>
      </c>
      <c r="U329" s="12" t="s">
        <v>92</v>
      </c>
      <c r="V329" s="10">
        <v>65</v>
      </c>
      <c r="W329" s="11">
        <v>187.25</v>
      </c>
      <c r="X329" s="11">
        <v>172.25</v>
      </c>
      <c r="Y329" s="13">
        <v>-9.35E-2</v>
      </c>
      <c r="Z329" s="13">
        <v>1.4999999999999999E-2</v>
      </c>
      <c r="AA329" s="10">
        <v>0</v>
      </c>
      <c r="AB329" s="14">
        <v>0</v>
      </c>
      <c r="AC329" s="10">
        <v>-15</v>
      </c>
      <c r="AD329" s="14">
        <v>-6.1008594077285687E-4</v>
      </c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 t="s">
        <v>91</v>
      </c>
    </row>
    <row r="330" spans="1:52" ht="18" hidden="1" customHeight="1" x14ac:dyDescent="0.25">
      <c r="A330" s="4">
        <v>165</v>
      </c>
      <c r="B330" s="4">
        <v>1</v>
      </c>
      <c r="C330" s="4">
        <v>165</v>
      </c>
      <c r="D330" s="85">
        <v>45489</v>
      </c>
      <c r="E330" s="85">
        <v>45491</v>
      </c>
      <c r="F330" s="85">
        <v>45498</v>
      </c>
      <c r="G330" s="4">
        <v>24613</v>
      </c>
      <c r="H330" s="5">
        <v>24800.85</v>
      </c>
      <c r="I330" s="5">
        <v>187.85</v>
      </c>
      <c r="J330" s="6">
        <v>7.6321456141063664E-3</v>
      </c>
      <c r="K330" s="91">
        <f t="array" ref="K330">MAX(IF((D330&lt;[1]Nifty_D!$B$2:$B$6600)*(E330&gt;=[1]Nifty_D!$B$2:$B$6600),[1]Nifty_D!$F$2:$F$6600,""))</f>
        <v>24800.85</v>
      </c>
      <c r="L330" s="92">
        <f t="shared" si="19"/>
        <v>7.6321456141064115E-3</v>
      </c>
      <c r="M330" s="91">
        <f t="shared" si="20"/>
        <v>13176.949999999999</v>
      </c>
      <c r="N330" s="93">
        <f t="array" ref="N330">INDEX([1]Nifty_D!$B$2:$B$6600,MATCH(E330,[1]Nifty_D!$B$2:$B$6600,0)-1)</f>
        <v>45489</v>
      </c>
      <c r="O330" s="89">
        <f>VLOOKUP(N330,[1]Nifty_D!$B$2:$F$6600,5,0)</f>
        <v>24613</v>
      </c>
      <c r="P330" s="92">
        <f t="shared" si="21"/>
        <v>0</v>
      </c>
      <c r="Q330" s="7" t="s">
        <v>28</v>
      </c>
      <c r="R330" s="4">
        <v>24600</v>
      </c>
      <c r="S330" s="102"/>
      <c r="T330" s="102"/>
      <c r="U330" s="7" t="s">
        <v>90</v>
      </c>
      <c r="V330" s="4">
        <v>65</v>
      </c>
      <c r="W330" s="5">
        <v>255.05</v>
      </c>
      <c r="X330" s="5">
        <v>350.65</v>
      </c>
      <c r="Y330" s="8">
        <v>-0.48899999999999999</v>
      </c>
      <c r="Z330" s="8">
        <v>0.24110000000000001</v>
      </c>
      <c r="AA330" s="5">
        <v>-95.6</v>
      </c>
      <c r="AB330" s="6">
        <v>-3.884126274732864E-3</v>
      </c>
      <c r="AC330" s="4">
        <v>0</v>
      </c>
      <c r="AD330" s="6">
        <v>0</v>
      </c>
      <c r="AE330" s="4">
        <v>57664</v>
      </c>
      <c r="AF330" s="5">
        <v>57111.1</v>
      </c>
      <c r="AG330" s="5">
        <v>-552.9</v>
      </c>
      <c r="AH330" s="5">
        <v>-0.95879999999999999</v>
      </c>
      <c r="AI330" s="4">
        <v>2</v>
      </c>
      <c r="AJ330" s="5">
        <v>-3.3333000000000002E-2</v>
      </c>
      <c r="AK330" s="5">
        <v>-572.12130000000002</v>
      </c>
      <c r="AL330" s="5">
        <v>-0.99219999999999997</v>
      </c>
      <c r="AM330" s="8">
        <v>-1.7150000000000001</v>
      </c>
      <c r="AN330" s="8">
        <v>-9.2700000000000005E-2</v>
      </c>
      <c r="AO330" s="9">
        <v>-724.87130000000002</v>
      </c>
      <c r="AP330" s="9">
        <v>-1.6128</v>
      </c>
      <c r="AQ330" s="5">
        <v>102.1417</v>
      </c>
      <c r="AR330" s="5">
        <v>104.2218</v>
      </c>
      <c r="AS330" s="5">
        <v>-2.0800999999999998</v>
      </c>
      <c r="AT330" s="5">
        <v>-1.9958</v>
      </c>
      <c r="AU330" s="8">
        <v>-0.84150000000000003</v>
      </c>
      <c r="AV330" s="8">
        <v>-1.2754000000000001</v>
      </c>
      <c r="AW330" s="8">
        <v>-1.6128</v>
      </c>
      <c r="AX330" s="5">
        <v>102.1417</v>
      </c>
      <c r="AY330" s="5">
        <v>-1.9958</v>
      </c>
      <c r="AZ330" s="7" t="s">
        <v>96</v>
      </c>
    </row>
    <row r="331" spans="1:52" ht="18" customHeight="1" x14ac:dyDescent="0.25">
      <c r="A331" s="10">
        <v>165</v>
      </c>
      <c r="B331" s="10">
        <v>2</v>
      </c>
      <c r="C331" s="10">
        <v>165</v>
      </c>
      <c r="D331" s="86">
        <v>45489</v>
      </c>
      <c r="E331" s="86">
        <v>45491</v>
      </c>
      <c r="F331" s="86">
        <v>45498</v>
      </c>
      <c r="G331" s="10">
        <v>24613</v>
      </c>
      <c r="H331" s="11">
        <v>24800.85</v>
      </c>
      <c r="I331" s="12"/>
      <c r="J331" s="12"/>
      <c r="K331" s="91">
        <f t="array" ref="K331">MAX(IF((D331&lt;[1]Nifty_D!$B$2:$B$6600)*(E331&gt;=[1]Nifty_D!$B$2:$B$6600),[1]Nifty_D!$F$2:$F$6600,""))</f>
        <v>24800.85</v>
      </c>
      <c r="L331" s="92">
        <f t="shared" si="19"/>
        <v>7.6321456141064115E-3</v>
      </c>
      <c r="M331" s="91">
        <f t="shared" si="20"/>
        <v>13176.949999999999</v>
      </c>
      <c r="N331" s="93">
        <f t="array" ref="N331">INDEX([1]Nifty_D!$B$2:$B$6600,MATCH(E331,[1]Nifty_D!$B$2:$B$6600,0)-1)</f>
        <v>45489</v>
      </c>
      <c r="O331" s="89">
        <f>VLOOKUP(N331,[1]Nifty_D!$B$2:$F$6600,5,0)</f>
        <v>24613</v>
      </c>
      <c r="P331" s="92">
        <f t="shared" si="21"/>
        <v>0</v>
      </c>
      <c r="Q331" s="12" t="s">
        <v>40</v>
      </c>
      <c r="R331" s="10">
        <v>24500</v>
      </c>
      <c r="S331" s="103">
        <f>MROUND(G331,500)</f>
        <v>24500</v>
      </c>
      <c r="T331" s="103">
        <f>S331-R331</f>
        <v>0</v>
      </c>
      <c r="U331" s="12" t="s">
        <v>92</v>
      </c>
      <c r="V331" s="10">
        <v>65</v>
      </c>
      <c r="W331" s="11">
        <v>172.25</v>
      </c>
      <c r="X331" s="11">
        <v>115.1</v>
      </c>
      <c r="Y331" s="13">
        <v>-0.25979999999999998</v>
      </c>
      <c r="Z331" s="13">
        <v>0.19850000000000001</v>
      </c>
      <c r="AA331" s="10">
        <v>0</v>
      </c>
      <c r="AB331" s="14">
        <v>0</v>
      </c>
      <c r="AC331" s="11">
        <v>-57.15</v>
      </c>
      <c r="AD331" s="14">
        <v>-2.321943688294803E-3</v>
      </c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 t="s">
        <v>96</v>
      </c>
    </row>
    <row r="332" spans="1:52" ht="18" hidden="1" customHeight="1" x14ac:dyDescent="0.25">
      <c r="A332" s="4">
        <v>166</v>
      </c>
      <c r="B332" s="4">
        <v>1</v>
      </c>
      <c r="C332" s="4">
        <v>166</v>
      </c>
      <c r="D332" s="85">
        <v>45491</v>
      </c>
      <c r="E332" s="85">
        <v>45497</v>
      </c>
      <c r="F332" s="85">
        <v>45498</v>
      </c>
      <c r="G332" s="5">
        <v>24800.85</v>
      </c>
      <c r="H332" s="5">
        <v>24413.5</v>
      </c>
      <c r="I332" s="5">
        <v>-387.35</v>
      </c>
      <c r="J332" s="6">
        <v>-1.5618416304279899E-2</v>
      </c>
      <c r="K332" s="91">
        <f t="array" ref="K332">MAX(IF((D332&lt;[1]Nifty_D!$B$2:$B$6600)*(E332&gt;=[1]Nifty_D!$B$2:$B$6600),[1]Nifty_D!$F$2:$F$6600,""))</f>
        <v>24530.9</v>
      </c>
      <c r="L332" s="92">
        <f t="shared" si="19"/>
        <v>-1.0884707580586794E-2</v>
      </c>
      <c r="M332" s="91">
        <f t="shared" si="20"/>
        <v>12907.000000000002</v>
      </c>
      <c r="N332" s="93">
        <f t="array" ref="N332">INDEX([1]Nifty_D!$B$2:$B$6600,MATCH(E332,[1]Nifty_D!$B$2:$B$6600,0)-1)</f>
        <v>45496</v>
      </c>
      <c r="O332" s="89">
        <f>VLOOKUP(N332,[1]Nifty_D!$B$2:$F$6600,5,0)</f>
        <v>24479.05</v>
      </c>
      <c r="P332" s="92">
        <f t="shared" si="21"/>
        <v>-1.2975361731553559E-2</v>
      </c>
      <c r="Q332" s="7" t="s">
        <v>28</v>
      </c>
      <c r="R332" s="4">
        <v>24800</v>
      </c>
      <c r="S332" s="102"/>
      <c r="T332" s="102"/>
      <c r="U332" s="7" t="s">
        <v>90</v>
      </c>
      <c r="V332" s="4">
        <v>65</v>
      </c>
      <c r="W332" s="5">
        <v>226.95</v>
      </c>
      <c r="X332" s="5">
        <v>3.35</v>
      </c>
      <c r="Y332" s="8">
        <v>-5.2600000000000001E-2</v>
      </c>
      <c r="Z332" s="8">
        <v>0.90339999999999998</v>
      </c>
      <c r="AA332" s="5">
        <v>223.6</v>
      </c>
      <c r="AB332" s="6">
        <v>9.0158200222976229E-3</v>
      </c>
      <c r="AC332" s="4">
        <v>0</v>
      </c>
      <c r="AD332" s="6">
        <v>0</v>
      </c>
      <c r="AE332" s="5">
        <v>57111.1</v>
      </c>
      <c r="AF332" s="5">
        <v>56872.75</v>
      </c>
      <c r="AG332" s="5">
        <v>-238.35</v>
      </c>
      <c r="AH332" s="5">
        <v>-0.4173</v>
      </c>
      <c r="AI332" s="4">
        <v>6</v>
      </c>
      <c r="AJ332" s="5">
        <v>-0.1</v>
      </c>
      <c r="AK332" s="5">
        <v>-295.46109999999999</v>
      </c>
      <c r="AL332" s="5">
        <v>-0.51729999999999998</v>
      </c>
      <c r="AM332" s="8">
        <v>-4.7859999999999996</v>
      </c>
      <c r="AN332" s="8">
        <v>-8.8999999999999996E-2</v>
      </c>
      <c r="AO332" s="15">
        <v>213.93889999999999</v>
      </c>
      <c r="AP332" s="15">
        <v>1.5367</v>
      </c>
      <c r="AQ332" s="5">
        <v>103.7114</v>
      </c>
      <c r="AR332" s="5">
        <v>104.2218</v>
      </c>
      <c r="AS332" s="5">
        <v>-0.51039999999999996</v>
      </c>
      <c r="AT332" s="5">
        <v>-0.48980000000000001</v>
      </c>
      <c r="AU332" s="8">
        <v>-0.20930000000000001</v>
      </c>
      <c r="AV332" s="8">
        <v>-1.4024000000000001</v>
      </c>
      <c r="AW332" s="8">
        <v>-1.4024000000000001</v>
      </c>
      <c r="AX332" s="5">
        <v>100.7093</v>
      </c>
      <c r="AY332" s="5">
        <v>-3.3702000000000001</v>
      </c>
      <c r="AZ332" s="7" t="s">
        <v>91</v>
      </c>
    </row>
    <row r="333" spans="1:52" ht="18" customHeight="1" x14ac:dyDescent="0.25">
      <c r="A333" s="10">
        <v>166</v>
      </c>
      <c r="B333" s="10">
        <v>2</v>
      </c>
      <c r="C333" s="10">
        <v>166</v>
      </c>
      <c r="D333" s="86">
        <v>45491</v>
      </c>
      <c r="E333" s="86">
        <v>45497</v>
      </c>
      <c r="F333" s="86">
        <v>45498</v>
      </c>
      <c r="G333" s="11">
        <v>24800.85</v>
      </c>
      <c r="H333" s="11">
        <v>24413.5</v>
      </c>
      <c r="I333" s="12"/>
      <c r="J333" s="12"/>
      <c r="K333" s="91">
        <f t="array" ref="K333">MAX(IF((D333&lt;[1]Nifty_D!$B$2:$B$6600)*(E333&gt;=[1]Nifty_D!$B$2:$B$6600),[1]Nifty_D!$F$2:$F$6600,""))</f>
        <v>24530.9</v>
      </c>
      <c r="L333" s="92">
        <f t="shared" si="19"/>
        <v>-1.0884707580586794E-2</v>
      </c>
      <c r="M333" s="91">
        <f t="shared" si="20"/>
        <v>12907.000000000002</v>
      </c>
      <c r="N333" s="93">
        <f t="array" ref="N333">INDEX([1]Nifty_D!$B$2:$B$6600,MATCH(E333,[1]Nifty_D!$B$2:$B$6600,0)-1)</f>
        <v>45496</v>
      </c>
      <c r="O333" s="89">
        <f>VLOOKUP(N333,[1]Nifty_D!$B$2:$F$6600,5,0)</f>
        <v>24479.05</v>
      </c>
      <c r="P333" s="92">
        <f t="shared" si="21"/>
        <v>-1.2975361731553559E-2</v>
      </c>
      <c r="Q333" s="12" t="s">
        <v>40</v>
      </c>
      <c r="R333" s="10">
        <v>25000</v>
      </c>
      <c r="S333" s="103">
        <f>MROUND(G333,500)</f>
        <v>25000</v>
      </c>
      <c r="T333" s="103">
        <f>S333-R333</f>
        <v>0</v>
      </c>
      <c r="U333" s="12" t="s">
        <v>92</v>
      </c>
      <c r="V333" s="10">
        <v>65</v>
      </c>
      <c r="W333" s="11">
        <v>325.75</v>
      </c>
      <c r="X333" s="11">
        <v>611.54999999999995</v>
      </c>
      <c r="Y333" s="13">
        <v>-6.7699999999999996E-2</v>
      </c>
      <c r="Z333" s="13">
        <v>2.4802</v>
      </c>
      <c r="AA333" s="10">
        <v>0</v>
      </c>
      <c r="AB333" s="14">
        <v>0</v>
      </c>
      <c r="AC333" s="11">
        <v>285.8</v>
      </c>
      <c r="AD333" s="14">
        <v>1.1523798579484171E-2</v>
      </c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 t="s">
        <v>91</v>
      </c>
    </row>
    <row r="334" spans="1:52" ht="18" hidden="1" customHeight="1" x14ac:dyDescent="0.25">
      <c r="A334" s="4">
        <v>167</v>
      </c>
      <c r="B334" s="4">
        <v>1</v>
      </c>
      <c r="C334" s="4">
        <v>167</v>
      </c>
      <c r="D334" s="85">
        <v>45497</v>
      </c>
      <c r="E334" s="85">
        <v>45499</v>
      </c>
      <c r="F334" s="85">
        <v>45505</v>
      </c>
      <c r="G334" s="5">
        <v>24413.5</v>
      </c>
      <c r="H334" s="5">
        <v>24834.85</v>
      </c>
      <c r="I334" s="5">
        <v>421.35</v>
      </c>
      <c r="J334" s="6">
        <v>1.7258893644909581E-2</v>
      </c>
      <c r="K334" s="91">
        <f t="array" ref="K334">MAX(IF((D334&lt;[1]Nifty_D!$B$2:$B$6600)*(E334&gt;=[1]Nifty_D!$B$2:$B$6600),[1]Nifty_D!$F$2:$F$6600,""))</f>
        <v>24834.85</v>
      </c>
      <c r="L334" s="92">
        <f t="shared" si="19"/>
        <v>1.7258893644909623E-2</v>
      </c>
      <c r="M334" s="91">
        <f t="shared" si="20"/>
        <v>13210.949999999999</v>
      </c>
      <c r="N334" s="93">
        <f t="array" ref="N334">INDEX([1]Nifty_D!$B$2:$B$6600,MATCH(E334,[1]Nifty_D!$B$2:$B$6600,0)-1)</f>
        <v>45498</v>
      </c>
      <c r="O334" s="89">
        <f>VLOOKUP(N334,[1]Nifty_D!$B$2:$F$6600,5,0)</f>
        <v>24406.1</v>
      </c>
      <c r="P334" s="92">
        <f t="shared" si="21"/>
        <v>-3.0311098367707956E-4</v>
      </c>
      <c r="Q334" s="7" t="s">
        <v>28</v>
      </c>
      <c r="R334" s="4">
        <v>24400</v>
      </c>
      <c r="S334" s="102"/>
      <c r="T334" s="102"/>
      <c r="U334" s="7" t="s">
        <v>90</v>
      </c>
      <c r="V334" s="4">
        <v>65</v>
      </c>
      <c r="W334" s="5">
        <v>188.85</v>
      </c>
      <c r="X334" s="5">
        <v>490.95</v>
      </c>
      <c r="Y334" s="8">
        <v>-1.3439000000000001</v>
      </c>
      <c r="Z334" s="8">
        <v>0.40100000000000002</v>
      </c>
      <c r="AA334" s="5">
        <v>-302.10000000000002</v>
      </c>
      <c r="AB334" s="6">
        <v>-1.237430110389743E-2</v>
      </c>
      <c r="AC334" s="4">
        <v>0</v>
      </c>
      <c r="AD334" s="6">
        <v>0</v>
      </c>
      <c r="AE334" s="5">
        <v>56872.75</v>
      </c>
      <c r="AF334" s="5">
        <v>57768.1</v>
      </c>
      <c r="AG334" s="5">
        <v>895.35</v>
      </c>
      <c r="AH334" s="5">
        <v>1.5743</v>
      </c>
      <c r="AI334" s="4">
        <v>2</v>
      </c>
      <c r="AJ334" s="5">
        <v>-3.3333000000000002E-2</v>
      </c>
      <c r="AK334" s="5">
        <v>876.39239999999995</v>
      </c>
      <c r="AL334" s="5">
        <v>1.5409999999999999</v>
      </c>
      <c r="AM334" s="8">
        <v>-0.98719999999999997</v>
      </c>
      <c r="AN334" s="8">
        <v>1.6203000000000001</v>
      </c>
      <c r="AO334" s="15">
        <v>420.8424</v>
      </c>
      <c r="AP334" s="15">
        <v>-0.32500000000000001</v>
      </c>
      <c r="AQ334" s="5">
        <v>103.37430000000001</v>
      </c>
      <c r="AR334" s="5">
        <v>104.2218</v>
      </c>
      <c r="AS334" s="5">
        <v>-0.84750000000000003</v>
      </c>
      <c r="AT334" s="5">
        <v>-0.81320000000000003</v>
      </c>
      <c r="AU334" s="8">
        <v>-0.38119999999999998</v>
      </c>
      <c r="AV334" s="8">
        <v>-0.16700000000000001</v>
      </c>
      <c r="AW334" s="8">
        <v>-0.38119999999999998</v>
      </c>
      <c r="AX334" s="5">
        <v>103.316</v>
      </c>
      <c r="AY334" s="5">
        <v>-0.86909999999999998</v>
      </c>
      <c r="AZ334" s="7" t="s">
        <v>97</v>
      </c>
    </row>
    <row r="335" spans="1:52" ht="18" customHeight="1" x14ac:dyDescent="0.25">
      <c r="A335" s="10">
        <v>167</v>
      </c>
      <c r="B335" s="10">
        <v>2</v>
      </c>
      <c r="C335" s="10">
        <v>167</v>
      </c>
      <c r="D335" s="86">
        <v>45497</v>
      </c>
      <c r="E335" s="86">
        <v>45499</v>
      </c>
      <c r="F335" s="86">
        <v>45533</v>
      </c>
      <c r="G335" s="11">
        <v>24413.5</v>
      </c>
      <c r="H335" s="11">
        <v>24834.85</v>
      </c>
      <c r="I335" s="12"/>
      <c r="J335" s="12"/>
      <c r="K335" s="91">
        <f t="array" ref="K335">MAX(IF((D335&lt;[1]Nifty_D!$B$2:$B$6600)*(E335&gt;=[1]Nifty_D!$B$2:$B$6600),[1]Nifty_D!$F$2:$F$6600,""))</f>
        <v>24834.85</v>
      </c>
      <c r="L335" s="92">
        <f t="shared" si="19"/>
        <v>1.7258893644909623E-2</v>
      </c>
      <c r="M335" s="91">
        <f t="shared" si="20"/>
        <v>13210.949999999999</v>
      </c>
      <c r="N335" s="93">
        <f t="array" ref="N335">INDEX([1]Nifty_D!$B$2:$B$6600,MATCH(E335,[1]Nifty_D!$B$2:$B$6600,0)-1)</f>
        <v>45498</v>
      </c>
      <c r="O335" s="89">
        <f>VLOOKUP(N335,[1]Nifty_D!$B$2:$F$6600,5,0)</f>
        <v>24406.1</v>
      </c>
      <c r="P335" s="92">
        <f t="shared" si="21"/>
        <v>-3.0311098367707956E-4</v>
      </c>
      <c r="Q335" s="12" t="s">
        <v>40</v>
      </c>
      <c r="R335" s="10">
        <v>24500</v>
      </c>
      <c r="S335" s="103">
        <f>MROUND(G335,500)</f>
        <v>24500</v>
      </c>
      <c r="T335" s="103">
        <f>S335-R335</f>
        <v>0</v>
      </c>
      <c r="U335" s="12" t="s">
        <v>92</v>
      </c>
      <c r="V335" s="10">
        <v>65</v>
      </c>
      <c r="W335" s="11">
        <v>357.1</v>
      </c>
      <c r="X335" s="11">
        <v>203.65</v>
      </c>
      <c r="Y335" s="13">
        <v>-0.65759999999999996</v>
      </c>
      <c r="Z335" s="13">
        <v>0.41920000000000002</v>
      </c>
      <c r="AA335" s="10">
        <v>0</v>
      </c>
      <c r="AB335" s="14">
        <v>0</v>
      </c>
      <c r="AC335" s="11">
        <v>-153.44999999999999</v>
      </c>
      <c r="AD335" s="14">
        <v>-6.2854568169250606E-3</v>
      </c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 t="s">
        <v>97</v>
      </c>
    </row>
    <row r="336" spans="1:52" ht="18" hidden="1" customHeight="1" x14ac:dyDescent="0.25">
      <c r="A336" s="4">
        <v>168</v>
      </c>
      <c r="B336" s="4">
        <v>1</v>
      </c>
      <c r="C336" s="4">
        <v>168</v>
      </c>
      <c r="D336" s="85">
        <v>45499</v>
      </c>
      <c r="E336" s="85">
        <v>45504</v>
      </c>
      <c r="F336" s="85">
        <v>45505</v>
      </c>
      <c r="G336" s="5">
        <v>24834.85</v>
      </c>
      <c r="H336" s="5">
        <v>24951.15</v>
      </c>
      <c r="I336" s="5">
        <v>116.3</v>
      </c>
      <c r="J336" s="6">
        <v>4.6829354717262232E-3</v>
      </c>
      <c r="K336" s="91">
        <f t="array" ref="K336">MAX(IF((D336&lt;[1]Nifty_D!$B$2:$B$6600)*(E336&gt;=[1]Nifty_D!$B$2:$B$6600),[1]Nifty_D!$F$2:$F$6600,""))</f>
        <v>24951.15</v>
      </c>
      <c r="L336" s="92">
        <f t="shared" si="19"/>
        <v>4.6829354717263794E-3</v>
      </c>
      <c r="M336" s="91">
        <f t="shared" si="20"/>
        <v>13327.250000000002</v>
      </c>
      <c r="N336" s="93">
        <f t="array" ref="N336">INDEX([1]Nifty_D!$B$2:$B$6600,MATCH(E336,[1]Nifty_D!$B$2:$B$6600,0)-1)</f>
        <v>45503</v>
      </c>
      <c r="O336" s="89">
        <f>VLOOKUP(N336,[1]Nifty_D!$B$2:$F$6600,5,0)</f>
        <v>24857.3</v>
      </c>
      <c r="P336" s="92">
        <f t="shared" si="21"/>
        <v>9.0397163663169522E-4</v>
      </c>
      <c r="Q336" s="7" t="s">
        <v>28</v>
      </c>
      <c r="R336" s="4">
        <v>24800</v>
      </c>
      <c r="S336" s="102"/>
      <c r="T336" s="102"/>
      <c r="U336" s="7" t="s">
        <v>90</v>
      </c>
      <c r="V336" s="4">
        <v>65</v>
      </c>
      <c r="W336" s="5">
        <v>175.6</v>
      </c>
      <c r="X336" s="5">
        <v>189.5</v>
      </c>
      <c r="Y336" s="8">
        <v>-0.40589999999999998</v>
      </c>
      <c r="Z336" s="8">
        <v>0.29620000000000002</v>
      </c>
      <c r="AA336" s="5">
        <v>-13.9</v>
      </c>
      <c r="AB336" s="6">
        <v>-5.5969736076521507E-4</v>
      </c>
      <c r="AC336" s="4">
        <v>0</v>
      </c>
      <c r="AD336" s="6">
        <v>0</v>
      </c>
      <c r="AE336" s="5">
        <v>57768.1</v>
      </c>
      <c r="AF336" s="5">
        <v>58990.9</v>
      </c>
      <c r="AG336" s="5">
        <v>1222.8</v>
      </c>
      <c r="AH336" s="5">
        <v>2.1166999999999998</v>
      </c>
      <c r="AI336" s="4">
        <v>5</v>
      </c>
      <c r="AJ336" s="5">
        <v>-8.3333000000000004E-2</v>
      </c>
      <c r="AK336" s="5">
        <v>1174.6599000000001</v>
      </c>
      <c r="AL336" s="5">
        <v>2.0333999999999999</v>
      </c>
      <c r="AM336" s="8">
        <v>0.4461</v>
      </c>
      <c r="AN336" s="8">
        <v>2.2481</v>
      </c>
      <c r="AO336" s="15">
        <v>1101.5599</v>
      </c>
      <c r="AP336" s="15">
        <v>1.7391000000000001</v>
      </c>
      <c r="AQ336" s="5">
        <v>105.1721</v>
      </c>
      <c r="AR336" s="5">
        <v>105.1721</v>
      </c>
      <c r="AS336" s="4">
        <v>0</v>
      </c>
      <c r="AT336" s="4">
        <v>0</v>
      </c>
      <c r="AU336" s="8">
        <v>1.5129999999999999</v>
      </c>
      <c r="AV336" s="8">
        <v>0.90280000000000005</v>
      </c>
      <c r="AW336" s="8">
        <v>0.90280000000000005</v>
      </c>
      <c r="AX336" s="5">
        <v>104.30759999999999</v>
      </c>
      <c r="AY336" s="5">
        <v>8.2299999999999998E-2</v>
      </c>
      <c r="AZ336" s="7" t="s">
        <v>91</v>
      </c>
    </row>
    <row r="337" spans="1:52" ht="18" customHeight="1" x14ac:dyDescent="0.25">
      <c r="A337" s="10">
        <v>168</v>
      </c>
      <c r="B337" s="10">
        <v>2</v>
      </c>
      <c r="C337" s="10">
        <v>168</v>
      </c>
      <c r="D337" s="86">
        <v>45499</v>
      </c>
      <c r="E337" s="86">
        <v>45504</v>
      </c>
      <c r="F337" s="86">
        <v>45533</v>
      </c>
      <c r="G337" s="11">
        <v>24834.85</v>
      </c>
      <c r="H337" s="11">
        <v>24951.15</v>
      </c>
      <c r="I337" s="12"/>
      <c r="J337" s="12"/>
      <c r="K337" s="91">
        <f t="array" ref="K337">MAX(IF((D337&lt;[1]Nifty_D!$B$2:$B$6600)*(E337&gt;=[1]Nifty_D!$B$2:$B$6600),[1]Nifty_D!$F$2:$F$6600,""))</f>
        <v>24951.15</v>
      </c>
      <c r="L337" s="92">
        <f t="shared" si="19"/>
        <v>4.6829354717263794E-3</v>
      </c>
      <c r="M337" s="91">
        <f t="shared" si="20"/>
        <v>13327.250000000002</v>
      </c>
      <c r="N337" s="93">
        <f t="array" ref="N337">INDEX([1]Nifty_D!$B$2:$B$6600,MATCH(E337,[1]Nifty_D!$B$2:$B$6600,0)-1)</f>
        <v>45503</v>
      </c>
      <c r="O337" s="89">
        <f>VLOOKUP(N337,[1]Nifty_D!$B$2:$F$6600,5,0)</f>
        <v>24857.3</v>
      </c>
      <c r="P337" s="92">
        <f t="shared" si="21"/>
        <v>9.0397163663169522E-4</v>
      </c>
      <c r="Q337" s="12" t="s">
        <v>40</v>
      </c>
      <c r="R337" s="10">
        <v>25000</v>
      </c>
      <c r="S337" s="103">
        <f>MROUND(G337,500)</f>
        <v>25000</v>
      </c>
      <c r="T337" s="103">
        <f>S337-R337</f>
        <v>0</v>
      </c>
      <c r="U337" s="12" t="s">
        <v>92</v>
      </c>
      <c r="V337" s="10">
        <v>65</v>
      </c>
      <c r="W337" s="11">
        <v>394.8</v>
      </c>
      <c r="X337" s="11">
        <v>335.6</v>
      </c>
      <c r="Y337" s="13">
        <v>-0.32919999999999999</v>
      </c>
      <c r="Z337" s="13">
        <v>0.1605</v>
      </c>
      <c r="AA337" s="10">
        <v>0</v>
      </c>
      <c r="AB337" s="14">
        <v>0</v>
      </c>
      <c r="AC337" s="11">
        <v>-59.2</v>
      </c>
      <c r="AD337" s="14">
        <v>-2.3837470328993329E-3</v>
      </c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 t="s">
        <v>91</v>
      </c>
    </row>
    <row r="338" spans="1:52" ht="18" hidden="1" customHeight="1" x14ac:dyDescent="0.25">
      <c r="A338" s="4">
        <v>169</v>
      </c>
      <c r="B338" s="4">
        <v>1</v>
      </c>
      <c r="C338" s="4">
        <v>169</v>
      </c>
      <c r="D338" s="85">
        <v>45504</v>
      </c>
      <c r="E338" s="85">
        <v>45511</v>
      </c>
      <c r="F338" s="85">
        <v>45512</v>
      </c>
      <c r="G338" s="5">
        <v>24951.15</v>
      </c>
      <c r="H338" s="5">
        <v>24297.5</v>
      </c>
      <c r="I338" s="5">
        <v>-653.65</v>
      </c>
      <c r="J338" s="6">
        <v>-2.619718930790765E-2</v>
      </c>
      <c r="K338" s="91">
        <f t="array" ref="K338">MAX(IF((D338&lt;[1]Nifty_D!$B$2:$B$6600)*(E338&gt;=[1]Nifty_D!$B$2:$B$6600),[1]Nifty_D!$F$2:$F$6600,""))</f>
        <v>25010.9</v>
      </c>
      <c r="L338" s="92">
        <f t="shared" si="19"/>
        <v>2.3946792031630526E-3</v>
      </c>
      <c r="M338" s="91">
        <f t="shared" si="20"/>
        <v>13387.000000000002</v>
      </c>
      <c r="N338" s="93">
        <f t="array" ref="N338">INDEX([1]Nifty_D!$B$2:$B$6600,MATCH(E338,[1]Nifty_D!$B$2:$B$6600,0)-1)</f>
        <v>45510</v>
      </c>
      <c r="O338" s="89">
        <f>VLOOKUP(N338,[1]Nifty_D!$B$2:$F$6600,5,0)</f>
        <v>23992.55</v>
      </c>
      <c r="P338" s="92">
        <f t="shared" si="21"/>
        <v>-3.8419070864469274E-2</v>
      </c>
      <c r="Q338" s="7" t="s">
        <v>28</v>
      </c>
      <c r="R338" s="4">
        <v>25000</v>
      </c>
      <c r="S338" s="102"/>
      <c r="T338" s="102"/>
      <c r="U338" s="7" t="s">
        <v>90</v>
      </c>
      <c r="V338" s="4">
        <v>65</v>
      </c>
      <c r="W338" s="5">
        <v>161.6</v>
      </c>
      <c r="X338" s="4">
        <v>1</v>
      </c>
      <c r="Y338" s="8">
        <v>-0.23730000000000001</v>
      </c>
      <c r="Z338" s="8">
        <v>0.64449999999999996</v>
      </c>
      <c r="AA338" s="5">
        <v>160.6</v>
      </c>
      <c r="AB338" s="6">
        <v>6.4365770715979018E-3</v>
      </c>
      <c r="AC338" s="4">
        <v>0</v>
      </c>
      <c r="AD338" s="6">
        <v>0</v>
      </c>
      <c r="AE338" s="5">
        <v>58990.9</v>
      </c>
      <c r="AF338" s="5">
        <v>56873.8</v>
      </c>
      <c r="AG338" s="5">
        <v>-2117.1</v>
      </c>
      <c r="AH338" s="5">
        <v>-3.5889000000000002</v>
      </c>
      <c r="AI338" s="4">
        <v>7</v>
      </c>
      <c r="AJ338" s="5">
        <v>-0.11666700000000001</v>
      </c>
      <c r="AK338" s="5">
        <v>-2185.9227000000001</v>
      </c>
      <c r="AL338" s="5">
        <v>-3.7054999999999998</v>
      </c>
      <c r="AM338" s="8">
        <v>-6.2450000000000001</v>
      </c>
      <c r="AN338" s="8">
        <v>0.4904</v>
      </c>
      <c r="AO338" s="9">
        <v>-1639.1226999999999</v>
      </c>
      <c r="AP338" s="9">
        <v>-1.514</v>
      </c>
      <c r="AQ338" s="5">
        <v>103.57980000000001</v>
      </c>
      <c r="AR338" s="5">
        <v>105.1721</v>
      </c>
      <c r="AS338" s="5">
        <v>-1.5923</v>
      </c>
      <c r="AT338" s="5">
        <v>-1.514</v>
      </c>
      <c r="AU338" s="8">
        <v>1.4E-3</v>
      </c>
      <c r="AV338" s="8">
        <v>-2.1497999999999999</v>
      </c>
      <c r="AW338" s="8">
        <v>-2.1497999999999999</v>
      </c>
      <c r="AX338" s="5">
        <v>102.9111</v>
      </c>
      <c r="AY338" s="5">
        <v>-2.1497999999999999</v>
      </c>
      <c r="AZ338" s="7" t="s">
        <v>91</v>
      </c>
    </row>
    <row r="339" spans="1:52" ht="18" customHeight="1" x14ac:dyDescent="0.25">
      <c r="A339" s="10">
        <v>169</v>
      </c>
      <c r="B339" s="10">
        <v>2</v>
      </c>
      <c r="C339" s="10">
        <v>169</v>
      </c>
      <c r="D339" s="86">
        <v>45504</v>
      </c>
      <c r="E339" s="86">
        <v>45511</v>
      </c>
      <c r="F339" s="86">
        <v>45533</v>
      </c>
      <c r="G339" s="11">
        <v>24951.15</v>
      </c>
      <c r="H339" s="11">
        <v>24297.5</v>
      </c>
      <c r="I339" s="12"/>
      <c r="J339" s="12"/>
      <c r="K339" s="91">
        <f t="array" ref="K339">MAX(IF((D339&lt;[1]Nifty_D!$B$2:$B$6600)*(E339&gt;=[1]Nifty_D!$B$2:$B$6600),[1]Nifty_D!$F$2:$F$6600,""))</f>
        <v>25010.9</v>
      </c>
      <c r="L339" s="92">
        <f t="shared" si="19"/>
        <v>2.3946792031630526E-3</v>
      </c>
      <c r="M339" s="91">
        <f t="shared" si="20"/>
        <v>13387.000000000002</v>
      </c>
      <c r="N339" s="93">
        <f t="array" ref="N339">INDEX([1]Nifty_D!$B$2:$B$6600,MATCH(E339,[1]Nifty_D!$B$2:$B$6600,0)-1)</f>
        <v>45510</v>
      </c>
      <c r="O339" s="89">
        <f>VLOOKUP(N339,[1]Nifty_D!$B$2:$F$6600,5,0)</f>
        <v>23992.55</v>
      </c>
      <c r="P339" s="92">
        <f t="shared" si="21"/>
        <v>-3.8419070864469274E-2</v>
      </c>
      <c r="Q339" s="12" t="s">
        <v>40</v>
      </c>
      <c r="R339" s="10">
        <v>25000</v>
      </c>
      <c r="S339" s="103">
        <f>MROUND(G339,500)</f>
        <v>25000</v>
      </c>
      <c r="T339" s="103">
        <f>S339-R339</f>
        <v>0</v>
      </c>
      <c r="U339" s="12" t="s">
        <v>92</v>
      </c>
      <c r="V339" s="10">
        <v>65</v>
      </c>
      <c r="W339" s="11">
        <v>335.6</v>
      </c>
      <c r="X339" s="11">
        <v>721.8</v>
      </c>
      <c r="Y339" s="13">
        <v>-0.25169999999999998</v>
      </c>
      <c r="Z339" s="13">
        <v>3.4506999999999999</v>
      </c>
      <c r="AA339" s="10">
        <v>0</v>
      </c>
      <c r="AB339" s="14">
        <v>0</v>
      </c>
      <c r="AC339" s="11">
        <v>386.2</v>
      </c>
      <c r="AD339" s="14">
        <v>1.547824448973294E-2</v>
      </c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 t="s">
        <v>91</v>
      </c>
    </row>
    <row r="340" spans="1:52" ht="18" hidden="1" customHeight="1" x14ac:dyDescent="0.25">
      <c r="A340" s="4">
        <v>170</v>
      </c>
      <c r="B340" s="4">
        <v>1</v>
      </c>
      <c r="C340" s="4">
        <v>170</v>
      </c>
      <c r="D340" s="85">
        <v>45511</v>
      </c>
      <c r="E340" s="85">
        <v>45517</v>
      </c>
      <c r="F340" s="85">
        <v>45518</v>
      </c>
      <c r="G340" s="5">
        <v>24297.5</v>
      </c>
      <c r="H340" s="4">
        <v>24139</v>
      </c>
      <c r="I340" s="5">
        <v>-158.5</v>
      </c>
      <c r="J340" s="6">
        <v>-6.5233048667558387E-3</v>
      </c>
      <c r="K340" s="91">
        <f t="array" ref="K340">MAX(IF((D340&lt;[1]Nifty_D!$B$2:$B$6600)*(E340&gt;=[1]Nifty_D!$B$2:$B$6600),[1]Nifty_D!$F$2:$F$6600,""))</f>
        <v>24367.5</v>
      </c>
      <c r="L340" s="92">
        <f t="shared" si="19"/>
        <v>2.8809548307437982E-3</v>
      </c>
      <c r="M340" s="91">
        <f t="shared" si="20"/>
        <v>12743.6</v>
      </c>
      <c r="N340" s="93">
        <f t="array" ref="N340">INDEX([1]Nifty_D!$B$2:$B$6600,MATCH(E340,[1]Nifty_D!$B$2:$B$6600,0)-1)</f>
        <v>45516</v>
      </c>
      <c r="O340" s="89">
        <f>VLOOKUP(N340,[1]Nifty_D!$B$2:$F$6600,5,0)</f>
        <v>24347</v>
      </c>
      <c r="P340" s="92">
        <f t="shared" si="21"/>
        <v>2.0372466303117953E-3</v>
      </c>
      <c r="Q340" s="7" t="s">
        <v>28</v>
      </c>
      <c r="R340" s="4">
        <v>24300</v>
      </c>
      <c r="S340" s="102"/>
      <c r="T340" s="102"/>
      <c r="U340" s="7" t="s">
        <v>90</v>
      </c>
      <c r="V340" s="4">
        <v>65</v>
      </c>
      <c r="W340" s="5">
        <v>218.35</v>
      </c>
      <c r="X340" s="5">
        <v>33.9</v>
      </c>
      <c r="Y340" s="8">
        <v>-0.18729999999999999</v>
      </c>
      <c r="Z340" s="8">
        <v>0.77700000000000002</v>
      </c>
      <c r="AA340" s="5">
        <v>184.45</v>
      </c>
      <c r="AB340" s="6">
        <v>7.5913159790101858E-3</v>
      </c>
      <c r="AC340" s="4">
        <v>0</v>
      </c>
      <c r="AD340" s="6">
        <v>0</v>
      </c>
      <c r="AE340" s="5">
        <v>56873.8</v>
      </c>
      <c r="AF340" s="5">
        <v>56881.5</v>
      </c>
      <c r="AG340" s="5">
        <v>7.7</v>
      </c>
      <c r="AH340" s="5">
        <v>1.35E-2</v>
      </c>
      <c r="AI340" s="4">
        <v>6</v>
      </c>
      <c r="AJ340" s="5">
        <v>-0.1</v>
      </c>
      <c r="AK340" s="5">
        <v>-49.1738</v>
      </c>
      <c r="AL340" s="5">
        <v>-8.6499999999999994E-2</v>
      </c>
      <c r="AM340" s="8">
        <v>-0.49099999999999999</v>
      </c>
      <c r="AN340" s="8">
        <v>1.2782</v>
      </c>
      <c r="AO340" s="15">
        <v>284.02620000000002</v>
      </c>
      <c r="AP340" s="15">
        <v>1.2847999999999999</v>
      </c>
      <c r="AQ340" s="5">
        <v>104.9106</v>
      </c>
      <c r="AR340" s="5">
        <v>105.1721</v>
      </c>
      <c r="AS340" s="5">
        <v>-0.26150000000000001</v>
      </c>
      <c r="AT340" s="5">
        <v>-0.2487</v>
      </c>
      <c r="AU340" s="8">
        <v>0.43159999999999998</v>
      </c>
      <c r="AV340" s="8">
        <v>1.1676</v>
      </c>
      <c r="AW340" s="8">
        <v>0.43159999999999998</v>
      </c>
      <c r="AX340" s="5">
        <v>104.02679999999999</v>
      </c>
      <c r="AY340" s="5">
        <v>-1.0889</v>
      </c>
      <c r="AZ340" s="7" t="s">
        <v>91</v>
      </c>
    </row>
    <row r="341" spans="1:52" ht="18" customHeight="1" x14ac:dyDescent="0.25">
      <c r="A341" s="10">
        <v>170</v>
      </c>
      <c r="B341" s="10">
        <v>2</v>
      </c>
      <c r="C341" s="10">
        <v>170</v>
      </c>
      <c r="D341" s="86">
        <v>45511</v>
      </c>
      <c r="E341" s="86">
        <v>45517</v>
      </c>
      <c r="F341" s="86">
        <v>45533</v>
      </c>
      <c r="G341" s="11">
        <v>24297.5</v>
      </c>
      <c r="H341" s="10">
        <v>24139</v>
      </c>
      <c r="I341" s="12"/>
      <c r="J341" s="12"/>
      <c r="K341" s="91">
        <f t="array" ref="K341">MAX(IF((D341&lt;[1]Nifty_D!$B$2:$B$6600)*(E341&gt;=[1]Nifty_D!$B$2:$B$6600),[1]Nifty_D!$F$2:$F$6600,""))</f>
        <v>24367.5</v>
      </c>
      <c r="L341" s="92">
        <f t="shared" si="19"/>
        <v>2.8809548307437982E-3</v>
      </c>
      <c r="M341" s="91">
        <f t="shared" si="20"/>
        <v>12743.6</v>
      </c>
      <c r="N341" s="93">
        <f t="array" ref="N341">INDEX([1]Nifty_D!$B$2:$B$6600,MATCH(E341,[1]Nifty_D!$B$2:$B$6600,0)-1)</f>
        <v>45516</v>
      </c>
      <c r="O341" s="89">
        <f>VLOOKUP(N341,[1]Nifty_D!$B$2:$F$6600,5,0)</f>
        <v>24347</v>
      </c>
      <c r="P341" s="92">
        <f t="shared" si="21"/>
        <v>2.0372466303117953E-3</v>
      </c>
      <c r="Q341" s="12" t="s">
        <v>40</v>
      </c>
      <c r="R341" s="10">
        <v>25000</v>
      </c>
      <c r="S341" s="103">
        <f>MROUND(G341,500)</f>
        <v>24500</v>
      </c>
      <c r="T341" s="103">
        <f>S341-R341</f>
        <v>-500</v>
      </c>
      <c r="U341" s="12" t="s">
        <v>92</v>
      </c>
      <c r="V341" s="10">
        <v>65</v>
      </c>
      <c r="W341" s="11">
        <v>721.8</v>
      </c>
      <c r="X341" s="11">
        <v>870.55</v>
      </c>
      <c r="Y341" s="13">
        <v>-0.6593</v>
      </c>
      <c r="Z341" s="13">
        <v>0.88160000000000005</v>
      </c>
      <c r="AA341" s="10">
        <v>0</v>
      </c>
      <c r="AB341" s="14">
        <v>0</v>
      </c>
      <c r="AC341" s="11">
        <v>148.75</v>
      </c>
      <c r="AD341" s="14">
        <v>6.122029015330795E-3</v>
      </c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 t="s">
        <v>91</v>
      </c>
    </row>
    <row r="342" spans="1:52" ht="18" hidden="1" customHeight="1" x14ac:dyDescent="0.25">
      <c r="A342" s="4">
        <v>171</v>
      </c>
      <c r="B342" s="4">
        <v>1</v>
      </c>
      <c r="C342" s="4">
        <v>171</v>
      </c>
      <c r="D342" s="85">
        <v>45517</v>
      </c>
      <c r="E342" s="85">
        <v>45520</v>
      </c>
      <c r="F342" s="85">
        <v>45526</v>
      </c>
      <c r="G342" s="4">
        <v>24139</v>
      </c>
      <c r="H342" s="5">
        <v>24541.15</v>
      </c>
      <c r="I342" s="5">
        <v>402.15</v>
      </c>
      <c r="J342" s="6">
        <v>1.6659762210530671E-2</v>
      </c>
      <c r="K342" s="91">
        <f t="array" ref="K342">MAX(IF((D342&lt;[1]Nifty_D!$B$2:$B$6600)*(E342&gt;=[1]Nifty_D!$B$2:$B$6600),[1]Nifty_D!$F$2:$F$6600,""))</f>
        <v>24541.15</v>
      </c>
      <c r="L342" s="92">
        <f t="shared" si="19"/>
        <v>1.6659762210530671E-2</v>
      </c>
      <c r="M342" s="91">
        <f t="shared" si="20"/>
        <v>12917.250000000002</v>
      </c>
      <c r="N342" s="93">
        <f t="array" ref="N342">INDEX([1]Nifty_D!$B$2:$B$6600,MATCH(E342,[1]Nifty_D!$B$2:$B$6600,0)-1)</f>
        <v>45518</v>
      </c>
      <c r="O342" s="89">
        <f>VLOOKUP(N342,[1]Nifty_D!$B$2:$F$6600,5,0)</f>
        <v>24143.75</v>
      </c>
      <c r="P342" s="92">
        <f t="shared" si="21"/>
        <v>1.9677699987563635E-4</v>
      </c>
      <c r="Q342" s="7" t="s">
        <v>28</v>
      </c>
      <c r="R342" s="4">
        <v>24100</v>
      </c>
      <c r="S342" s="102"/>
      <c r="T342" s="102"/>
      <c r="U342" s="7" t="s">
        <v>90</v>
      </c>
      <c r="V342" s="4">
        <v>65</v>
      </c>
      <c r="W342" s="5">
        <v>246.9</v>
      </c>
      <c r="X342" s="5">
        <v>490.85</v>
      </c>
      <c r="Y342" s="8">
        <v>-1.0996999999999999</v>
      </c>
      <c r="Z342" s="8">
        <v>0.18140000000000001</v>
      </c>
      <c r="AA342" s="5">
        <v>-243.95</v>
      </c>
      <c r="AB342" s="6">
        <v>-1.010605244624881E-2</v>
      </c>
      <c r="AC342" s="4">
        <v>0</v>
      </c>
      <c r="AD342" s="6">
        <v>0</v>
      </c>
      <c r="AE342" s="5">
        <v>56881.5</v>
      </c>
      <c r="AF342" s="4">
        <v>57656</v>
      </c>
      <c r="AG342" s="5">
        <v>774.5</v>
      </c>
      <c r="AH342" s="5">
        <v>1.3615999999999999</v>
      </c>
      <c r="AI342" s="4">
        <v>3</v>
      </c>
      <c r="AJ342" s="5">
        <v>-0.05</v>
      </c>
      <c r="AK342" s="5">
        <v>746.05930000000001</v>
      </c>
      <c r="AL342" s="5">
        <v>1.3116000000000001</v>
      </c>
      <c r="AM342" s="8">
        <v>-0.95599999999999996</v>
      </c>
      <c r="AN342" s="8">
        <v>1.3877999999999999</v>
      </c>
      <c r="AO342" s="15">
        <v>95.509299999999996</v>
      </c>
      <c r="AP342" s="15">
        <v>-1.3834</v>
      </c>
      <c r="AQ342" s="5">
        <v>103.4592</v>
      </c>
      <c r="AR342" s="5">
        <v>105.1721</v>
      </c>
      <c r="AS342" s="5">
        <v>-1.7128000000000001</v>
      </c>
      <c r="AT342" s="5">
        <v>-1.6286</v>
      </c>
      <c r="AU342" s="8">
        <v>-1.4540999999999999</v>
      </c>
      <c r="AV342" s="8">
        <v>-0.6522</v>
      </c>
      <c r="AW342" s="8">
        <v>-1.4540999999999999</v>
      </c>
      <c r="AX342" s="5">
        <v>103.38509999999999</v>
      </c>
      <c r="AY342" s="5">
        <v>-1.6991000000000001</v>
      </c>
      <c r="AZ342" s="7" t="s">
        <v>95</v>
      </c>
    </row>
    <row r="343" spans="1:52" ht="18" customHeight="1" x14ac:dyDescent="0.25">
      <c r="A343" s="10">
        <v>171</v>
      </c>
      <c r="B343" s="10">
        <v>2</v>
      </c>
      <c r="C343" s="10">
        <v>171</v>
      </c>
      <c r="D343" s="86">
        <v>45517</v>
      </c>
      <c r="E343" s="86">
        <v>45520</v>
      </c>
      <c r="F343" s="86">
        <v>45533</v>
      </c>
      <c r="G343" s="10">
        <v>24139</v>
      </c>
      <c r="H343" s="11">
        <v>24541.15</v>
      </c>
      <c r="I343" s="12"/>
      <c r="J343" s="12"/>
      <c r="K343" s="91">
        <f t="array" ref="K343">MAX(IF((D343&lt;[1]Nifty_D!$B$2:$B$6600)*(E343&gt;=[1]Nifty_D!$B$2:$B$6600),[1]Nifty_D!$F$2:$F$6600,""))</f>
        <v>24541.15</v>
      </c>
      <c r="L343" s="92">
        <f t="shared" si="19"/>
        <v>1.6659762210530671E-2</v>
      </c>
      <c r="M343" s="91">
        <f t="shared" si="20"/>
        <v>12917.250000000002</v>
      </c>
      <c r="N343" s="93">
        <f t="array" ref="N343">INDEX([1]Nifty_D!$B$2:$B$6600,MATCH(E343,[1]Nifty_D!$B$2:$B$6600,0)-1)</f>
        <v>45518</v>
      </c>
      <c r="O343" s="89">
        <f>VLOOKUP(N343,[1]Nifty_D!$B$2:$F$6600,5,0)</f>
        <v>24143.75</v>
      </c>
      <c r="P343" s="92">
        <f t="shared" si="21"/>
        <v>1.9677699987563635E-4</v>
      </c>
      <c r="Q343" s="12" t="s">
        <v>40</v>
      </c>
      <c r="R343" s="10">
        <v>25000</v>
      </c>
      <c r="S343" s="103">
        <f>MROUND(G343,500)</f>
        <v>24000</v>
      </c>
      <c r="T343" s="103">
        <f>S343-R343</f>
        <v>-1000</v>
      </c>
      <c r="U343" s="12" t="s">
        <v>92</v>
      </c>
      <c r="V343" s="10">
        <v>65</v>
      </c>
      <c r="W343" s="11">
        <v>870.55</v>
      </c>
      <c r="X343" s="11">
        <v>463.95</v>
      </c>
      <c r="Y343" s="13">
        <v>-1.7422</v>
      </c>
      <c r="Z343" s="13">
        <v>0.12239999999999999</v>
      </c>
      <c r="AA343" s="10">
        <v>0</v>
      </c>
      <c r="AB343" s="14">
        <v>0</v>
      </c>
      <c r="AC343" s="11">
        <v>-406.6</v>
      </c>
      <c r="AD343" s="14">
        <v>-1.6844111189361619E-2</v>
      </c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 t="s">
        <v>95</v>
      </c>
    </row>
    <row r="344" spans="1:52" ht="18" hidden="1" customHeight="1" x14ac:dyDescent="0.25">
      <c r="A344" s="4">
        <v>172</v>
      </c>
      <c r="B344" s="4">
        <v>1</v>
      </c>
      <c r="C344" s="4">
        <v>172</v>
      </c>
      <c r="D344" s="85">
        <v>45520</v>
      </c>
      <c r="E344" s="85">
        <v>45525</v>
      </c>
      <c r="F344" s="85">
        <v>45526</v>
      </c>
      <c r="G344" s="5">
        <v>24541.15</v>
      </c>
      <c r="H344" s="5">
        <v>24770.2</v>
      </c>
      <c r="I344" s="5">
        <v>229.05</v>
      </c>
      <c r="J344" s="6">
        <v>9.3333034515497432E-3</v>
      </c>
      <c r="K344" s="91">
        <f t="array" ref="K344">MAX(IF((D344&lt;[1]Nifty_D!$B$2:$B$6600)*(E344&gt;=[1]Nifty_D!$B$2:$B$6600),[1]Nifty_D!$F$2:$F$6600,""))</f>
        <v>24770.2</v>
      </c>
      <c r="L344" s="92">
        <f t="shared" si="19"/>
        <v>9.3333034515497015E-3</v>
      </c>
      <c r="M344" s="91">
        <f t="shared" si="20"/>
        <v>13146.300000000001</v>
      </c>
      <c r="N344" s="93">
        <f t="array" ref="N344">INDEX([1]Nifty_D!$B$2:$B$6600,MATCH(E344,[1]Nifty_D!$B$2:$B$6600,0)-1)</f>
        <v>45524</v>
      </c>
      <c r="O344" s="89">
        <f>VLOOKUP(N344,[1]Nifty_D!$B$2:$F$6600,5,0)</f>
        <v>24698.85</v>
      </c>
      <c r="P344" s="92">
        <f t="shared" si="21"/>
        <v>6.4259417345966519E-3</v>
      </c>
      <c r="Q344" s="7" t="s">
        <v>28</v>
      </c>
      <c r="R344" s="4">
        <v>24500</v>
      </c>
      <c r="S344" s="102"/>
      <c r="T344" s="102"/>
      <c r="U344" s="7" t="s">
        <v>90</v>
      </c>
      <c r="V344" s="4">
        <v>65</v>
      </c>
      <c r="W344" s="4">
        <v>170</v>
      </c>
      <c r="X344" s="5">
        <v>273.14999999999998</v>
      </c>
      <c r="Y344" s="8">
        <v>-0.48080000000000001</v>
      </c>
      <c r="Z344" s="8">
        <v>0.19359999999999999</v>
      </c>
      <c r="AA344" s="5">
        <v>-103.15</v>
      </c>
      <c r="AB344" s="6">
        <v>-4.2031445144176212E-3</v>
      </c>
      <c r="AC344" s="4">
        <v>0</v>
      </c>
      <c r="AD344" s="6">
        <v>0</v>
      </c>
      <c r="AE344" s="4">
        <v>57656</v>
      </c>
      <c r="AF344" s="5">
        <v>58444.05</v>
      </c>
      <c r="AG344" s="5">
        <v>788.05</v>
      </c>
      <c r="AH344" s="5">
        <v>1.3668</v>
      </c>
      <c r="AI344" s="4">
        <v>5</v>
      </c>
      <c r="AJ344" s="5">
        <v>-8.3333000000000004E-2</v>
      </c>
      <c r="AK344" s="5">
        <v>740.00329999999997</v>
      </c>
      <c r="AL344" s="5">
        <v>1.2835000000000001</v>
      </c>
      <c r="AM344" s="8">
        <v>-0.10680000000000001</v>
      </c>
      <c r="AN344" s="8">
        <v>1.3939999999999999</v>
      </c>
      <c r="AO344" s="15">
        <v>441.10329999999999</v>
      </c>
      <c r="AP344" s="15">
        <v>6.5500000000000003E-2</v>
      </c>
      <c r="AQ344" s="5">
        <v>103.527</v>
      </c>
      <c r="AR344" s="5">
        <v>105.1721</v>
      </c>
      <c r="AS344" s="5">
        <v>-1.6451</v>
      </c>
      <c r="AT344" s="5">
        <v>-1.5642</v>
      </c>
      <c r="AU344" s="8">
        <v>9.3600000000000003E-2</v>
      </c>
      <c r="AV344" s="8">
        <v>0.27510000000000001</v>
      </c>
      <c r="AW344" s="8">
        <v>6.5500000000000003E-2</v>
      </c>
      <c r="AX344" s="5">
        <v>103.527</v>
      </c>
      <c r="AY344" s="5">
        <v>-1.5642</v>
      </c>
      <c r="AZ344" s="7" t="s">
        <v>91</v>
      </c>
    </row>
    <row r="345" spans="1:52" ht="18" customHeight="1" x14ac:dyDescent="0.25">
      <c r="A345" s="10">
        <v>172</v>
      </c>
      <c r="B345" s="10">
        <v>2</v>
      </c>
      <c r="C345" s="10">
        <v>172</v>
      </c>
      <c r="D345" s="86">
        <v>45520</v>
      </c>
      <c r="E345" s="86">
        <v>45525</v>
      </c>
      <c r="F345" s="86">
        <v>45533</v>
      </c>
      <c r="G345" s="11">
        <v>24541.15</v>
      </c>
      <c r="H345" s="11">
        <v>24770.2</v>
      </c>
      <c r="I345" s="12"/>
      <c r="J345" s="12"/>
      <c r="K345" s="91">
        <f t="array" ref="K345">MAX(IF((D345&lt;[1]Nifty_D!$B$2:$B$6600)*(E345&gt;=[1]Nifty_D!$B$2:$B$6600),[1]Nifty_D!$F$2:$F$6600,""))</f>
        <v>24770.2</v>
      </c>
      <c r="L345" s="92">
        <f t="shared" si="19"/>
        <v>9.3333034515497015E-3</v>
      </c>
      <c r="M345" s="91">
        <f t="shared" si="20"/>
        <v>13146.300000000001</v>
      </c>
      <c r="N345" s="93">
        <f t="array" ref="N345">INDEX([1]Nifty_D!$B$2:$B$6600,MATCH(E345,[1]Nifty_D!$B$2:$B$6600,0)-1)</f>
        <v>45524</v>
      </c>
      <c r="O345" s="89">
        <f>VLOOKUP(N345,[1]Nifty_D!$B$2:$F$6600,5,0)</f>
        <v>24698.85</v>
      </c>
      <c r="P345" s="92">
        <f t="shared" si="21"/>
        <v>6.4259417345966519E-3</v>
      </c>
      <c r="Q345" s="12" t="s">
        <v>40</v>
      </c>
      <c r="R345" s="10">
        <v>25000</v>
      </c>
      <c r="S345" s="103">
        <f>MROUND(G345,500)</f>
        <v>24500</v>
      </c>
      <c r="T345" s="103">
        <f>S345-R345</f>
        <v>-500</v>
      </c>
      <c r="U345" s="12" t="s">
        <v>92</v>
      </c>
      <c r="V345" s="10">
        <v>65</v>
      </c>
      <c r="W345" s="11">
        <v>463.95</v>
      </c>
      <c r="X345" s="11">
        <v>268.2</v>
      </c>
      <c r="Y345" s="13">
        <v>-0.8196</v>
      </c>
      <c r="Z345" s="13">
        <v>0.1883</v>
      </c>
      <c r="AA345" s="10">
        <v>0</v>
      </c>
      <c r="AB345" s="14">
        <v>0</v>
      </c>
      <c r="AC345" s="11">
        <v>-195.75</v>
      </c>
      <c r="AD345" s="14">
        <v>-7.9763988240159883E-3</v>
      </c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 t="s">
        <v>91</v>
      </c>
    </row>
    <row r="346" spans="1:52" ht="18" hidden="1" customHeight="1" x14ac:dyDescent="0.25">
      <c r="A346" s="4">
        <v>173</v>
      </c>
      <c r="B346" s="4">
        <v>1</v>
      </c>
      <c r="C346" s="4">
        <v>173</v>
      </c>
      <c r="D346" s="85">
        <v>45525</v>
      </c>
      <c r="E346" s="85">
        <v>45532</v>
      </c>
      <c r="F346" s="85">
        <v>45533</v>
      </c>
      <c r="G346" s="5">
        <v>24770.2</v>
      </c>
      <c r="H346" s="5">
        <v>25052.35</v>
      </c>
      <c r="I346" s="5">
        <v>282.14999999999998</v>
      </c>
      <c r="J346" s="6">
        <v>1.1390703345148599E-2</v>
      </c>
      <c r="K346" s="91">
        <f t="array" ref="K346">MAX(IF((D346&lt;[1]Nifty_D!$B$2:$B$6600)*(E346&gt;=[1]Nifty_D!$B$2:$B$6600),[1]Nifty_D!$F$2:$F$6600,""))</f>
        <v>25052.35</v>
      </c>
      <c r="L346" s="92">
        <f t="shared" si="19"/>
        <v>1.1390703345148578E-2</v>
      </c>
      <c r="M346" s="91">
        <f t="shared" si="20"/>
        <v>13428.449999999999</v>
      </c>
      <c r="N346" s="93">
        <f t="array" ref="N346">INDEX([1]Nifty_D!$B$2:$B$6600,MATCH(E346,[1]Nifty_D!$B$2:$B$6600,0)-1)</f>
        <v>45531</v>
      </c>
      <c r="O346" s="89">
        <f>VLOOKUP(N346,[1]Nifty_D!$B$2:$F$6600,5,0)</f>
        <v>25017.75</v>
      </c>
      <c r="P346" s="92">
        <f t="shared" si="21"/>
        <v>9.9938635941574372E-3</v>
      </c>
      <c r="Q346" s="7" t="s">
        <v>28</v>
      </c>
      <c r="R346" s="4">
        <v>24800</v>
      </c>
      <c r="S346" s="102"/>
      <c r="T346" s="102"/>
      <c r="U346" s="7" t="s">
        <v>90</v>
      </c>
      <c r="V346" s="4">
        <v>65</v>
      </c>
      <c r="W346" s="5">
        <v>152.80000000000001</v>
      </c>
      <c r="X346" s="5">
        <v>251.6</v>
      </c>
      <c r="Y346" s="8">
        <v>-0.81630000000000003</v>
      </c>
      <c r="Z346" s="8">
        <v>8.4000000000000005E-2</v>
      </c>
      <c r="AA346" s="5">
        <v>-98.8</v>
      </c>
      <c r="AB346" s="6">
        <v>-3.9886637976277936E-3</v>
      </c>
      <c r="AC346" s="4">
        <v>0</v>
      </c>
      <c r="AD346" s="6">
        <v>0</v>
      </c>
      <c r="AE346" s="5">
        <v>58444.05</v>
      </c>
      <c r="AF346" s="5">
        <v>59146.400000000001</v>
      </c>
      <c r="AG346" s="5">
        <v>702.35</v>
      </c>
      <c r="AH346" s="5">
        <v>1.2017</v>
      </c>
      <c r="AI346" s="4">
        <v>7</v>
      </c>
      <c r="AJ346" s="5">
        <v>-0.11666700000000001</v>
      </c>
      <c r="AK346" s="5">
        <v>634.1653</v>
      </c>
      <c r="AL346" s="5">
        <v>1.0851</v>
      </c>
      <c r="AM346" s="8">
        <v>9.35E-2</v>
      </c>
      <c r="AN346" s="8">
        <v>1.5388999999999999</v>
      </c>
      <c r="AO346" s="15">
        <v>307.81529999999998</v>
      </c>
      <c r="AP346" s="15">
        <v>-0.2324</v>
      </c>
      <c r="AQ346" s="5">
        <v>103.2864</v>
      </c>
      <c r="AR346" s="5">
        <v>105.1721</v>
      </c>
      <c r="AS346" s="5">
        <v>-1.8856999999999999</v>
      </c>
      <c r="AT346" s="5">
        <v>-1.7928999999999999</v>
      </c>
      <c r="AU346" s="8">
        <v>-0.28199999999999997</v>
      </c>
      <c r="AV346" s="8">
        <v>0.1484</v>
      </c>
      <c r="AW346" s="8">
        <v>-0.28199999999999997</v>
      </c>
      <c r="AX346" s="5">
        <v>103.2351</v>
      </c>
      <c r="AY346" s="5">
        <v>-1.8418000000000001</v>
      </c>
      <c r="AZ346" s="7" t="s">
        <v>98</v>
      </c>
    </row>
    <row r="347" spans="1:52" ht="18" customHeight="1" x14ac:dyDescent="0.25">
      <c r="A347" s="10">
        <v>173</v>
      </c>
      <c r="B347" s="10">
        <v>2</v>
      </c>
      <c r="C347" s="10">
        <v>173</v>
      </c>
      <c r="D347" s="86">
        <v>45525</v>
      </c>
      <c r="E347" s="86">
        <v>45532</v>
      </c>
      <c r="F347" s="86">
        <v>45533</v>
      </c>
      <c r="G347" s="11">
        <v>24770.2</v>
      </c>
      <c r="H347" s="11">
        <v>25052.35</v>
      </c>
      <c r="I347" s="12"/>
      <c r="J347" s="12"/>
      <c r="K347" s="91">
        <f t="array" ref="K347">MAX(IF((D347&lt;[1]Nifty_D!$B$2:$B$6600)*(E347&gt;=[1]Nifty_D!$B$2:$B$6600),[1]Nifty_D!$F$2:$F$6600,""))</f>
        <v>25052.35</v>
      </c>
      <c r="L347" s="92">
        <f t="shared" si="19"/>
        <v>1.1390703345148578E-2</v>
      </c>
      <c r="M347" s="91">
        <f t="shared" si="20"/>
        <v>13428.449999999999</v>
      </c>
      <c r="N347" s="93">
        <f t="array" ref="N347">INDEX([1]Nifty_D!$B$2:$B$6600,MATCH(E347,[1]Nifty_D!$B$2:$B$6600,0)-1)</f>
        <v>45531</v>
      </c>
      <c r="O347" s="89">
        <f>VLOOKUP(N347,[1]Nifty_D!$B$2:$F$6600,5,0)</f>
        <v>25017.75</v>
      </c>
      <c r="P347" s="92">
        <f t="shared" si="21"/>
        <v>9.9938635941574372E-3</v>
      </c>
      <c r="Q347" s="12" t="s">
        <v>40</v>
      </c>
      <c r="R347" s="10">
        <v>25000</v>
      </c>
      <c r="S347" s="103">
        <f>MROUND(G347,500)</f>
        <v>25000</v>
      </c>
      <c r="T347" s="103">
        <f>S347-R347</f>
        <v>0</v>
      </c>
      <c r="U347" s="12" t="s">
        <v>92</v>
      </c>
      <c r="V347" s="10">
        <v>65</v>
      </c>
      <c r="W347" s="11">
        <v>268.2</v>
      </c>
      <c r="X347" s="11">
        <v>40.65</v>
      </c>
      <c r="Y347" s="13">
        <v>-1.0045999999999999</v>
      </c>
      <c r="Z347" s="13">
        <v>-2.9100000000000001E-2</v>
      </c>
      <c r="AA347" s="10">
        <v>0</v>
      </c>
      <c r="AB347" s="14">
        <v>0</v>
      </c>
      <c r="AC347" s="11">
        <v>-227.55</v>
      </c>
      <c r="AD347" s="14">
        <v>-9.1864417727753507E-3</v>
      </c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 t="s">
        <v>98</v>
      </c>
    </row>
    <row r="348" spans="1:52" ht="18" hidden="1" customHeight="1" x14ac:dyDescent="0.25">
      <c r="A348" s="4">
        <v>174</v>
      </c>
      <c r="B348" s="4">
        <v>1</v>
      </c>
      <c r="C348" s="4">
        <v>174</v>
      </c>
      <c r="D348" s="85">
        <v>45532</v>
      </c>
      <c r="E348" s="85">
        <v>45539</v>
      </c>
      <c r="F348" s="85">
        <v>45540</v>
      </c>
      <c r="G348" s="5">
        <v>25052.35</v>
      </c>
      <c r="H348" s="5">
        <v>25198.7</v>
      </c>
      <c r="I348" s="5">
        <v>146.35</v>
      </c>
      <c r="J348" s="6">
        <v>5.8417673391917323E-3</v>
      </c>
      <c r="K348" s="91">
        <f t="array" ref="K348">MAX(IF((D348&lt;[1]Nifty_D!$B$2:$B$6600)*(E348&gt;=[1]Nifty_D!$B$2:$B$6600),[1]Nifty_D!$F$2:$F$6600,""))</f>
        <v>25279.85</v>
      </c>
      <c r="L348" s="92">
        <f t="shared" si="19"/>
        <v>9.0809844186274802E-3</v>
      </c>
      <c r="M348" s="91">
        <f t="shared" si="20"/>
        <v>13655.949999999999</v>
      </c>
      <c r="N348" s="93">
        <f t="array" ref="N348">INDEX([1]Nifty_D!$B$2:$B$6600,MATCH(E348,[1]Nifty_D!$B$2:$B$6600,0)-1)</f>
        <v>45538</v>
      </c>
      <c r="O348" s="89">
        <f>VLOOKUP(N348,[1]Nifty_D!$B$2:$F$6600,5,0)</f>
        <v>25279.85</v>
      </c>
      <c r="P348" s="92">
        <f t="shared" si="21"/>
        <v>9.0809844186274802E-3</v>
      </c>
      <c r="Q348" s="7" t="s">
        <v>28</v>
      </c>
      <c r="R348" s="4">
        <v>25100</v>
      </c>
      <c r="S348" s="102"/>
      <c r="T348" s="102"/>
      <c r="U348" s="7" t="s">
        <v>90</v>
      </c>
      <c r="V348" s="4">
        <v>65</v>
      </c>
      <c r="W348" s="5">
        <v>147.4</v>
      </c>
      <c r="X348" s="5">
        <v>109.9</v>
      </c>
      <c r="Y348" s="8">
        <v>-0.80469999999999997</v>
      </c>
      <c r="Z348" s="8">
        <v>0.30320000000000003</v>
      </c>
      <c r="AA348" s="5">
        <v>37.5</v>
      </c>
      <c r="AB348" s="6">
        <v>1.4968655635100099E-3</v>
      </c>
      <c r="AC348" s="4">
        <v>0</v>
      </c>
      <c r="AD348" s="6">
        <v>0</v>
      </c>
      <c r="AE348" s="5">
        <v>59146.400000000001</v>
      </c>
      <c r="AF348" s="5">
        <v>59223.7</v>
      </c>
      <c r="AG348" s="5">
        <v>77.3</v>
      </c>
      <c r="AH348" s="5">
        <v>0.13070000000000001</v>
      </c>
      <c r="AI348" s="4">
        <v>7</v>
      </c>
      <c r="AJ348" s="5">
        <v>-0.11666700000000001</v>
      </c>
      <c r="AK348" s="5">
        <v>8.2958999999999996</v>
      </c>
      <c r="AL348" s="5">
        <v>1.4E-2</v>
      </c>
      <c r="AM348" s="8">
        <v>-1.0706</v>
      </c>
      <c r="AN348" s="8">
        <v>0.56459999999999999</v>
      </c>
      <c r="AO348" s="15">
        <v>2.7458999999999998</v>
      </c>
      <c r="AP348" s="15">
        <v>-8.2000000000000007E-3</v>
      </c>
      <c r="AQ348" s="5">
        <v>103.2779</v>
      </c>
      <c r="AR348" s="5">
        <v>105.1721</v>
      </c>
      <c r="AS348" s="5">
        <v>-1.8940999999999999</v>
      </c>
      <c r="AT348" s="5">
        <v>-1.8009999999999999</v>
      </c>
      <c r="AU348" s="8">
        <v>-0.68240000000000001</v>
      </c>
      <c r="AV348" s="8">
        <v>-0.70109999999999995</v>
      </c>
      <c r="AW348" s="8">
        <v>-0.70109999999999995</v>
      </c>
      <c r="AX348" s="5">
        <v>102.56229999999999</v>
      </c>
      <c r="AY348" s="5">
        <v>-2.4815</v>
      </c>
      <c r="AZ348" s="7" t="s">
        <v>91</v>
      </c>
    </row>
    <row r="349" spans="1:52" ht="18" customHeight="1" x14ac:dyDescent="0.25">
      <c r="A349" s="10">
        <v>174</v>
      </c>
      <c r="B349" s="10">
        <v>2</v>
      </c>
      <c r="C349" s="10">
        <v>174</v>
      </c>
      <c r="D349" s="86">
        <v>45532</v>
      </c>
      <c r="E349" s="86">
        <v>45539</v>
      </c>
      <c r="F349" s="86">
        <v>45561</v>
      </c>
      <c r="G349" s="11">
        <v>25052.35</v>
      </c>
      <c r="H349" s="11">
        <v>25198.7</v>
      </c>
      <c r="I349" s="12"/>
      <c r="J349" s="12"/>
      <c r="K349" s="91">
        <f t="array" ref="K349">MAX(IF((D349&lt;[1]Nifty_D!$B$2:$B$6600)*(E349&gt;=[1]Nifty_D!$B$2:$B$6600),[1]Nifty_D!$F$2:$F$6600,""))</f>
        <v>25279.85</v>
      </c>
      <c r="L349" s="92">
        <f t="shared" si="19"/>
        <v>9.0809844186274802E-3</v>
      </c>
      <c r="M349" s="91">
        <f t="shared" si="20"/>
        <v>13655.949999999999</v>
      </c>
      <c r="N349" s="93">
        <f t="array" ref="N349">INDEX([1]Nifty_D!$B$2:$B$6600,MATCH(E349,[1]Nifty_D!$B$2:$B$6600,0)-1)</f>
        <v>45538</v>
      </c>
      <c r="O349" s="89">
        <f>VLOOKUP(N349,[1]Nifty_D!$B$2:$F$6600,5,0)</f>
        <v>25279.85</v>
      </c>
      <c r="P349" s="92">
        <f t="shared" si="21"/>
        <v>9.0809844186274802E-3</v>
      </c>
      <c r="Q349" s="12" t="s">
        <v>40</v>
      </c>
      <c r="R349" s="10">
        <v>25000</v>
      </c>
      <c r="S349" s="103">
        <f>MROUND(G349,500)</f>
        <v>25000</v>
      </c>
      <c r="T349" s="103">
        <f>S349-R349</f>
        <v>0</v>
      </c>
      <c r="U349" s="12" t="s">
        <v>92</v>
      </c>
      <c r="V349" s="10">
        <v>65</v>
      </c>
      <c r="W349" s="11">
        <v>268.7</v>
      </c>
      <c r="X349" s="11">
        <v>225.65</v>
      </c>
      <c r="Y349" s="13">
        <v>-0.44230000000000003</v>
      </c>
      <c r="Z349" s="13">
        <v>6.6299999999999998E-2</v>
      </c>
      <c r="AA349" s="10">
        <v>0</v>
      </c>
      <c r="AB349" s="14">
        <v>0</v>
      </c>
      <c r="AC349" s="11">
        <v>-43.05</v>
      </c>
      <c r="AD349" s="14">
        <v>-1.718401666909491E-3</v>
      </c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 t="s">
        <v>91</v>
      </c>
    </row>
    <row r="350" spans="1:52" ht="18" hidden="1" customHeight="1" x14ac:dyDescent="0.25">
      <c r="A350" s="4">
        <v>175</v>
      </c>
      <c r="B350" s="4">
        <v>1</v>
      </c>
      <c r="C350" s="4">
        <v>175</v>
      </c>
      <c r="D350" s="85">
        <v>45539</v>
      </c>
      <c r="E350" s="85">
        <v>45546</v>
      </c>
      <c r="F350" s="85">
        <v>45547</v>
      </c>
      <c r="G350" s="5">
        <v>25198.7</v>
      </c>
      <c r="H350" s="5">
        <v>24918.45</v>
      </c>
      <c r="I350" s="5">
        <v>-280.25</v>
      </c>
      <c r="J350" s="6">
        <v>-1.112160547964776E-2</v>
      </c>
      <c r="K350" s="91">
        <f t="array" ref="K350">MAX(IF((D350&lt;[1]Nifty_D!$B$2:$B$6600)*(E350&gt;=[1]Nifty_D!$B$2:$B$6600),[1]Nifty_D!$F$2:$F$6600,""))</f>
        <v>25145.1</v>
      </c>
      <c r="L350" s="92">
        <f t="shared" si="19"/>
        <v>-2.127093858016571E-3</v>
      </c>
      <c r="M350" s="91">
        <f t="shared" si="20"/>
        <v>13521.199999999999</v>
      </c>
      <c r="N350" s="93">
        <f t="array" ref="N350">INDEX([1]Nifty_D!$B$2:$B$6600,MATCH(E350,[1]Nifty_D!$B$2:$B$6600,0)-1)</f>
        <v>45545</v>
      </c>
      <c r="O350" s="89">
        <f>VLOOKUP(N350,[1]Nifty_D!$B$2:$F$6600,5,0)</f>
        <v>25041.1</v>
      </c>
      <c r="P350" s="92">
        <f t="shared" si="21"/>
        <v>-6.2542908959589694E-3</v>
      </c>
      <c r="Q350" s="7" t="s">
        <v>28</v>
      </c>
      <c r="R350" s="4">
        <v>25200</v>
      </c>
      <c r="S350" s="102"/>
      <c r="T350" s="102"/>
      <c r="U350" s="7" t="s">
        <v>90</v>
      </c>
      <c r="V350" s="4">
        <v>65</v>
      </c>
      <c r="W350" s="4">
        <v>159</v>
      </c>
      <c r="X350" s="5">
        <v>5.2</v>
      </c>
      <c r="Y350" s="8">
        <v>-0.127</v>
      </c>
      <c r="Z350" s="8">
        <v>0.61309999999999998</v>
      </c>
      <c r="AA350" s="5">
        <v>153.80000000000001</v>
      </c>
      <c r="AB350" s="6">
        <v>6.1034894657264072E-3</v>
      </c>
      <c r="AC350" s="4">
        <v>0</v>
      </c>
      <c r="AD350" s="6">
        <v>0</v>
      </c>
      <c r="AE350" s="5">
        <v>59223.7</v>
      </c>
      <c r="AF350" s="5">
        <v>58938.05</v>
      </c>
      <c r="AG350" s="5">
        <v>-285.64999999999998</v>
      </c>
      <c r="AH350" s="5">
        <v>-0.48230000000000001</v>
      </c>
      <c r="AI350" s="4">
        <v>7</v>
      </c>
      <c r="AJ350" s="5">
        <v>-0.11666700000000001</v>
      </c>
      <c r="AK350" s="5">
        <v>-354.74430000000001</v>
      </c>
      <c r="AL350" s="5">
        <v>-0.59899999999999998</v>
      </c>
      <c r="AM350" s="8">
        <v>-2.5</v>
      </c>
      <c r="AN350" s="8">
        <v>0.61419999999999997</v>
      </c>
      <c r="AO350" s="9">
        <v>-139.04429999999999</v>
      </c>
      <c r="AP350" s="9">
        <v>0.25700000000000001</v>
      </c>
      <c r="AQ350" s="5">
        <v>103.54340000000001</v>
      </c>
      <c r="AR350" s="5">
        <v>105.1721</v>
      </c>
      <c r="AS350" s="5">
        <v>-1.6287</v>
      </c>
      <c r="AT350" s="5">
        <v>-1.5486</v>
      </c>
      <c r="AU350" s="8">
        <v>0.30009999999999998</v>
      </c>
      <c r="AV350" s="8">
        <v>-1.1501999999999999</v>
      </c>
      <c r="AW350" s="8">
        <v>-1.1501999999999999</v>
      </c>
      <c r="AX350" s="5">
        <v>102.09</v>
      </c>
      <c r="AY350" s="5">
        <v>-2.9304999999999999</v>
      </c>
      <c r="AZ350" s="7" t="s">
        <v>91</v>
      </c>
    </row>
    <row r="351" spans="1:52" ht="18" customHeight="1" x14ac:dyDescent="0.25">
      <c r="A351" s="10">
        <v>175</v>
      </c>
      <c r="B351" s="10">
        <v>2</v>
      </c>
      <c r="C351" s="10">
        <v>175</v>
      </c>
      <c r="D351" s="86">
        <v>45539</v>
      </c>
      <c r="E351" s="86">
        <v>45546</v>
      </c>
      <c r="F351" s="86">
        <v>45561</v>
      </c>
      <c r="G351" s="11">
        <v>25198.7</v>
      </c>
      <c r="H351" s="11">
        <v>24918.45</v>
      </c>
      <c r="I351" s="12"/>
      <c r="J351" s="12"/>
      <c r="K351" s="91">
        <f t="array" ref="K351">MAX(IF((D351&lt;[1]Nifty_D!$B$2:$B$6600)*(E351&gt;=[1]Nifty_D!$B$2:$B$6600),[1]Nifty_D!$F$2:$F$6600,""))</f>
        <v>25145.1</v>
      </c>
      <c r="L351" s="92">
        <f t="shared" si="19"/>
        <v>-2.127093858016571E-3</v>
      </c>
      <c r="M351" s="91">
        <f t="shared" si="20"/>
        <v>13521.199999999999</v>
      </c>
      <c r="N351" s="93">
        <f t="array" ref="N351">INDEX([1]Nifty_D!$B$2:$B$6600,MATCH(E351,[1]Nifty_D!$B$2:$B$6600,0)-1)</f>
        <v>45545</v>
      </c>
      <c r="O351" s="89">
        <f>VLOOKUP(N351,[1]Nifty_D!$B$2:$F$6600,5,0)</f>
        <v>25041.1</v>
      </c>
      <c r="P351" s="92">
        <f t="shared" si="21"/>
        <v>-6.2542908959589694E-3</v>
      </c>
      <c r="Q351" s="12" t="s">
        <v>40</v>
      </c>
      <c r="R351" s="10">
        <v>25000</v>
      </c>
      <c r="S351" s="103">
        <f>MROUND(G351,500)</f>
        <v>25000</v>
      </c>
      <c r="T351" s="103">
        <f>S351-R351</f>
        <v>0</v>
      </c>
      <c r="U351" s="12" t="s">
        <v>92</v>
      </c>
      <c r="V351" s="10">
        <v>65</v>
      </c>
      <c r="W351" s="11">
        <v>225.65</v>
      </c>
      <c r="X351" s="11">
        <v>287.55</v>
      </c>
      <c r="Y351" s="13">
        <v>-0.18709999999999999</v>
      </c>
      <c r="Z351" s="13">
        <v>0.73670000000000002</v>
      </c>
      <c r="AA351" s="10">
        <v>0</v>
      </c>
      <c r="AB351" s="14">
        <v>0</v>
      </c>
      <c r="AC351" s="11">
        <v>61.9</v>
      </c>
      <c r="AD351" s="14">
        <v>2.456475929313813E-3</v>
      </c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 t="s">
        <v>91</v>
      </c>
    </row>
    <row r="352" spans="1:52" ht="18" hidden="1" customHeight="1" x14ac:dyDescent="0.25">
      <c r="A352" s="4">
        <v>176</v>
      </c>
      <c r="B352" s="4">
        <v>1</v>
      </c>
      <c r="C352" s="4">
        <v>176</v>
      </c>
      <c r="D352" s="85">
        <v>45546</v>
      </c>
      <c r="E352" s="85">
        <v>45547</v>
      </c>
      <c r="F352" s="85">
        <v>45554</v>
      </c>
      <c r="G352" s="5">
        <v>24918.45</v>
      </c>
      <c r="H352" s="5">
        <v>25388.9</v>
      </c>
      <c r="I352" s="5">
        <v>470.45</v>
      </c>
      <c r="J352" s="6">
        <v>1.8879585206945049E-2</v>
      </c>
      <c r="K352" s="91">
        <f t="array" ref="K352">MAX(IF((D352&lt;[1]Nifty_D!$B$2:$B$6600)*(E352&gt;=[1]Nifty_D!$B$2:$B$6600),[1]Nifty_D!$F$2:$F$6600,""))</f>
        <v>25388.9</v>
      </c>
      <c r="L352" s="92">
        <f t="shared" si="19"/>
        <v>1.8879585206944993E-2</v>
      </c>
      <c r="M352" s="91">
        <f t="shared" si="20"/>
        <v>13765.000000000002</v>
      </c>
      <c r="N352" s="93">
        <f t="array" ref="N352">INDEX([1]Nifty_D!$B$2:$B$6600,MATCH(E352,[1]Nifty_D!$B$2:$B$6600,0)-1)</f>
        <v>45546</v>
      </c>
      <c r="O352" s="89">
        <f>VLOOKUP(N352,[1]Nifty_D!$B$2:$F$6600,5,0)</f>
        <v>24918.45</v>
      </c>
      <c r="P352" s="92">
        <f t="shared" si="21"/>
        <v>0</v>
      </c>
      <c r="Q352" s="7" t="s">
        <v>28</v>
      </c>
      <c r="R352" s="4">
        <v>24900</v>
      </c>
      <c r="S352" s="102"/>
      <c r="T352" s="102"/>
      <c r="U352" s="7" t="s">
        <v>90</v>
      </c>
      <c r="V352" s="4">
        <v>65</v>
      </c>
      <c r="W352" s="5">
        <v>173.8</v>
      </c>
      <c r="X352" s="5">
        <v>473.5</v>
      </c>
      <c r="Y352" s="8">
        <v>-1.4442999999999999</v>
      </c>
      <c r="Z352" s="8">
        <v>-4.4900000000000002E-2</v>
      </c>
      <c r="AA352" s="5">
        <v>-299.7</v>
      </c>
      <c r="AB352" s="6">
        <v>-1.2027232833502891E-2</v>
      </c>
      <c r="AC352" s="4">
        <v>0</v>
      </c>
      <c r="AD352" s="6">
        <v>0</v>
      </c>
      <c r="AE352" s="5">
        <v>58938.05</v>
      </c>
      <c r="AF352" s="5">
        <v>59640.3</v>
      </c>
      <c r="AG352" s="5">
        <v>702.25</v>
      </c>
      <c r="AH352" s="5">
        <v>1.1915</v>
      </c>
      <c r="AI352" s="4">
        <v>1</v>
      </c>
      <c r="AJ352" s="5">
        <v>-1.6667000000000001E-2</v>
      </c>
      <c r="AK352" s="5">
        <v>692.42700000000002</v>
      </c>
      <c r="AL352" s="5">
        <v>1.1748000000000001</v>
      </c>
      <c r="AM352" s="8">
        <v>0.4229</v>
      </c>
      <c r="AN352" s="8">
        <v>1.2721</v>
      </c>
      <c r="AO352" s="15">
        <v>224.977</v>
      </c>
      <c r="AP352" s="15">
        <v>-0.70109999999999995</v>
      </c>
      <c r="AQ352" s="5">
        <v>102.81740000000001</v>
      </c>
      <c r="AR352" s="5">
        <v>105.1721</v>
      </c>
      <c r="AS352" s="5">
        <v>-2.3546999999999998</v>
      </c>
      <c r="AT352" s="5">
        <v>-2.2389000000000001</v>
      </c>
      <c r="AU352" s="8">
        <v>-0.87670000000000003</v>
      </c>
      <c r="AV352" s="8">
        <v>0.25319999999999998</v>
      </c>
      <c r="AW352" s="8">
        <v>-0.87670000000000003</v>
      </c>
      <c r="AX352" s="5">
        <v>102.6356</v>
      </c>
      <c r="AY352" s="5">
        <v>-2.4117000000000002</v>
      </c>
      <c r="AZ352" s="7" t="s">
        <v>97</v>
      </c>
    </row>
    <row r="353" spans="1:52" ht="18" customHeight="1" x14ac:dyDescent="0.25">
      <c r="A353" s="10">
        <v>176</v>
      </c>
      <c r="B353" s="10">
        <v>2</v>
      </c>
      <c r="C353" s="10">
        <v>176</v>
      </c>
      <c r="D353" s="86">
        <v>45546</v>
      </c>
      <c r="E353" s="86">
        <v>45547</v>
      </c>
      <c r="F353" s="86">
        <v>45561</v>
      </c>
      <c r="G353" s="11">
        <v>24918.45</v>
      </c>
      <c r="H353" s="11">
        <v>25388.9</v>
      </c>
      <c r="I353" s="12"/>
      <c r="J353" s="12"/>
      <c r="K353" s="91">
        <f t="array" ref="K353">MAX(IF((D353&lt;[1]Nifty_D!$B$2:$B$6600)*(E353&gt;=[1]Nifty_D!$B$2:$B$6600),[1]Nifty_D!$F$2:$F$6600,""))</f>
        <v>25388.9</v>
      </c>
      <c r="L353" s="92">
        <f t="shared" si="19"/>
        <v>1.8879585206944993E-2</v>
      </c>
      <c r="M353" s="91">
        <f t="shared" si="20"/>
        <v>13765.000000000002</v>
      </c>
      <c r="N353" s="93">
        <f t="array" ref="N353">INDEX([1]Nifty_D!$B$2:$B$6600,MATCH(E353,[1]Nifty_D!$B$2:$B$6600,0)-1)</f>
        <v>45546</v>
      </c>
      <c r="O353" s="89">
        <f>VLOOKUP(N353,[1]Nifty_D!$B$2:$F$6600,5,0)</f>
        <v>24918.45</v>
      </c>
      <c r="P353" s="92">
        <f t="shared" si="21"/>
        <v>0</v>
      </c>
      <c r="Q353" s="12" t="s">
        <v>40</v>
      </c>
      <c r="R353" s="10">
        <v>25000</v>
      </c>
      <c r="S353" s="103">
        <f>MROUND(G353,500)</f>
        <v>25000</v>
      </c>
      <c r="T353" s="103">
        <f>S353-R353</f>
        <v>0</v>
      </c>
      <c r="U353" s="12" t="s">
        <v>92</v>
      </c>
      <c r="V353" s="10">
        <v>65</v>
      </c>
      <c r="W353" s="11">
        <v>287.55</v>
      </c>
      <c r="X353" s="11">
        <v>119.8</v>
      </c>
      <c r="Y353" s="13">
        <v>-0.70450000000000002</v>
      </c>
      <c r="Z353" s="13">
        <v>-0.12479999999999999</v>
      </c>
      <c r="AA353" s="10">
        <v>0</v>
      </c>
      <c r="AB353" s="14">
        <v>0</v>
      </c>
      <c r="AC353" s="11">
        <v>-167.75</v>
      </c>
      <c r="AD353" s="14">
        <v>-6.7319596523860844E-3</v>
      </c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 t="s">
        <v>97</v>
      </c>
    </row>
    <row r="354" spans="1:52" ht="18" hidden="1" customHeight="1" x14ac:dyDescent="0.25">
      <c r="A354" s="4">
        <v>177</v>
      </c>
      <c r="B354" s="4">
        <v>1</v>
      </c>
      <c r="C354" s="4">
        <v>177</v>
      </c>
      <c r="D354" s="85">
        <v>45547</v>
      </c>
      <c r="E354" s="85">
        <v>45553</v>
      </c>
      <c r="F354" s="85">
        <v>45554</v>
      </c>
      <c r="G354" s="5">
        <v>25388.9</v>
      </c>
      <c r="H354" s="5">
        <v>25377.55</v>
      </c>
      <c r="I354" s="5">
        <v>-11.35</v>
      </c>
      <c r="J354" s="6">
        <v>-4.4704575621629919E-4</v>
      </c>
      <c r="K354" s="91">
        <f t="array" ref="K354">MAX(IF((D354&lt;[1]Nifty_D!$B$2:$B$6600)*(E354&gt;=[1]Nifty_D!$B$2:$B$6600),[1]Nifty_D!$F$2:$F$6600,""))</f>
        <v>25418.55</v>
      </c>
      <c r="L354" s="92">
        <f t="shared" si="19"/>
        <v>1.1678331869438008E-3</v>
      </c>
      <c r="M354" s="91">
        <f t="shared" si="20"/>
        <v>13794.65</v>
      </c>
      <c r="N354" s="93">
        <f t="array" ref="N354">INDEX([1]Nifty_D!$B$2:$B$6600,MATCH(E354,[1]Nifty_D!$B$2:$B$6600,0)-1)</f>
        <v>45552</v>
      </c>
      <c r="O354" s="89">
        <f>VLOOKUP(N354,[1]Nifty_D!$B$2:$F$6600,5,0)</f>
        <v>25418.55</v>
      </c>
      <c r="P354" s="92">
        <f t="shared" si="21"/>
        <v>1.1678331869438008E-3</v>
      </c>
      <c r="Q354" s="7" t="s">
        <v>28</v>
      </c>
      <c r="R354" s="4">
        <v>25400</v>
      </c>
      <c r="S354" s="102"/>
      <c r="T354" s="102"/>
      <c r="U354" s="7" t="s">
        <v>90</v>
      </c>
      <c r="V354" s="4">
        <v>65</v>
      </c>
      <c r="W354" s="5">
        <v>118.9</v>
      </c>
      <c r="X354" s="5">
        <v>97.5</v>
      </c>
      <c r="Y354" s="8">
        <v>-0.1351</v>
      </c>
      <c r="Z354" s="8">
        <v>0.20910000000000001</v>
      </c>
      <c r="AA354" s="5">
        <v>21.4</v>
      </c>
      <c r="AB354" s="6">
        <v>8.4288803374703107E-4</v>
      </c>
      <c r="AC354" s="4">
        <v>0</v>
      </c>
      <c r="AD354" s="6">
        <v>0</v>
      </c>
      <c r="AE354" s="5">
        <v>59640.3</v>
      </c>
      <c r="AF354" s="5">
        <v>59752.85</v>
      </c>
      <c r="AG354" s="5">
        <v>112.55</v>
      </c>
      <c r="AH354" s="5">
        <v>0.18870000000000001</v>
      </c>
      <c r="AI354" s="4">
        <v>6</v>
      </c>
      <c r="AJ354" s="5">
        <v>-0.1</v>
      </c>
      <c r="AK354" s="5">
        <v>52.909700000000001</v>
      </c>
      <c r="AL354" s="5">
        <v>8.8700000000000001E-2</v>
      </c>
      <c r="AM354" s="8">
        <v>-0.42980000000000002</v>
      </c>
      <c r="AN354" s="8">
        <v>1.2202</v>
      </c>
      <c r="AO354" s="15">
        <v>25.509699999999999</v>
      </c>
      <c r="AP354" s="15">
        <v>-1.9199999999999998E-2</v>
      </c>
      <c r="AQ354" s="5">
        <v>102.79770000000001</v>
      </c>
      <c r="AR354" s="5">
        <v>105.1721</v>
      </c>
      <c r="AS354" s="5">
        <v>-2.3744000000000001</v>
      </c>
      <c r="AT354" s="5">
        <v>-2.2576000000000001</v>
      </c>
      <c r="AU354" s="8">
        <v>0.626</v>
      </c>
      <c r="AV354" s="8">
        <v>-0.1081</v>
      </c>
      <c r="AW354" s="8">
        <v>-0.1081</v>
      </c>
      <c r="AX354" s="5">
        <v>102.7063</v>
      </c>
      <c r="AY354" s="5">
        <v>-2.3445</v>
      </c>
      <c r="AZ354" s="7" t="s">
        <v>91</v>
      </c>
    </row>
    <row r="355" spans="1:52" ht="18" customHeight="1" x14ac:dyDescent="0.25">
      <c r="A355" s="10">
        <v>177</v>
      </c>
      <c r="B355" s="10">
        <v>2</v>
      </c>
      <c r="C355" s="10">
        <v>177</v>
      </c>
      <c r="D355" s="86">
        <v>45547</v>
      </c>
      <c r="E355" s="86">
        <v>45553</v>
      </c>
      <c r="F355" s="86">
        <v>45561</v>
      </c>
      <c r="G355" s="11">
        <v>25388.9</v>
      </c>
      <c r="H355" s="11">
        <v>25377.55</v>
      </c>
      <c r="I355" s="12"/>
      <c r="J355" s="12"/>
      <c r="K355" s="91">
        <f t="array" ref="K355">MAX(IF((D355&lt;[1]Nifty_D!$B$2:$B$6600)*(E355&gt;=[1]Nifty_D!$B$2:$B$6600),[1]Nifty_D!$F$2:$F$6600,""))</f>
        <v>25418.55</v>
      </c>
      <c r="L355" s="92">
        <f t="shared" si="19"/>
        <v>1.1678331869438008E-3</v>
      </c>
      <c r="M355" s="91">
        <f t="shared" si="20"/>
        <v>13794.65</v>
      </c>
      <c r="N355" s="93">
        <f t="array" ref="N355">INDEX([1]Nifty_D!$B$2:$B$6600,MATCH(E355,[1]Nifty_D!$B$2:$B$6600,0)-1)</f>
        <v>45552</v>
      </c>
      <c r="O355" s="89">
        <f>VLOOKUP(N355,[1]Nifty_D!$B$2:$F$6600,5,0)</f>
        <v>25418.55</v>
      </c>
      <c r="P355" s="92">
        <f t="shared" si="21"/>
        <v>1.1678331869438008E-3</v>
      </c>
      <c r="Q355" s="12" t="s">
        <v>40</v>
      </c>
      <c r="R355" s="10">
        <v>25500</v>
      </c>
      <c r="S355" s="103">
        <f>MROUND(G355,500)</f>
        <v>25500</v>
      </c>
      <c r="T355" s="103">
        <f>S355-R355</f>
        <v>0</v>
      </c>
      <c r="U355" s="12" t="s">
        <v>92</v>
      </c>
      <c r="V355" s="10">
        <v>65</v>
      </c>
      <c r="W355" s="11">
        <v>304.35000000000002</v>
      </c>
      <c r="X355" s="11">
        <v>255.55</v>
      </c>
      <c r="Y355" s="13">
        <v>-0.45910000000000001</v>
      </c>
      <c r="Z355" s="13">
        <v>0.11260000000000001</v>
      </c>
      <c r="AA355" s="10">
        <v>0</v>
      </c>
      <c r="AB355" s="14">
        <v>0</v>
      </c>
      <c r="AC355" s="11">
        <v>-48.8</v>
      </c>
      <c r="AD355" s="14">
        <v>-1.9220998152736041E-3</v>
      </c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 t="s">
        <v>91</v>
      </c>
    </row>
    <row r="356" spans="1:52" ht="18" hidden="1" customHeight="1" x14ac:dyDescent="0.25">
      <c r="A356" s="4">
        <v>178</v>
      </c>
      <c r="B356" s="4">
        <v>1</v>
      </c>
      <c r="C356" s="4">
        <v>178</v>
      </c>
      <c r="D356" s="85">
        <v>45553</v>
      </c>
      <c r="E356" s="85">
        <v>45555</v>
      </c>
      <c r="F356" s="85">
        <v>45561</v>
      </c>
      <c r="G356" s="5">
        <v>25377.55</v>
      </c>
      <c r="H356" s="5">
        <v>25790.95</v>
      </c>
      <c r="I356" s="5">
        <v>413.4</v>
      </c>
      <c r="J356" s="6">
        <v>1.6289988592279401E-2</v>
      </c>
      <c r="K356" s="91">
        <f t="array" ref="K356">MAX(IF((D356&lt;[1]Nifty_D!$B$2:$B$6600)*(E356&gt;=[1]Nifty_D!$B$2:$B$6600),[1]Nifty_D!$F$2:$F$6600,""))</f>
        <v>25790.95</v>
      </c>
      <c r="L356" s="92">
        <f t="shared" si="19"/>
        <v>1.628998859227937E-2</v>
      </c>
      <c r="M356" s="91">
        <f t="shared" si="20"/>
        <v>14167.050000000001</v>
      </c>
      <c r="N356" s="93">
        <f t="array" ref="N356">INDEX([1]Nifty_D!$B$2:$B$6600,MATCH(E356,[1]Nifty_D!$B$2:$B$6600,0)-1)</f>
        <v>45554</v>
      </c>
      <c r="O356" s="89">
        <f>VLOOKUP(N356,[1]Nifty_D!$B$2:$F$6600,5,0)</f>
        <v>25415.8</v>
      </c>
      <c r="P356" s="92">
        <f t="shared" si="21"/>
        <v>1.5072376963103373E-3</v>
      </c>
      <c r="Q356" s="7" t="s">
        <v>28</v>
      </c>
      <c r="R356" s="4">
        <v>25400</v>
      </c>
      <c r="S356" s="102"/>
      <c r="T356" s="102"/>
      <c r="U356" s="7" t="s">
        <v>90</v>
      </c>
      <c r="V356" s="4">
        <v>65</v>
      </c>
      <c r="W356" s="5">
        <v>203.15</v>
      </c>
      <c r="X356" s="5">
        <v>408.65</v>
      </c>
      <c r="Y356" s="8">
        <v>-0.99</v>
      </c>
      <c r="Z356" s="8">
        <v>8.3500000000000005E-2</v>
      </c>
      <c r="AA356" s="5">
        <v>-205.5</v>
      </c>
      <c r="AB356" s="6">
        <v>-8.0977084076280029E-3</v>
      </c>
      <c r="AC356" s="4">
        <v>0</v>
      </c>
      <c r="AD356" s="6">
        <v>0</v>
      </c>
      <c r="AE356" s="5">
        <v>59752.85</v>
      </c>
      <c r="AF356" s="5">
        <v>60208.800000000003</v>
      </c>
      <c r="AG356" s="5">
        <v>455.95</v>
      </c>
      <c r="AH356" s="5">
        <v>0.7631</v>
      </c>
      <c r="AI356" s="4">
        <v>2</v>
      </c>
      <c r="AJ356" s="5">
        <v>-3.3333000000000002E-2</v>
      </c>
      <c r="AK356" s="5">
        <v>436.0324</v>
      </c>
      <c r="AL356" s="5">
        <v>0.72970000000000002</v>
      </c>
      <c r="AM356" s="8">
        <v>-2.3605</v>
      </c>
      <c r="AN356" s="8">
        <v>1.0067999999999999</v>
      </c>
      <c r="AO356" s="15">
        <v>40.882399999999997</v>
      </c>
      <c r="AP356" s="15">
        <v>-0.82740000000000002</v>
      </c>
      <c r="AQ356" s="5">
        <v>101.94710000000001</v>
      </c>
      <c r="AR356" s="5">
        <v>105.1721</v>
      </c>
      <c r="AS356" s="5">
        <v>-3.2250000000000001</v>
      </c>
      <c r="AT356" s="5">
        <v>-3.0663999999999998</v>
      </c>
      <c r="AU356" s="8">
        <v>-0.76539999999999997</v>
      </c>
      <c r="AV356" s="8">
        <v>-2.4628000000000001</v>
      </c>
      <c r="AW356" s="8">
        <v>-2.4628000000000001</v>
      </c>
      <c r="AX356" s="5">
        <v>100.26600000000001</v>
      </c>
      <c r="AY356" s="5">
        <v>-4.6647999999999996</v>
      </c>
      <c r="AZ356" s="7" t="s">
        <v>97</v>
      </c>
    </row>
    <row r="357" spans="1:52" ht="18" customHeight="1" x14ac:dyDescent="0.25">
      <c r="A357" s="10">
        <v>178</v>
      </c>
      <c r="B357" s="10">
        <v>2</v>
      </c>
      <c r="C357" s="10">
        <v>178</v>
      </c>
      <c r="D357" s="86">
        <v>45553</v>
      </c>
      <c r="E357" s="86">
        <v>45555</v>
      </c>
      <c r="F357" s="86">
        <v>45561</v>
      </c>
      <c r="G357" s="11">
        <v>25377.55</v>
      </c>
      <c r="H357" s="11">
        <v>25790.95</v>
      </c>
      <c r="I357" s="12"/>
      <c r="J357" s="12"/>
      <c r="K357" s="91">
        <f t="array" ref="K357">MAX(IF((D357&lt;[1]Nifty_D!$B$2:$B$6600)*(E357&gt;=[1]Nifty_D!$B$2:$B$6600),[1]Nifty_D!$F$2:$F$6600,""))</f>
        <v>25790.95</v>
      </c>
      <c r="L357" s="92">
        <f t="shared" si="19"/>
        <v>1.628998859227937E-2</v>
      </c>
      <c r="M357" s="91">
        <f t="shared" si="20"/>
        <v>14167.050000000001</v>
      </c>
      <c r="N357" s="93">
        <f t="array" ref="N357">INDEX([1]Nifty_D!$B$2:$B$6600,MATCH(E357,[1]Nifty_D!$B$2:$B$6600,0)-1)</f>
        <v>45554</v>
      </c>
      <c r="O357" s="89">
        <f>VLOOKUP(N357,[1]Nifty_D!$B$2:$F$6600,5,0)</f>
        <v>25415.8</v>
      </c>
      <c r="P357" s="92">
        <f t="shared" si="21"/>
        <v>1.5072376963103373E-3</v>
      </c>
      <c r="Q357" s="12" t="s">
        <v>40</v>
      </c>
      <c r="R357" s="10">
        <v>25500</v>
      </c>
      <c r="S357" s="103">
        <f>MROUND(G357,500)</f>
        <v>25500</v>
      </c>
      <c r="T357" s="103">
        <f>S357-R357</f>
        <v>0</v>
      </c>
      <c r="U357" s="12" t="s">
        <v>92</v>
      </c>
      <c r="V357" s="10">
        <v>65</v>
      </c>
      <c r="W357" s="11">
        <v>255.55</v>
      </c>
      <c r="X357" s="11">
        <v>65.900000000000006</v>
      </c>
      <c r="Y357" s="13">
        <v>-0.78220000000000001</v>
      </c>
      <c r="Z357" s="13">
        <v>-0.18579999999999999</v>
      </c>
      <c r="AA357" s="10">
        <v>0</v>
      </c>
      <c r="AB357" s="14">
        <v>0</v>
      </c>
      <c r="AC357" s="11">
        <v>-189.65</v>
      </c>
      <c r="AD357" s="14">
        <v>-7.4731406302026796E-3</v>
      </c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 t="s">
        <v>97</v>
      </c>
    </row>
    <row r="358" spans="1:52" ht="18" hidden="1" customHeight="1" x14ac:dyDescent="0.25">
      <c r="A358" s="4">
        <v>179</v>
      </c>
      <c r="B358" s="4">
        <v>1</v>
      </c>
      <c r="C358" s="4">
        <v>179</v>
      </c>
      <c r="D358" s="85">
        <v>45555</v>
      </c>
      <c r="E358" s="85">
        <v>45560</v>
      </c>
      <c r="F358" s="85">
        <v>45561</v>
      </c>
      <c r="G358" s="5">
        <v>25790.95</v>
      </c>
      <c r="H358" s="5">
        <v>26004.15</v>
      </c>
      <c r="I358" s="5">
        <v>213.2</v>
      </c>
      <c r="J358" s="6">
        <v>8.2664655625325923E-3</v>
      </c>
      <c r="K358" s="91">
        <f t="array" ref="K358">MAX(IF((D358&lt;[1]Nifty_D!$B$2:$B$6600)*(E358&gt;=[1]Nifty_D!$B$2:$B$6600),[1]Nifty_D!$F$2:$F$6600,""))</f>
        <v>26004.15</v>
      </c>
      <c r="L358" s="92">
        <f t="shared" si="19"/>
        <v>8.2664655625326322E-3</v>
      </c>
      <c r="M358" s="91">
        <f t="shared" si="20"/>
        <v>14380.250000000002</v>
      </c>
      <c r="N358" s="93">
        <f t="array" ref="N358">INDEX([1]Nifty_D!$B$2:$B$6600,MATCH(E358,[1]Nifty_D!$B$2:$B$6600,0)-1)</f>
        <v>45559</v>
      </c>
      <c r="O358" s="89">
        <f>VLOOKUP(N358,[1]Nifty_D!$B$2:$F$6600,5,0)</f>
        <v>25940.400000000001</v>
      </c>
      <c r="P358" s="92">
        <f t="shared" si="21"/>
        <v>5.7946682848053488E-3</v>
      </c>
      <c r="Q358" s="7" t="s">
        <v>28</v>
      </c>
      <c r="R358" s="4">
        <v>25800</v>
      </c>
      <c r="S358" s="102"/>
      <c r="T358" s="102"/>
      <c r="U358" s="7" t="s">
        <v>90</v>
      </c>
      <c r="V358" s="4">
        <v>65</v>
      </c>
      <c r="W358" s="5">
        <v>115.6</v>
      </c>
      <c r="X358" s="5">
        <v>206.35</v>
      </c>
      <c r="Y358" s="8">
        <v>-0.50170000000000003</v>
      </c>
      <c r="Z358" s="8">
        <v>-5.3900000000000003E-2</v>
      </c>
      <c r="AA358" s="5">
        <v>-90.75</v>
      </c>
      <c r="AB358" s="6">
        <v>-3.5186761247646939E-3</v>
      </c>
      <c r="AC358" s="4">
        <v>0</v>
      </c>
      <c r="AD358" s="6">
        <v>0</v>
      </c>
      <c r="AE358" s="5">
        <v>60208.800000000003</v>
      </c>
      <c r="AF358" s="5">
        <v>60465.15</v>
      </c>
      <c r="AG358" s="5">
        <v>256.35000000000002</v>
      </c>
      <c r="AH358" s="5">
        <v>0.42580000000000001</v>
      </c>
      <c r="AI358" s="4">
        <v>5</v>
      </c>
      <c r="AJ358" s="5">
        <v>-8.3333000000000004E-2</v>
      </c>
      <c r="AK358" s="5">
        <v>206.17599999999999</v>
      </c>
      <c r="AL358" s="5">
        <v>0.34239999999999998</v>
      </c>
      <c r="AM358" s="8">
        <v>1.9599999999999999E-2</v>
      </c>
      <c r="AN358" s="8">
        <v>1.1236999999999999</v>
      </c>
      <c r="AO358" s="9">
        <v>-93.424000000000007</v>
      </c>
      <c r="AP358" s="9">
        <v>-0.81920000000000004</v>
      </c>
      <c r="AQ358" s="5">
        <v>101.11199999999999</v>
      </c>
      <c r="AR358" s="5">
        <v>105.1721</v>
      </c>
      <c r="AS358" s="5">
        <v>-4.0601000000000003</v>
      </c>
      <c r="AT358" s="5">
        <v>-3.8603999999999998</v>
      </c>
      <c r="AU358" s="8">
        <v>-0.23619999999999999</v>
      </c>
      <c r="AV358" s="8">
        <v>-0.24970000000000001</v>
      </c>
      <c r="AW358" s="8">
        <v>-0.81920000000000004</v>
      </c>
      <c r="AX358" s="5">
        <v>101.11199999999999</v>
      </c>
      <c r="AY358" s="5">
        <v>-3.8603999999999998</v>
      </c>
      <c r="AZ358" s="7" t="s">
        <v>91</v>
      </c>
    </row>
    <row r="359" spans="1:52" ht="18" customHeight="1" x14ac:dyDescent="0.25">
      <c r="A359" s="10">
        <v>179</v>
      </c>
      <c r="B359" s="10">
        <v>2</v>
      </c>
      <c r="C359" s="10">
        <v>179</v>
      </c>
      <c r="D359" s="86">
        <v>45555</v>
      </c>
      <c r="E359" s="86">
        <v>45560</v>
      </c>
      <c r="F359" s="86">
        <v>45561</v>
      </c>
      <c r="G359" s="11">
        <v>25790.95</v>
      </c>
      <c r="H359" s="11">
        <v>26004.15</v>
      </c>
      <c r="I359" s="12"/>
      <c r="J359" s="12"/>
      <c r="K359" s="91">
        <f t="array" ref="K359">MAX(IF((D359&lt;[1]Nifty_D!$B$2:$B$6600)*(E359&gt;=[1]Nifty_D!$B$2:$B$6600),[1]Nifty_D!$F$2:$F$6600,""))</f>
        <v>26004.15</v>
      </c>
      <c r="L359" s="92">
        <f t="shared" si="19"/>
        <v>8.2664655625326322E-3</v>
      </c>
      <c r="M359" s="91">
        <f t="shared" si="20"/>
        <v>14380.250000000002</v>
      </c>
      <c r="N359" s="93">
        <f t="array" ref="N359">INDEX([1]Nifty_D!$B$2:$B$6600,MATCH(E359,[1]Nifty_D!$B$2:$B$6600,0)-1)</f>
        <v>45559</v>
      </c>
      <c r="O359" s="89">
        <f>VLOOKUP(N359,[1]Nifty_D!$B$2:$F$6600,5,0)</f>
        <v>25940.400000000001</v>
      </c>
      <c r="P359" s="92">
        <f t="shared" si="21"/>
        <v>5.7946682848053488E-3</v>
      </c>
      <c r="Q359" s="12" t="s">
        <v>40</v>
      </c>
      <c r="R359" s="10">
        <v>26000</v>
      </c>
      <c r="S359" s="103">
        <f>MROUND(G359,500)</f>
        <v>26000</v>
      </c>
      <c r="T359" s="103">
        <f>S359-R359</f>
        <v>0</v>
      </c>
      <c r="U359" s="12" t="s">
        <v>92</v>
      </c>
      <c r="V359" s="10">
        <v>65</v>
      </c>
      <c r="W359" s="11">
        <v>277.75</v>
      </c>
      <c r="X359" s="11">
        <v>68.900000000000006</v>
      </c>
      <c r="Y359" s="13">
        <v>-0.85819999999999996</v>
      </c>
      <c r="Z359" s="13">
        <v>-0.21540000000000001</v>
      </c>
      <c r="AA359" s="10">
        <v>0</v>
      </c>
      <c r="AB359" s="14">
        <v>0</v>
      </c>
      <c r="AC359" s="11">
        <v>-208.85</v>
      </c>
      <c r="AD359" s="14">
        <v>-8.0978017482876748E-3</v>
      </c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 t="s">
        <v>91</v>
      </c>
    </row>
    <row r="360" spans="1:52" ht="18" hidden="1" customHeight="1" x14ac:dyDescent="0.25">
      <c r="A360" s="4">
        <v>180</v>
      </c>
      <c r="B360" s="4">
        <v>1</v>
      </c>
      <c r="C360" s="4">
        <v>180</v>
      </c>
      <c r="D360" s="85">
        <v>45560</v>
      </c>
      <c r="E360" s="85">
        <v>45566</v>
      </c>
      <c r="F360" s="85">
        <v>45568</v>
      </c>
      <c r="G360" s="5">
        <v>26004.15</v>
      </c>
      <c r="H360" s="5">
        <v>25796.9</v>
      </c>
      <c r="I360" s="5">
        <v>-207.25</v>
      </c>
      <c r="J360" s="6">
        <v>-7.9698817304161059E-3</v>
      </c>
      <c r="K360" s="91">
        <f t="array" ref="K360">MAX(IF((D360&lt;[1]Nifty_D!$B$2:$B$6600)*(E360&gt;=[1]Nifty_D!$B$2:$B$6600),[1]Nifty_D!$F$2:$F$6600,""))</f>
        <v>26216.05</v>
      </c>
      <c r="L360" s="92">
        <f t="shared" si="19"/>
        <v>8.1486993422204002E-3</v>
      </c>
      <c r="M360" s="91">
        <f t="shared" si="20"/>
        <v>14592.15</v>
      </c>
      <c r="N360" s="93">
        <f t="array" ref="N360">INDEX([1]Nifty_D!$B$2:$B$6600,MATCH(E360,[1]Nifty_D!$B$2:$B$6600,0)-1)</f>
        <v>45565</v>
      </c>
      <c r="O360" s="89">
        <f>VLOOKUP(N360,[1]Nifty_D!$B$2:$F$6600,5,0)</f>
        <v>25810.85</v>
      </c>
      <c r="P360" s="92">
        <f t="shared" si="21"/>
        <v>-7.4334288950034244E-3</v>
      </c>
      <c r="Q360" s="7" t="s">
        <v>28</v>
      </c>
      <c r="R360" s="4">
        <v>26000</v>
      </c>
      <c r="S360" s="102"/>
      <c r="T360" s="102"/>
      <c r="U360" s="7" t="s">
        <v>90</v>
      </c>
      <c r="V360" s="4">
        <v>65</v>
      </c>
      <c r="W360" s="5">
        <v>175.8</v>
      </c>
      <c r="X360" s="5">
        <v>17.7</v>
      </c>
      <c r="Y360" s="8">
        <v>-0.66220000000000001</v>
      </c>
      <c r="Z360" s="8">
        <v>0.62509999999999999</v>
      </c>
      <c r="AA360" s="5">
        <v>158.1</v>
      </c>
      <c r="AB360" s="6">
        <v>6.079798801345169E-3</v>
      </c>
      <c r="AC360" s="4">
        <v>0</v>
      </c>
      <c r="AD360" s="6">
        <v>0</v>
      </c>
      <c r="AE360" s="5">
        <v>60465.15</v>
      </c>
      <c r="AF360" s="5">
        <v>60358.3</v>
      </c>
      <c r="AG360" s="5">
        <v>-106.85</v>
      </c>
      <c r="AH360" s="5">
        <v>-0.1767</v>
      </c>
      <c r="AI360" s="4">
        <v>6</v>
      </c>
      <c r="AJ360" s="5">
        <v>-0.1</v>
      </c>
      <c r="AK360" s="5">
        <v>-167.3151</v>
      </c>
      <c r="AL360" s="5">
        <v>-0.2767</v>
      </c>
      <c r="AM360" s="8">
        <v>-1.1335</v>
      </c>
      <c r="AN360" s="8">
        <v>0.34889999999999999</v>
      </c>
      <c r="AO360" s="9">
        <v>-1.1651</v>
      </c>
      <c r="AP360" s="9">
        <v>0.36220000000000002</v>
      </c>
      <c r="AQ360" s="5">
        <v>101.4782</v>
      </c>
      <c r="AR360" s="5">
        <v>105.1721</v>
      </c>
      <c r="AS360" s="5">
        <v>-3.6939000000000002</v>
      </c>
      <c r="AT360" s="5">
        <v>-3.5122</v>
      </c>
      <c r="AU360" s="8">
        <v>-0.79690000000000005</v>
      </c>
      <c r="AV360" s="8">
        <v>-0.26500000000000001</v>
      </c>
      <c r="AW360" s="8">
        <v>-0.79690000000000005</v>
      </c>
      <c r="AX360" s="5">
        <v>100.3062</v>
      </c>
      <c r="AY360" s="5">
        <v>-4.6265999999999998</v>
      </c>
      <c r="AZ360" s="7" t="s">
        <v>91</v>
      </c>
    </row>
    <row r="361" spans="1:52" ht="18" customHeight="1" x14ac:dyDescent="0.25">
      <c r="A361" s="10">
        <v>180</v>
      </c>
      <c r="B361" s="10">
        <v>2</v>
      </c>
      <c r="C361" s="10">
        <v>180</v>
      </c>
      <c r="D361" s="86">
        <v>45560</v>
      </c>
      <c r="E361" s="86">
        <v>45566</v>
      </c>
      <c r="F361" s="86">
        <v>45596</v>
      </c>
      <c r="G361" s="11">
        <v>26004.15</v>
      </c>
      <c r="H361" s="11">
        <v>25796.9</v>
      </c>
      <c r="I361" s="12"/>
      <c r="J361" s="12"/>
      <c r="K361" s="91">
        <f t="array" ref="K361">MAX(IF((D361&lt;[1]Nifty_D!$B$2:$B$6600)*(E361&gt;=[1]Nifty_D!$B$2:$B$6600),[1]Nifty_D!$F$2:$F$6600,""))</f>
        <v>26216.05</v>
      </c>
      <c r="L361" s="92">
        <f t="shared" si="19"/>
        <v>8.1486993422204002E-3</v>
      </c>
      <c r="M361" s="91">
        <f t="shared" si="20"/>
        <v>14592.15</v>
      </c>
      <c r="N361" s="93">
        <f t="array" ref="N361">INDEX([1]Nifty_D!$B$2:$B$6600,MATCH(E361,[1]Nifty_D!$B$2:$B$6600,0)-1)</f>
        <v>45565</v>
      </c>
      <c r="O361" s="89">
        <f>VLOOKUP(N361,[1]Nifty_D!$B$2:$F$6600,5,0)</f>
        <v>25810.85</v>
      </c>
      <c r="P361" s="92">
        <f t="shared" si="21"/>
        <v>-7.4334288950034244E-3</v>
      </c>
      <c r="Q361" s="12" t="s">
        <v>40</v>
      </c>
      <c r="R361" s="10">
        <v>26000</v>
      </c>
      <c r="S361" s="103">
        <f>MROUND(G361,500)</f>
        <v>26000</v>
      </c>
      <c r="T361" s="103">
        <f>S361-R361</f>
        <v>0</v>
      </c>
      <c r="U361" s="12" t="s">
        <v>92</v>
      </c>
      <c r="V361" s="10">
        <v>65</v>
      </c>
      <c r="W361" s="11">
        <v>330.75</v>
      </c>
      <c r="X361" s="11">
        <v>338.8</v>
      </c>
      <c r="Y361" s="13">
        <v>-0.48359999999999997</v>
      </c>
      <c r="Z361" s="13">
        <v>0.24340000000000001</v>
      </c>
      <c r="AA361" s="10">
        <v>0</v>
      </c>
      <c r="AB361" s="14">
        <v>0</v>
      </c>
      <c r="AC361" s="11">
        <v>8.0500000000000007</v>
      </c>
      <c r="AD361" s="14">
        <v>3.0956597312352071E-4</v>
      </c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 t="s">
        <v>91</v>
      </c>
    </row>
    <row r="362" spans="1:52" ht="18" hidden="1" customHeight="1" x14ac:dyDescent="0.25">
      <c r="A362" s="4">
        <v>181</v>
      </c>
      <c r="B362" s="4">
        <v>1</v>
      </c>
      <c r="C362" s="4">
        <v>181</v>
      </c>
      <c r="D362" s="85">
        <v>45566</v>
      </c>
      <c r="E362" s="85">
        <v>45574</v>
      </c>
      <c r="F362" s="85">
        <v>45575</v>
      </c>
      <c r="G362" s="5">
        <v>25796.9</v>
      </c>
      <c r="H362" s="5">
        <v>24981.95</v>
      </c>
      <c r="I362" s="5">
        <v>-814.95</v>
      </c>
      <c r="J362" s="6">
        <v>-3.1591005120770323E-2</v>
      </c>
      <c r="K362" s="91">
        <f t="array" ref="K362">MAX(IF((D362&lt;[1]Nifty_D!$B$2:$B$6600)*(E362&gt;=[1]Nifty_D!$B$2:$B$6600),[1]Nifty_D!$F$2:$F$6600,""))</f>
        <v>25250.1</v>
      </c>
      <c r="L362" s="92">
        <f t="shared" si="19"/>
        <v>-2.1196345297303298E-2</v>
      </c>
      <c r="M362" s="91">
        <f t="shared" si="20"/>
        <v>13626.199999999999</v>
      </c>
      <c r="N362" s="93">
        <f t="array" ref="N362">INDEX([1]Nifty_D!$B$2:$B$6600,MATCH(E362,[1]Nifty_D!$B$2:$B$6600,0)-1)</f>
        <v>45573</v>
      </c>
      <c r="O362" s="89">
        <f>VLOOKUP(N362,[1]Nifty_D!$B$2:$F$6600,5,0)</f>
        <v>25013.15</v>
      </c>
      <c r="P362" s="92">
        <f t="shared" si="21"/>
        <v>-3.0381557473960097E-2</v>
      </c>
      <c r="Q362" s="7" t="s">
        <v>28</v>
      </c>
      <c r="R362" s="4">
        <v>25800</v>
      </c>
      <c r="S362" s="102"/>
      <c r="T362" s="102"/>
      <c r="U362" s="7" t="s">
        <v>90</v>
      </c>
      <c r="V362" s="4">
        <v>65</v>
      </c>
      <c r="W362" s="5">
        <v>205.55</v>
      </c>
      <c r="X362" s="5">
        <v>1.1000000000000001</v>
      </c>
      <c r="Y362" s="8">
        <v>0.2969</v>
      </c>
      <c r="Z362" s="8">
        <v>0.79369999999999996</v>
      </c>
      <c r="AA362" s="5">
        <v>204.45</v>
      </c>
      <c r="AB362" s="6">
        <v>7.9253708778961804E-3</v>
      </c>
      <c r="AC362" s="4">
        <v>0</v>
      </c>
      <c r="AD362" s="6">
        <v>0</v>
      </c>
      <c r="AE362" s="5">
        <v>60358.3</v>
      </c>
      <c r="AF362" s="5">
        <v>59102.65</v>
      </c>
      <c r="AG362" s="5">
        <v>-1255.6500000000001</v>
      </c>
      <c r="AH362" s="5">
        <v>-2.0802999999999998</v>
      </c>
      <c r="AI362" s="4">
        <v>8</v>
      </c>
      <c r="AJ362" s="5">
        <v>-0.13333300000000001</v>
      </c>
      <c r="AK362" s="5">
        <v>-1336.1277</v>
      </c>
      <c r="AL362" s="5">
        <v>-2.2136999999999998</v>
      </c>
      <c r="AM362" s="8">
        <v>-5.9508999999999999</v>
      </c>
      <c r="AN362" s="8">
        <v>-0.46179999999999999</v>
      </c>
      <c r="AO362" s="9">
        <v>-525.3777</v>
      </c>
      <c r="AP362" s="9">
        <v>0.92910000000000004</v>
      </c>
      <c r="AQ362" s="5">
        <v>102.42100000000001</v>
      </c>
      <c r="AR362" s="5">
        <v>105.1721</v>
      </c>
      <c r="AS362" s="5">
        <v>-2.7509999999999999</v>
      </c>
      <c r="AT362" s="5">
        <v>-2.6158000000000001</v>
      </c>
      <c r="AU362" s="8">
        <v>7.6200000000000004E-2</v>
      </c>
      <c r="AV362" s="8">
        <v>-2.0390000000000001</v>
      </c>
      <c r="AW362" s="8">
        <v>-2.0390000000000001</v>
      </c>
      <c r="AX362" s="5">
        <v>99.409099999999995</v>
      </c>
      <c r="AY362" s="5">
        <v>-5.4795999999999996</v>
      </c>
      <c r="AZ362" s="7" t="s">
        <v>91</v>
      </c>
    </row>
    <row r="363" spans="1:52" ht="18" customHeight="1" x14ac:dyDescent="0.25">
      <c r="A363" s="10">
        <v>181</v>
      </c>
      <c r="B363" s="10">
        <v>2</v>
      </c>
      <c r="C363" s="10">
        <v>181</v>
      </c>
      <c r="D363" s="86">
        <v>45566</v>
      </c>
      <c r="E363" s="86">
        <v>45574</v>
      </c>
      <c r="F363" s="86">
        <v>45596</v>
      </c>
      <c r="G363" s="11">
        <v>25796.9</v>
      </c>
      <c r="H363" s="11">
        <v>24981.95</v>
      </c>
      <c r="I363" s="12"/>
      <c r="J363" s="12"/>
      <c r="K363" s="91">
        <f t="array" ref="K363">MAX(IF((D363&lt;[1]Nifty_D!$B$2:$B$6600)*(E363&gt;=[1]Nifty_D!$B$2:$B$6600),[1]Nifty_D!$F$2:$F$6600,""))</f>
        <v>25250.1</v>
      </c>
      <c r="L363" s="92">
        <f t="shared" si="19"/>
        <v>-2.1196345297303298E-2</v>
      </c>
      <c r="M363" s="91">
        <f t="shared" si="20"/>
        <v>13626.199999999999</v>
      </c>
      <c r="N363" s="93">
        <f t="array" ref="N363">INDEX([1]Nifty_D!$B$2:$B$6600,MATCH(E363,[1]Nifty_D!$B$2:$B$6600,0)-1)</f>
        <v>45573</v>
      </c>
      <c r="O363" s="89">
        <f>VLOOKUP(N363,[1]Nifty_D!$B$2:$F$6600,5,0)</f>
        <v>25013.15</v>
      </c>
      <c r="P363" s="92">
        <f t="shared" si="21"/>
        <v>-3.0381557473960097E-2</v>
      </c>
      <c r="Q363" s="12" t="s">
        <v>40</v>
      </c>
      <c r="R363" s="10">
        <v>26000</v>
      </c>
      <c r="S363" s="103">
        <f>MROUND(G363,500)</f>
        <v>26000</v>
      </c>
      <c r="T363" s="103">
        <f>S363-R363</f>
        <v>0</v>
      </c>
      <c r="U363" s="12" t="s">
        <v>92</v>
      </c>
      <c r="V363" s="10">
        <v>65</v>
      </c>
      <c r="W363" s="11">
        <v>338.8</v>
      </c>
      <c r="X363" s="11">
        <v>945.1</v>
      </c>
      <c r="Y363" s="13">
        <v>0.24110000000000001</v>
      </c>
      <c r="Z363" s="13">
        <v>3.1181999999999999</v>
      </c>
      <c r="AA363" s="10">
        <v>0</v>
      </c>
      <c r="AB363" s="14">
        <v>0</v>
      </c>
      <c r="AC363" s="11">
        <v>606.29999999999995</v>
      </c>
      <c r="AD363" s="14">
        <v>2.3502823982726601E-2</v>
      </c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 t="s">
        <v>91</v>
      </c>
    </row>
    <row r="364" spans="1:52" ht="18" hidden="1" customHeight="1" x14ac:dyDescent="0.25">
      <c r="A364" s="4">
        <v>182</v>
      </c>
      <c r="B364" s="4">
        <v>1</v>
      </c>
      <c r="C364" s="4">
        <v>182</v>
      </c>
      <c r="D364" s="85">
        <v>45574</v>
      </c>
      <c r="E364" s="85">
        <v>45581</v>
      </c>
      <c r="F364" s="85">
        <v>45582</v>
      </c>
      <c r="G364" s="5">
        <v>24981.95</v>
      </c>
      <c r="H364" s="5">
        <v>24971.3</v>
      </c>
      <c r="I364" s="5">
        <v>-10.65</v>
      </c>
      <c r="J364" s="6">
        <v>-4.263077942274322E-4</v>
      </c>
      <c r="K364" s="91">
        <f t="array" ref="K364">MAX(IF((D364&lt;[1]Nifty_D!$B$2:$B$6600)*(E364&gt;=[1]Nifty_D!$B$2:$B$6600),[1]Nifty_D!$F$2:$F$6600,""))</f>
        <v>25127.95</v>
      </c>
      <c r="L364" s="92">
        <f t="shared" si="19"/>
        <v>5.8442195264980512E-3</v>
      </c>
      <c r="M364" s="91">
        <f t="shared" si="20"/>
        <v>13504.050000000001</v>
      </c>
      <c r="N364" s="93">
        <f t="array" ref="N364">INDEX([1]Nifty_D!$B$2:$B$6600,MATCH(E364,[1]Nifty_D!$B$2:$B$6600,0)-1)</f>
        <v>45580</v>
      </c>
      <c r="O364" s="89">
        <f>VLOOKUP(N364,[1]Nifty_D!$B$2:$F$6600,5,0)</f>
        <v>25057.35</v>
      </c>
      <c r="P364" s="92">
        <f t="shared" si="21"/>
        <v>3.018179125328313E-3</v>
      </c>
      <c r="Q364" s="7" t="s">
        <v>28</v>
      </c>
      <c r="R364" s="4">
        <v>25000</v>
      </c>
      <c r="S364" s="102"/>
      <c r="T364" s="102"/>
      <c r="U364" s="7" t="s">
        <v>90</v>
      </c>
      <c r="V364" s="4">
        <v>65</v>
      </c>
      <c r="W364" s="5">
        <v>201.45</v>
      </c>
      <c r="X364" s="5">
        <v>60.6</v>
      </c>
      <c r="Y364" s="8">
        <v>-0.34420000000000001</v>
      </c>
      <c r="Z364" s="8">
        <v>0.61580000000000001</v>
      </c>
      <c r="AA364" s="5">
        <v>140.85</v>
      </c>
      <c r="AB364" s="6">
        <v>5.6380706870360394E-3</v>
      </c>
      <c r="AC364" s="4">
        <v>0</v>
      </c>
      <c r="AD364" s="6">
        <v>0</v>
      </c>
      <c r="AE364" s="5">
        <v>59102.65</v>
      </c>
      <c r="AF364" s="5">
        <v>59451.85</v>
      </c>
      <c r="AG364" s="5">
        <v>349.2</v>
      </c>
      <c r="AH364" s="5">
        <v>0.59079999999999999</v>
      </c>
      <c r="AI364" s="4">
        <v>7</v>
      </c>
      <c r="AJ364" s="5">
        <v>-0.11666700000000001</v>
      </c>
      <c r="AK364" s="5">
        <v>280.24689999999998</v>
      </c>
      <c r="AL364" s="5">
        <v>0.47420000000000001</v>
      </c>
      <c r="AM364" s="8">
        <v>-0.50090000000000001</v>
      </c>
      <c r="AN364" s="8">
        <v>0.89349999999999996</v>
      </c>
      <c r="AO364" s="15">
        <v>432.94690000000003</v>
      </c>
      <c r="AP364" s="15">
        <v>1.0853999999999999</v>
      </c>
      <c r="AQ364" s="5">
        <v>103.53270000000001</v>
      </c>
      <c r="AR364" s="5">
        <v>105.1721</v>
      </c>
      <c r="AS364" s="5">
        <v>-1.6394</v>
      </c>
      <c r="AT364" s="5">
        <v>-1.5587</v>
      </c>
      <c r="AU364" s="8">
        <v>-0.28649999999999998</v>
      </c>
      <c r="AV364" s="8">
        <v>0.46300000000000002</v>
      </c>
      <c r="AW364" s="8">
        <v>-0.28649999999999998</v>
      </c>
      <c r="AX364" s="5">
        <v>102.1276</v>
      </c>
      <c r="AY364" s="5">
        <v>-2.8948</v>
      </c>
      <c r="AZ364" s="7" t="s">
        <v>91</v>
      </c>
    </row>
    <row r="365" spans="1:52" ht="18" customHeight="1" x14ac:dyDescent="0.25">
      <c r="A365" s="10">
        <v>182</v>
      </c>
      <c r="B365" s="10">
        <v>2</v>
      </c>
      <c r="C365" s="10">
        <v>182</v>
      </c>
      <c r="D365" s="86">
        <v>45574</v>
      </c>
      <c r="E365" s="86">
        <v>45581</v>
      </c>
      <c r="F365" s="86">
        <v>45596</v>
      </c>
      <c r="G365" s="11">
        <v>24981.95</v>
      </c>
      <c r="H365" s="11">
        <v>24971.3</v>
      </c>
      <c r="I365" s="12"/>
      <c r="J365" s="12"/>
      <c r="K365" s="91">
        <f t="array" ref="K365">MAX(IF((D365&lt;[1]Nifty_D!$B$2:$B$6600)*(E365&gt;=[1]Nifty_D!$B$2:$B$6600),[1]Nifty_D!$F$2:$F$6600,""))</f>
        <v>25127.95</v>
      </c>
      <c r="L365" s="92">
        <f t="shared" si="19"/>
        <v>5.8442195264980512E-3</v>
      </c>
      <c r="M365" s="91">
        <f t="shared" si="20"/>
        <v>13504.050000000001</v>
      </c>
      <c r="N365" s="93">
        <f t="array" ref="N365">INDEX([1]Nifty_D!$B$2:$B$6600,MATCH(E365,[1]Nifty_D!$B$2:$B$6600,0)-1)</f>
        <v>45580</v>
      </c>
      <c r="O365" s="89">
        <f>VLOOKUP(N365,[1]Nifty_D!$B$2:$F$6600,5,0)</f>
        <v>25057.35</v>
      </c>
      <c r="P365" s="92">
        <f t="shared" si="21"/>
        <v>3.018179125328313E-3</v>
      </c>
      <c r="Q365" s="12" t="s">
        <v>40</v>
      </c>
      <c r="R365" s="10">
        <v>26000</v>
      </c>
      <c r="S365" s="103">
        <f>MROUND(G365,500)</f>
        <v>25000</v>
      </c>
      <c r="T365" s="103">
        <f>S365-R365</f>
        <v>-1000</v>
      </c>
      <c r="U365" s="12" t="s">
        <v>92</v>
      </c>
      <c r="V365" s="10">
        <v>65</v>
      </c>
      <c r="W365" s="11">
        <v>945.1</v>
      </c>
      <c r="X365" s="11">
        <v>956.95</v>
      </c>
      <c r="Y365" s="13">
        <v>-0.83579999999999999</v>
      </c>
      <c r="Z365" s="13">
        <v>0.34810000000000002</v>
      </c>
      <c r="AA365" s="10">
        <v>0</v>
      </c>
      <c r="AB365" s="14">
        <v>0</v>
      </c>
      <c r="AC365" s="11">
        <v>11.85</v>
      </c>
      <c r="AD365" s="14">
        <v>4.7434247526714291E-4</v>
      </c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 t="s">
        <v>91</v>
      </c>
    </row>
    <row r="366" spans="1:52" ht="18" hidden="1" customHeight="1" x14ac:dyDescent="0.25">
      <c r="A366" s="4">
        <v>183</v>
      </c>
      <c r="B366" s="4">
        <v>1</v>
      </c>
      <c r="C366" s="4">
        <v>183</v>
      </c>
      <c r="D366" s="85">
        <v>45581</v>
      </c>
      <c r="E366" s="85">
        <v>45588</v>
      </c>
      <c r="F366" s="85">
        <v>45589</v>
      </c>
      <c r="G366" s="5">
        <v>24971.3</v>
      </c>
      <c r="H366" s="5">
        <v>24435.5</v>
      </c>
      <c r="I366" s="5">
        <v>-535.79999999999995</v>
      </c>
      <c r="J366" s="6">
        <v>-2.1456632213781419E-2</v>
      </c>
      <c r="K366" s="91">
        <f t="array" ref="K366">MAX(IF((D366&lt;[1]Nifty_D!$B$2:$B$6600)*(E366&gt;=[1]Nifty_D!$B$2:$B$6600),[1]Nifty_D!$F$2:$F$6600,""))</f>
        <v>24854.05</v>
      </c>
      <c r="L366" s="92">
        <f t="shared" si="19"/>
        <v>-4.6953903080736437E-3</v>
      </c>
      <c r="M366" s="91">
        <f t="shared" si="20"/>
        <v>13230.15</v>
      </c>
      <c r="N366" s="93">
        <f t="array" ref="N366">INDEX([1]Nifty_D!$B$2:$B$6600,MATCH(E366,[1]Nifty_D!$B$2:$B$6600,0)-1)</f>
        <v>45587</v>
      </c>
      <c r="O366" s="89">
        <f>VLOOKUP(N366,[1]Nifty_D!$B$2:$F$6600,5,0)</f>
        <v>24472.1</v>
      </c>
      <c r="P366" s="92">
        <f t="shared" si="21"/>
        <v>-1.9990949610152464E-2</v>
      </c>
      <c r="Q366" s="7" t="s">
        <v>28</v>
      </c>
      <c r="R366" s="4">
        <v>25000</v>
      </c>
      <c r="S366" s="102"/>
      <c r="T366" s="102"/>
      <c r="U366" s="7" t="s">
        <v>90</v>
      </c>
      <c r="V366" s="4">
        <v>65</v>
      </c>
      <c r="W366" s="5">
        <v>172.8</v>
      </c>
      <c r="X366" s="5">
        <v>1.4</v>
      </c>
      <c r="Y366" s="8">
        <v>-4.5499999999999999E-2</v>
      </c>
      <c r="Z366" s="8">
        <v>0.68779999999999997</v>
      </c>
      <c r="AA366" s="5">
        <v>171.4</v>
      </c>
      <c r="AB366" s="6">
        <v>6.863879733934557E-3</v>
      </c>
      <c r="AC366" s="4">
        <v>0</v>
      </c>
      <c r="AD366" s="6">
        <v>0</v>
      </c>
      <c r="AE366" s="5">
        <v>59451.85</v>
      </c>
      <c r="AF366" s="5">
        <v>56533.55</v>
      </c>
      <c r="AG366" s="5">
        <v>-2918.3</v>
      </c>
      <c r="AH366" s="5">
        <v>-4.9086999999999996</v>
      </c>
      <c r="AI366" s="4">
        <v>7</v>
      </c>
      <c r="AJ366" s="5">
        <v>-0.11666700000000001</v>
      </c>
      <c r="AK366" s="5">
        <v>-2987.6605</v>
      </c>
      <c r="AL366" s="5">
        <v>-5.0252999999999997</v>
      </c>
      <c r="AM366" s="8">
        <v>-6.5136000000000003</v>
      </c>
      <c r="AN366" s="8">
        <v>0.14979999999999999</v>
      </c>
      <c r="AO366" s="9">
        <v>-2263.0605</v>
      </c>
      <c r="AP366" s="9">
        <v>-2.1236000000000002</v>
      </c>
      <c r="AQ366" s="5">
        <v>101.33410000000001</v>
      </c>
      <c r="AR366" s="5">
        <v>105.1721</v>
      </c>
      <c r="AS366" s="5">
        <v>-3.8380000000000001</v>
      </c>
      <c r="AT366" s="5">
        <v>-3.6492</v>
      </c>
      <c r="AU366" s="8">
        <v>8.0000000000000004E-4</v>
      </c>
      <c r="AV366" s="8">
        <v>-3.4944999999999999</v>
      </c>
      <c r="AW366" s="8">
        <v>-3.4944999999999999</v>
      </c>
      <c r="AX366" s="5">
        <v>99.9148</v>
      </c>
      <c r="AY366" s="5">
        <v>-4.9988000000000001</v>
      </c>
      <c r="AZ366" s="7" t="s">
        <v>91</v>
      </c>
    </row>
    <row r="367" spans="1:52" ht="18" customHeight="1" x14ac:dyDescent="0.25">
      <c r="A367" s="10">
        <v>183</v>
      </c>
      <c r="B367" s="10">
        <v>2</v>
      </c>
      <c r="C367" s="10">
        <v>183</v>
      </c>
      <c r="D367" s="86">
        <v>45581</v>
      </c>
      <c r="E367" s="86">
        <v>45588</v>
      </c>
      <c r="F367" s="86">
        <v>45596</v>
      </c>
      <c r="G367" s="11">
        <v>24971.3</v>
      </c>
      <c r="H367" s="11">
        <v>24435.5</v>
      </c>
      <c r="I367" s="12"/>
      <c r="J367" s="12"/>
      <c r="K367" s="91">
        <f t="array" ref="K367">MAX(IF((D367&lt;[1]Nifty_D!$B$2:$B$6600)*(E367&gt;=[1]Nifty_D!$B$2:$B$6600),[1]Nifty_D!$F$2:$F$6600,""))</f>
        <v>24854.05</v>
      </c>
      <c r="L367" s="92">
        <f t="shared" si="19"/>
        <v>-4.6953903080736437E-3</v>
      </c>
      <c r="M367" s="91">
        <f t="shared" si="20"/>
        <v>13230.15</v>
      </c>
      <c r="N367" s="93">
        <f t="array" ref="N367">INDEX([1]Nifty_D!$B$2:$B$6600,MATCH(E367,[1]Nifty_D!$B$2:$B$6600,0)-1)</f>
        <v>45587</v>
      </c>
      <c r="O367" s="89">
        <f>VLOOKUP(N367,[1]Nifty_D!$B$2:$F$6600,5,0)</f>
        <v>24472.1</v>
      </c>
      <c r="P367" s="92">
        <f t="shared" si="21"/>
        <v>-1.9990949610152464E-2</v>
      </c>
      <c r="Q367" s="12" t="s">
        <v>40</v>
      </c>
      <c r="R367" s="10">
        <v>26000</v>
      </c>
      <c r="S367" s="103">
        <f>MROUND(G367,500)</f>
        <v>25000</v>
      </c>
      <c r="T367" s="103">
        <f>S367-R367</f>
        <v>-1000</v>
      </c>
      <c r="U367" s="12" t="s">
        <v>92</v>
      </c>
      <c r="V367" s="10">
        <v>65</v>
      </c>
      <c r="W367" s="11">
        <v>956.95</v>
      </c>
      <c r="X367" s="11">
        <v>1510.15</v>
      </c>
      <c r="Y367" s="13">
        <v>-0.10349999999999999</v>
      </c>
      <c r="Z367" s="13">
        <v>2.3313000000000001</v>
      </c>
      <c r="AA367" s="10">
        <v>0</v>
      </c>
      <c r="AB367" s="14">
        <v>0</v>
      </c>
      <c r="AC367" s="11">
        <v>553.20000000000005</v>
      </c>
      <c r="AD367" s="14">
        <v>2.2153432140096831E-2</v>
      </c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 t="s">
        <v>91</v>
      </c>
    </row>
    <row r="368" spans="1:52" ht="18" hidden="1" customHeight="1" x14ac:dyDescent="0.25">
      <c r="A368" s="4">
        <v>184</v>
      </c>
      <c r="B368" s="4">
        <v>1</v>
      </c>
      <c r="C368" s="4">
        <v>184</v>
      </c>
      <c r="D368" s="85">
        <v>45588</v>
      </c>
      <c r="E368" s="85">
        <v>45595</v>
      </c>
      <c r="F368" s="85">
        <v>45596</v>
      </c>
      <c r="G368" s="5">
        <v>24435.5</v>
      </c>
      <c r="H368" s="5">
        <v>24340.85</v>
      </c>
      <c r="I368" s="5">
        <v>-94.65</v>
      </c>
      <c r="J368" s="6">
        <v>-3.8734627897935381E-3</v>
      </c>
      <c r="K368" s="91">
        <f t="array" ref="K368">MAX(IF((D368&lt;[1]Nifty_D!$B$2:$B$6600)*(E368&gt;=[1]Nifty_D!$B$2:$B$6600),[1]Nifty_D!$F$2:$F$6600,""))</f>
        <v>24466.85</v>
      </c>
      <c r="L368" s="92">
        <f t="shared" si="19"/>
        <v>1.2829694501850231E-3</v>
      </c>
      <c r="M368" s="91">
        <f t="shared" si="20"/>
        <v>12842.949999999999</v>
      </c>
      <c r="N368" s="93">
        <f t="array" ref="N368">INDEX([1]Nifty_D!$B$2:$B$6600,MATCH(E368,[1]Nifty_D!$B$2:$B$6600,0)-1)</f>
        <v>45594</v>
      </c>
      <c r="O368" s="89">
        <f>VLOOKUP(N368,[1]Nifty_D!$B$2:$F$6600,5,0)</f>
        <v>24466.85</v>
      </c>
      <c r="P368" s="92">
        <f t="shared" si="21"/>
        <v>1.2829694501850231E-3</v>
      </c>
      <c r="Q368" s="7" t="s">
        <v>28</v>
      </c>
      <c r="R368" s="4">
        <v>24400</v>
      </c>
      <c r="S368" s="102"/>
      <c r="T368" s="102"/>
      <c r="U368" s="7" t="s">
        <v>90</v>
      </c>
      <c r="V368" s="4">
        <v>65</v>
      </c>
      <c r="W368" s="5">
        <v>231.05</v>
      </c>
      <c r="X368" s="5">
        <v>58.95</v>
      </c>
      <c r="Y368" s="8">
        <v>-0.13730000000000001</v>
      </c>
      <c r="Z368" s="8">
        <v>0.79700000000000004</v>
      </c>
      <c r="AA368" s="5">
        <v>172.1</v>
      </c>
      <c r="AB368" s="6">
        <v>7.0430316547645854E-3</v>
      </c>
      <c r="AC368" s="4">
        <v>0</v>
      </c>
      <c r="AD368" s="6">
        <v>0</v>
      </c>
      <c r="AE368" s="5">
        <v>56533.55</v>
      </c>
      <c r="AF368" s="5">
        <v>56339.25</v>
      </c>
      <c r="AG368" s="5">
        <v>-194.3</v>
      </c>
      <c r="AH368" s="5">
        <v>-0.34370000000000001</v>
      </c>
      <c r="AI368" s="4">
        <v>7</v>
      </c>
      <c r="AJ368" s="5">
        <v>-0.11666700000000001</v>
      </c>
      <c r="AK368" s="5">
        <v>-260.25580000000002</v>
      </c>
      <c r="AL368" s="5">
        <v>-0.46039999999999998</v>
      </c>
      <c r="AM368" s="8">
        <v>-3.2031000000000001</v>
      </c>
      <c r="AN368" s="8">
        <v>0.44779999999999998</v>
      </c>
      <c r="AO368" s="15">
        <v>30.5442</v>
      </c>
      <c r="AP368" s="15">
        <v>0.72970000000000002</v>
      </c>
      <c r="AQ368" s="5">
        <v>102.0735</v>
      </c>
      <c r="AR368" s="5">
        <v>105.1721</v>
      </c>
      <c r="AS368" s="5">
        <v>-3.0985</v>
      </c>
      <c r="AT368" s="5">
        <v>-2.9462000000000002</v>
      </c>
      <c r="AU368" s="8">
        <v>0.1022</v>
      </c>
      <c r="AV368" s="8">
        <v>-0.69299999999999995</v>
      </c>
      <c r="AW368" s="8">
        <v>-0.69299999999999995</v>
      </c>
      <c r="AX368" s="5">
        <v>100.6318</v>
      </c>
      <c r="AY368" s="5">
        <v>-4.3170000000000002</v>
      </c>
      <c r="AZ368" s="7" t="s">
        <v>91</v>
      </c>
    </row>
    <row r="369" spans="1:52" ht="18" customHeight="1" x14ac:dyDescent="0.25">
      <c r="A369" s="10">
        <v>184</v>
      </c>
      <c r="B369" s="10">
        <v>2</v>
      </c>
      <c r="C369" s="10">
        <v>184</v>
      </c>
      <c r="D369" s="86">
        <v>45588</v>
      </c>
      <c r="E369" s="86">
        <v>45595</v>
      </c>
      <c r="F369" s="86">
        <v>45596</v>
      </c>
      <c r="G369" s="11">
        <v>24435.5</v>
      </c>
      <c r="H369" s="11">
        <v>24340.85</v>
      </c>
      <c r="I369" s="12"/>
      <c r="J369" s="12"/>
      <c r="K369" s="91">
        <f t="array" ref="K369">MAX(IF((D369&lt;[1]Nifty_D!$B$2:$B$6600)*(E369&gt;=[1]Nifty_D!$B$2:$B$6600),[1]Nifty_D!$F$2:$F$6600,""))</f>
        <v>24466.85</v>
      </c>
      <c r="L369" s="92">
        <f t="shared" si="19"/>
        <v>1.2829694501850231E-3</v>
      </c>
      <c r="M369" s="91">
        <f t="shared" si="20"/>
        <v>12842.949999999999</v>
      </c>
      <c r="N369" s="93">
        <f t="array" ref="N369">INDEX([1]Nifty_D!$B$2:$B$6600,MATCH(E369,[1]Nifty_D!$B$2:$B$6600,0)-1)</f>
        <v>45594</v>
      </c>
      <c r="O369" s="89">
        <f>VLOOKUP(N369,[1]Nifty_D!$B$2:$F$6600,5,0)</f>
        <v>24466.85</v>
      </c>
      <c r="P369" s="92">
        <f t="shared" si="21"/>
        <v>1.2829694501850231E-3</v>
      </c>
      <c r="Q369" s="12" t="s">
        <v>40</v>
      </c>
      <c r="R369" s="10">
        <v>26000</v>
      </c>
      <c r="S369" s="103">
        <f>MROUND(G369,500)</f>
        <v>24500</v>
      </c>
      <c r="T369" s="103">
        <f>S369-R369</f>
        <v>-1500</v>
      </c>
      <c r="U369" s="12" t="s">
        <v>92</v>
      </c>
      <c r="V369" s="10">
        <v>65</v>
      </c>
      <c r="W369" s="11">
        <v>1510.15</v>
      </c>
      <c r="X369" s="11">
        <v>1628.85</v>
      </c>
      <c r="Y369" s="13">
        <v>-0.20830000000000001</v>
      </c>
      <c r="Z369" s="13">
        <v>1.7131000000000001</v>
      </c>
      <c r="AA369" s="10">
        <v>0</v>
      </c>
      <c r="AB369" s="14">
        <v>0</v>
      </c>
      <c r="AC369" s="11">
        <v>118.7</v>
      </c>
      <c r="AD369" s="14">
        <v>4.8576865625831267E-3</v>
      </c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 t="s">
        <v>91</v>
      </c>
    </row>
    <row r="370" spans="1:52" ht="18" hidden="1" customHeight="1" x14ac:dyDescent="0.25">
      <c r="A370" s="4">
        <v>185</v>
      </c>
      <c r="B370" s="4">
        <v>1</v>
      </c>
      <c r="C370" s="4">
        <v>185</v>
      </c>
      <c r="D370" s="85">
        <v>45595</v>
      </c>
      <c r="E370" s="85">
        <v>45602</v>
      </c>
      <c r="F370" s="85">
        <v>45603</v>
      </c>
      <c r="G370" s="5">
        <v>24340.85</v>
      </c>
      <c r="H370" s="5">
        <v>24484.05</v>
      </c>
      <c r="I370" s="5">
        <v>143.19999999999999</v>
      </c>
      <c r="J370" s="6">
        <v>5.8831141886992438E-3</v>
      </c>
      <c r="K370" s="91">
        <f t="array" ref="K370">MAX(IF((D370&lt;[1]Nifty_D!$B$2:$B$6600)*(E370&gt;=[1]Nifty_D!$B$2:$B$6600),[1]Nifty_D!$F$2:$F$6600,""))</f>
        <v>24484.05</v>
      </c>
      <c r="L370" s="92">
        <f t="shared" si="19"/>
        <v>5.8831141886992455E-3</v>
      </c>
      <c r="M370" s="91">
        <f t="shared" si="20"/>
        <v>12860.15</v>
      </c>
      <c r="N370" s="93">
        <f t="array" ref="N370">INDEX([1]Nifty_D!$B$2:$B$6600,MATCH(E370,[1]Nifty_D!$B$2:$B$6600,0)-1)</f>
        <v>45601</v>
      </c>
      <c r="O370" s="89">
        <f>VLOOKUP(N370,[1]Nifty_D!$B$2:$F$6600,5,0)</f>
        <v>24213.3</v>
      </c>
      <c r="P370" s="92">
        <f t="shared" si="21"/>
        <v>-5.2401621143057797E-3</v>
      </c>
      <c r="Q370" s="7" t="s">
        <v>28</v>
      </c>
      <c r="R370" s="4">
        <v>24300</v>
      </c>
      <c r="S370" s="102"/>
      <c r="T370" s="102"/>
      <c r="U370" s="7" t="s">
        <v>90</v>
      </c>
      <c r="V370" s="4">
        <v>65</v>
      </c>
      <c r="W370" s="5">
        <v>294.2</v>
      </c>
      <c r="X370" s="5">
        <v>184.1</v>
      </c>
      <c r="Y370" s="8">
        <v>6.2399999999999997E-2</v>
      </c>
      <c r="Z370" s="8">
        <v>1.0476000000000001</v>
      </c>
      <c r="AA370" s="5">
        <v>110.1</v>
      </c>
      <c r="AB370" s="6">
        <v>4.5232602805571707E-3</v>
      </c>
      <c r="AC370" s="4">
        <v>0</v>
      </c>
      <c r="AD370" s="6">
        <v>0</v>
      </c>
      <c r="AE370" s="5">
        <v>56339.25</v>
      </c>
      <c r="AF370" s="5">
        <v>57355.8</v>
      </c>
      <c r="AG370" s="5">
        <v>1016.55</v>
      </c>
      <c r="AH370" s="5">
        <v>1.8043</v>
      </c>
      <c r="AI370" s="4">
        <v>7</v>
      </c>
      <c r="AJ370" s="5">
        <v>-0.11666700000000001</v>
      </c>
      <c r="AK370" s="5">
        <v>950.82090000000005</v>
      </c>
      <c r="AL370" s="5">
        <v>1.6877</v>
      </c>
      <c r="AM370" s="8">
        <v>-2.1354000000000002</v>
      </c>
      <c r="AN370" s="8">
        <v>1.8263</v>
      </c>
      <c r="AO370" s="15">
        <v>936.82090000000005</v>
      </c>
      <c r="AP370" s="15">
        <v>1.6302000000000001</v>
      </c>
      <c r="AQ370" s="5">
        <v>103.7375</v>
      </c>
      <c r="AR370" s="5">
        <v>105.1721</v>
      </c>
      <c r="AS370" s="5">
        <v>-1.4345000000000001</v>
      </c>
      <c r="AT370" s="5">
        <v>-1.3640000000000001</v>
      </c>
      <c r="AU370" s="8">
        <v>1.2513000000000001</v>
      </c>
      <c r="AV370" s="8">
        <v>0.4103</v>
      </c>
      <c r="AW370" s="8">
        <v>0.4103</v>
      </c>
      <c r="AX370" s="5">
        <v>102.4923</v>
      </c>
      <c r="AY370" s="5">
        <v>-2.548</v>
      </c>
      <c r="AZ370" s="7" t="s">
        <v>91</v>
      </c>
    </row>
    <row r="371" spans="1:52" ht="18" customHeight="1" x14ac:dyDescent="0.25">
      <c r="A371" s="10">
        <v>185</v>
      </c>
      <c r="B371" s="10">
        <v>2</v>
      </c>
      <c r="C371" s="10">
        <v>185</v>
      </c>
      <c r="D371" s="86">
        <v>45595</v>
      </c>
      <c r="E371" s="86">
        <v>45602</v>
      </c>
      <c r="F371" s="86">
        <v>45624</v>
      </c>
      <c r="G371" s="11">
        <v>24340.85</v>
      </c>
      <c r="H371" s="11">
        <v>24484.05</v>
      </c>
      <c r="I371" s="12"/>
      <c r="J371" s="12"/>
      <c r="K371" s="91">
        <f t="array" ref="K371">MAX(IF((D371&lt;[1]Nifty_D!$B$2:$B$6600)*(E371&gt;=[1]Nifty_D!$B$2:$B$6600),[1]Nifty_D!$F$2:$F$6600,""))</f>
        <v>24484.05</v>
      </c>
      <c r="L371" s="92">
        <f t="shared" si="19"/>
        <v>5.8831141886992455E-3</v>
      </c>
      <c r="M371" s="91">
        <f t="shared" si="20"/>
        <v>12860.15</v>
      </c>
      <c r="N371" s="93">
        <f t="array" ref="N371">INDEX([1]Nifty_D!$B$2:$B$6600,MATCH(E371,[1]Nifty_D!$B$2:$B$6600,0)-1)</f>
        <v>45601</v>
      </c>
      <c r="O371" s="89">
        <f>VLOOKUP(N371,[1]Nifty_D!$B$2:$F$6600,5,0)</f>
        <v>24213.3</v>
      </c>
      <c r="P371" s="92">
        <f t="shared" si="21"/>
        <v>-5.2401621143057797E-3</v>
      </c>
      <c r="Q371" s="12" t="s">
        <v>40</v>
      </c>
      <c r="R371" s="10">
        <v>24500</v>
      </c>
      <c r="S371" s="103">
        <f>MROUND(G371,500)</f>
        <v>24500</v>
      </c>
      <c r="T371" s="103">
        <f>S371-R371</f>
        <v>0</v>
      </c>
      <c r="U371" s="12" t="s">
        <v>92</v>
      </c>
      <c r="V371" s="10">
        <v>65</v>
      </c>
      <c r="W371" s="11">
        <v>403.25</v>
      </c>
      <c r="X371" s="11">
        <v>279.14999999999998</v>
      </c>
      <c r="Y371" s="13">
        <v>-0.63739999999999997</v>
      </c>
      <c r="Z371" s="13">
        <v>1.4981</v>
      </c>
      <c r="AA371" s="10">
        <v>0</v>
      </c>
      <c r="AB371" s="14">
        <v>0</v>
      </c>
      <c r="AC371" s="11">
        <v>-124.1</v>
      </c>
      <c r="AD371" s="14">
        <v>-5.0984250755417336E-3</v>
      </c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 t="s">
        <v>91</v>
      </c>
    </row>
    <row r="372" spans="1:52" ht="18" hidden="1" customHeight="1" x14ac:dyDescent="0.25">
      <c r="A372" s="4">
        <v>186</v>
      </c>
      <c r="B372" s="4">
        <v>1</v>
      </c>
      <c r="C372" s="4">
        <v>186</v>
      </c>
      <c r="D372" s="85">
        <v>45602</v>
      </c>
      <c r="E372" s="85">
        <v>45609</v>
      </c>
      <c r="F372" s="85">
        <v>45610</v>
      </c>
      <c r="G372" s="5">
        <v>24484.05</v>
      </c>
      <c r="H372" s="5">
        <v>23559.05</v>
      </c>
      <c r="I372" s="4">
        <v>-925</v>
      </c>
      <c r="J372" s="6">
        <v>-3.7779697394834597E-2</v>
      </c>
      <c r="K372" s="91">
        <f t="array" ref="K372">MAX(IF((D372&lt;[1]Nifty_D!$B$2:$B$6600)*(E372&gt;=[1]Nifty_D!$B$2:$B$6600),[1]Nifty_D!$F$2:$F$6600,""))</f>
        <v>24199.35</v>
      </c>
      <c r="L372" s="92">
        <f t="shared" si="19"/>
        <v>-1.1627978214388546E-2</v>
      </c>
      <c r="M372" s="91">
        <f t="shared" si="20"/>
        <v>12575.449999999999</v>
      </c>
      <c r="N372" s="93">
        <f t="array" ref="N372">INDEX([1]Nifty_D!$B$2:$B$6600,MATCH(E372,[1]Nifty_D!$B$2:$B$6600,0)-1)</f>
        <v>45608</v>
      </c>
      <c r="O372" s="89">
        <f>VLOOKUP(N372,[1]Nifty_D!$B$2:$F$6600,5,0)</f>
        <v>23883.45</v>
      </c>
      <c r="P372" s="92">
        <f t="shared" si="21"/>
        <v>-2.4530255411175816E-2</v>
      </c>
      <c r="Q372" s="7" t="s">
        <v>28</v>
      </c>
      <c r="R372" s="4">
        <v>24500</v>
      </c>
      <c r="S372" s="102"/>
      <c r="T372" s="102"/>
      <c r="U372" s="7" t="s">
        <v>90</v>
      </c>
      <c r="V372" s="4">
        <v>65</v>
      </c>
      <c r="W372" s="5">
        <v>207.15</v>
      </c>
      <c r="X372" s="5">
        <v>1.5</v>
      </c>
      <c r="Y372" s="8">
        <v>-2.86E-2</v>
      </c>
      <c r="Z372" s="8">
        <v>0.84240000000000004</v>
      </c>
      <c r="AA372" s="5">
        <v>205.65</v>
      </c>
      <c r="AB372" s="6">
        <v>8.3993456964840379E-3</v>
      </c>
      <c r="AC372" s="4">
        <v>0</v>
      </c>
      <c r="AD372" s="6">
        <v>0</v>
      </c>
      <c r="AE372" s="5">
        <v>57355.8</v>
      </c>
      <c r="AF372" s="5">
        <v>53800.85</v>
      </c>
      <c r="AG372" s="5">
        <v>-3554.95</v>
      </c>
      <c r="AH372" s="5">
        <v>-6.1981000000000002</v>
      </c>
      <c r="AI372" s="4">
        <v>7</v>
      </c>
      <c r="AJ372" s="5">
        <v>-0.11666700000000001</v>
      </c>
      <c r="AK372" s="5">
        <v>-3621.8651</v>
      </c>
      <c r="AL372" s="5">
        <v>-6.3147000000000002</v>
      </c>
      <c r="AM372" s="8">
        <v>-6.5946999999999996</v>
      </c>
      <c r="AN372" s="8">
        <v>0.63839999999999997</v>
      </c>
      <c r="AO372" s="9">
        <v>-2824.4650999999999</v>
      </c>
      <c r="AP372" s="9">
        <v>-3.0579000000000001</v>
      </c>
      <c r="AQ372" s="5">
        <v>100.56529999999999</v>
      </c>
      <c r="AR372" s="5">
        <v>105.1721</v>
      </c>
      <c r="AS372" s="5">
        <v>-4.6067</v>
      </c>
      <c r="AT372" s="5">
        <v>-4.3802000000000003</v>
      </c>
      <c r="AU372" s="8">
        <v>0.59689999999999999</v>
      </c>
      <c r="AV372" s="8">
        <v>-3.1553</v>
      </c>
      <c r="AW372" s="8">
        <v>-3.1553</v>
      </c>
      <c r="AX372" s="5">
        <v>100.46429999999999</v>
      </c>
      <c r="AY372" s="5">
        <v>-4.4763000000000002</v>
      </c>
      <c r="AZ372" s="7" t="s">
        <v>91</v>
      </c>
    </row>
    <row r="373" spans="1:52" ht="18" customHeight="1" x14ac:dyDescent="0.25">
      <c r="A373" s="10">
        <v>186</v>
      </c>
      <c r="B373" s="10">
        <v>2</v>
      </c>
      <c r="C373" s="10">
        <v>186</v>
      </c>
      <c r="D373" s="86">
        <v>45602</v>
      </c>
      <c r="E373" s="86">
        <v>45609</v>
      </c>
      <c r="F373" s="86">
        <v>45624</v>
      </c>
      <c r="G373" s="11">
        <v>24484.05</v>
      </c>
      <c r="H373" s="11">
        <v>23559.05</v>
      </c>
      <c r="I373" s="12"/>
      <c r="J373" s="12"/>
      <c r="K373" s="91">
        <f t="array" ref="K373">MAX(IF((D373&lt;[1]Nifty_D!$B$2:$B$6600)*(E373&gt;=[1]Nifty_D!$B$2:$B$6600),[1]Nifty_D!$F$2:$F$6600,""))</f>
        <v>24199.35</v>
      </c>
      <c r="L373" s="92">
        <f t="shared" si="19"/>
        <v>-1.1627978214388546E-2</v>
      </c>
      <c r="M373" s="91">
        <f t="shared" si="20"/>
        <v>12575.449999999999</v>
      </c>
      <c r="N373" s="93">
        <f t="array" ref="N373">INDEX([1]Nifty_D!$B$2:$B$6600,MATCH(E373,[1]Nifty_D!$B$2:$B$6600,0)-1)</f>
        <v>45608</v>
      </c>
      <c r="O373" s="89">
        <f>VLOOKUP(N373,[1]Nifty_D!$B$2:$F$6600,5,0)</f>
        <v>23883.45</v>
      </c>
      <c r="P373" s="92">
        <f t="shared" si="21"/>
        <v>-2.4530255411175816E-2</v>
      </c>
      <c r="Q373" s="12" t="s">
        <v>40</v>
      </c>
      <c r="R373" s="10">
        <v>24500</v>
      </c>
      <c r="S373" s="103">
        <f>MROUND(G373,500)</f>
        <v>24500</v>
      </c>
      <c r="T373" s="103">
        <f>S373-R373</f>
        <v>0</v>
      </c>
      <c r="U373" s="12" t="s">
        <v>92</v>
      </c>
      <c r="V373" s="10">
        <v>65</v>
      </c>
      <c r="W373" s="11">
        <v>279.14999999999998</v>
      </c>
      <c r="X373" s="11">
        <v>870.9</v>
      </c>
      <c r="Y373" s="13">
        <v>-1.29E-2</v>
      </c>
      <c r="Z373" s="13">
        <v>2.597</v>
      </c>
      <c r="AA373" s="10">
        <v>0</v>
      </c>
      <c r="AB373" s="14">
        <v>0</v>
      </c>
      <c r="AC373" s="11">
        <v>591.75</v>
      </c>
      <c r="AD373" s="14">
        <v>2.4168795603668511E-2</v>
      </c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 t="s">
        <v>91</v>
      </c>
    </row>
    <row r="374" spans="1:52" ht="18" hidden="1" customHeight="1" x14ac:dyDescent="0.25">
      <c r="A374" s="4">
        <v>187</v>
      </c>
      <c r="B374" s="4">
        <v>1</v>
      </c>
      <c r="C374" s="4">
        <v>187</v>
      </c>
      <c r="D374" s="85">
        <v>45609</v>
      </c>
      <c r="E374" s="85">
        <v>45615</v>
      </c>
      <c r="F374" s="85">
        <v>45617</v>
      </c>
      <c r="G374" s="5">
        <v>23559.05</v>
      </c>
      <c r="H374" s="5">
        <v>23518.5</v>
      </c>
      <c r="I374" s="5">
        <v>-40.549999999999997</v>
      </c>
      <c r="J374" s="6">
        <v>-1.7212069247274401E-3</v>
      </c>
      <c r="K374" s="91">
        <f t="array" ref="K374">MAX(IF((D374&lt;[1]Nifty_D!$B$2:$B$6600)*(E374&gt;=[1]Nifty_D!$B$2:$B$6600),[1]Nifty_D!$F$2:$F$6600,""))</f>
        <v>23532.7</v>
      </c>
      <c r="L374" s="92">
        <f t="shared" si="19"/>
        <v>-1.1184661520731165E-3</v>
      </c>
      <c r="M374" s="91">
        <f t="shared" si="20"/>
        <v>11908.800000000001</v>
      </c>
      <c r="N374" s="93">
        <f t="array" ref="N374">INDEX([1]Nifty_D!$B$2:$B$6600,MATCH(E374,[1]Nifty_D!$B$2:$B$6600,0)-1)</f>
        <v>45614</v>
      </c>
      <c r="O374" s="89">
        <f>VLOOKUP(N374,[1]Nifty_D!$B$2:$F$6600,5,0)</f>
        <v>23453.8</v>
      </c>
      <c r="P374" s="92">
        <f t="shared" si="21"/>
        <v>-4.467497628299899E-3</v>
      </c>
      <c r="Q374" s="7" t="s">
        <v>28</v>
      </c>
      <c r="R374" s="4">
        <v>23600</v>
      </c>
      <c r="S374" s="102"/>
      <c r="T374" s="102"/>
      <c r="U374" s="7" t="s">
        <v>90</v>
      </c>
      <c r="V374" s="4">
        <v>65</v>
      </c>
      <c r="W374" s="5">
        <v>188.4</v>
      </c>
      <c r="X374" s="5">
        <v>59.5</v>
      </c>
      <c r="Y374" s="8">
        <v>-0.20499999999999999</v>
      </c>
      <c r="Z374" s="8">
        <v>0.62350000000000005</v>
      </c>
      <c r="AA374" s="5">
        <v>128.9</v>
      </c>
      <c r="AB374" s="6">
        <v>5.4713581405022704E-3</v>
      </c>
      <c r="AC374" s="4">
        <v>0</v>
      </c>
      <c r="AD374" s="6">
        <v>0</v>
      </c>
      <c r="AE374" s="5">
        <v>53800.85</v>
      </c>
      <c r="AF374" s="5">
        <v>54548.25</v>
      </c>
      <c r="AG374" s="5">
        <v>747.4</v>
      </c>
      <c r="AH374" s="5">
        <v>1.3892</v>
      </c>
      <c r="AI374" s="4">
        <v>6</v>
      </c>
      <c r="AJ374" s="5">
        <v>-0.1</v>
      </c>
      <c r="AK374" s="5">
        <v>693.5992</v>
      </c>
      <c r="AL374" s="5">
        <v>1.2891999999999999</v>
      </c>
      <c r="AM374" s="8">
        <v>-0.30730000000000002</v>
      </c>
      <c r="AN374" s="8">
        <v>2.2799</v>
      </c>
      <c r="AO374" s="15">
        <v>922.5992</v>
      </c>
      <c r="AP374" s="15">
        <v>2.2612000000000001</v>
      </c>
      <c r="AQ374" s="5">
        <v>102.83929999999999</v>
      </c>
      <c r="AR374" s="5">
        <v>105.1721</v>
      </c>
      <c r="AS374" s="5">
        <v>-2.3328000000000002</v>
      </c>
      <c r="AT374" s="5">
        <v>-2.218</v>
      </c>
      <c r="AU374" s="8">
        <v>1.1839</v>
      </c>
      <c r="AV374" s="8">
        <v>1.3456999999999999</v>
      </c>
      <c r="AW374" s="8">
        <v>1.1839</v>
      </c>
      <c r="AX374" s="5">
        <v>101.7559</v>
      </c>
      <c r="AY374" s="5">
        <v>-3.2481</v>
      </c>
      <c r="AZ374" s="7" t="s">
        <v>91</v>
      </c>
    </row>
    <row r="375" spans="1:52" ht="18" customHeight="1" x14ac:dyDescent="0.25">
      <c r="A375" s="10">
        <v>187</v>
      </c>
      <c r="B375" s="10">
        <v>2</v>
      </c>
      <c r="C375" s="10">
        <v>187</v>
      </c>
      <c r="D375" s="86">
        <v>45609</v>
      </c>
      <c r="E375" s="86">
        <v>45615</v>
      </c>
      <c r="F375" s="86">
        <v>45624</v>
      </c>
      <c r="G375" s="11">
        <v>23559.05</v>
      </c>
      <c r="H375" s="11">
        <v>23518.5</v>
      </c>
      <c r="I375" s="12"/>
      <c r="J375" s="12"/>
      <c r="K375" s="91">
        <f t="array" ref="K375">MAX(IF((D375&lt;[1]Nifty_D!$B$2:$B$6600)*(E375&gt;=[1]Nifty_D!$B$2:$B$6600),[1]Nifty_D!$F$2:$F$6600,""))</f>
        <v>23532.7</v>
      </c>
      <c r="L375" s="92">
        <f t="shared" si="19"/>
        <v>-1.1184661520731165E-3</v>
      </c>
      <c r="M375" s="91">
        <f t="shared" si="20"/>
        <v>11908.800000000001</v>
      </c>
      <c r="N375" s="93">
        <f t="array" ref="N375">INDEX([1]Nifty_D!$B$2:$B$6600,MATCH(E375,[1]Nifty_D!$B$2:$B$6600,0)-1)</f>
        <v>45614</v>
      </c>
      <c r="O375" s="89">
        <f>VLOOKUP(N375,[1]Nifty_D!$B$2:$F$6600,5,0)</f>
        <v>23453.8</v>
      </c>
      <c r="P375" s="92">
        <f t="shared" si="21"/>
        <v>-4.467497628299899E-3</v>
      </c>
      <c r="Q375" s="12" t="s">
        <v>40</v>
      </c>
      <c r="R375" s="10">
        <v>24500</v>
      </c>
      <c r="S375" s="103">
        <f>MROUND(G375,500)</f>
        <v>23500</v>
      </c>
      <c r="T375" s="103">
        <f>S375-R375</f>
        <v>-1000</v>
      </c>
      <c r="U375" s="12" t="s">
        <v>92</v>
      </c>
      <c r="V375" s="10">
        <v>65</v>
      </c>
      <c r="W375" s="11">
        <v>870.9</v>
      </c>
      <c r="X375" s="10">
        <v>971</v>
      </c>
      <c r="Y375" s="13">
        <v>-0.89100000000000001</v>
      </c>
      <c r="Z375" s="13">
        <v>1.0295000000000001</v>
      </c>
      <c r="AA375" s="10">
        <v>0</v>
      </c>
      <c r="AB375" s="14">
        <v>0</v>
      </c>
      <c r="AC375" s="11">
        <v>100.1</v>
      </c>
      <c r="AD375" s="14">
        <v>4.2488979818795748E-3</v>
      </c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 t="s">
        <v>91</v>
      </c>
    </row>
    <row r="376" spans="1:52" ht="18" hidden="1" customHeight="1" x14ac:dyDescent="0.25">
      <c r="A376" s="4">
        <v>188</v>
      </c>
      <c r="B376" s="4">
        <v>1</v>
      </c>
      <c r="C376" s="4">
        <v>188</v>
      </c>
      <c r="D376" s="85">
        <v>45615</v>
      </c>
      <c r="E376" s="85">
        <v>45618</v>
      </c>
      <c r="F376" s="85">
        <v>45624</v>
      </c>
      <c r="G376" s="5">
        <v>23518.5</v>
      </c>
      <c r="H376" s="5">
        <v>23907.25</v>
      </c>
      <c r="I376" s="5">
        <v>388.75</v>
      </c>
      <c r="J376" s="6">
        <v>1.65295405744414E-2</v>
      </c>
      <c r="K376" s="91">
        <f t="array" ref="K376">MAX(IF((D376&lt;[1]Nifty_D!$B$2:$B$6600)*(E376&gt;=[1]Nifty_D!$B$2:$B$6600),[1]Nifty_D!$F$2:$F$6600,""))</f>
        <v>23907.25</v>
      </c>
      <c r="L376" s="92">
        <f t="shared" si="19"/>
        <v>1.6529540574441448E-2</v>
      </c>
      <c r="M376" s="91">
        <f t="shared" si="20"/>
        <v>12283.35</v>
      </c>
      <c r="N376" s="93">
        <f t="array" ref="N376">INDEX([1]Nifty_D!$B$2:$B$6600,MATCH(E376,[1]Nifty_D!$B$2:$B$6600,0)-1)</f>
        <v>45617</v>
      </c>
      <c r="O376" s="89">
        <f>VLOOKUP(N376,[1]Nifty_D!$B$2:$F$6600,5,0)</f>
        <v>23349.9</v>
      </c>
      <c r="P376" s="92">
        <f t="shared" si="21"/>
        <v>-7.1688245423814356E-3</v>
      </c>
      <c r="Q376" s="7" t="s">
        <v>28</v>
      </c>
      <c r="R376" s="4">
        <v>23500</v>
      </c>
      <c r="S376" s="102"/>
      <c r="T376" s="102"/>
      <c r="U376" s="7" t="s">
        <v>90</v>
      </c>
      <c r="V376" s="4">
        <v>65</v>
      </c>
      <c r="W376" s="5">
        <v>226.5</v>
      </c>
      <c r="X376" s="5">
        <v>469.55</v>
      </c>
      <c r="Y376" s="8">
        <v>-1.3191999999999999</v>
      </c>
      <c r="Z376" s="8">
        <v>0.54979999999999996</v>
      </c>
      <c r="AA376" s="5">
        <v>-243.05</v>
      </c>
      <c r="AB376" s="6">
        <v>-1.0334417586155579E-2</v>
      </c>
      <c r="AC376" s="4">
        <v>0</v>
      </c>
      <c r="AD376" s="6">
        <v>0</v>
      </c>
      <c r="AE376" s="5">
        <v>54548.25</v>
      </c>
      <c r="AF376" s="5">
        <v>55016.85</v>
      </c>
      <c r="AG376" s="5">
        <v>468.6</v>
      </c>
      <c r="AH376" s="5">
        <v>0.85909999999999997</v>
      </c>
      <c r="AI376" s="4">
        <v>3</v>
      </c>
      <c r="AJ376" s="5">
        <v>-0.05</v>
      </c>
      <c r="AK376" s="5">
        <v>441.32589999999999</v>
      </c>
      <c r="AL376" s="5">
        <v>0.80910000000000004</v>
      </c>
      <c r="AM376" s="8">
        <v>-1.1667000000000001</v>
      </c>
      <c r="AN376" s="8">
        <v>0.90200000000000002</v>
      </c>
      <c r="AO376" s="9">
        <v>-153.8741</v>
      </c>
      <c r="AP376" s="9">
        <v>-1.7217</v>
      </c>
      <c r="AQ376" s="5">
        <v>101.06870000000001</v>
      </c>
      <c r="AR376" s="5">
        <v>105.1721</v>
      </c>
      <c r="AS376" s="5">
        <v>-4.1032999999999999</v>
      </c>
      <c r="AT376" s="5">
        <v>-3.9015</v>
      </c>
      <c r="AU376" s="8">
        <v>-2.1452</v>
      </c>
      <c r="AV376" s="8">
        <v>0.44180000000000003</v>
      </c>
      <c r="AW376" s="8">
        <v>-2.1452</v>
      </c>
      <c r="AX376" s="5">
        <v>100.6332</v>
      </c>
      <c r="AY376" s="5">
        <v>-4.3156999999999996</v>
      </c>
      <c r="AZ376" s="7" t="s">
        <v>95</v>
      </c>
    </row>
    <row r="377" spans="1:52" ht="18" customHeight="1" x14ac:dyDescent="0.25">
      <c r="A377" s="10">
        <v>188</v>
      </c>
      <c r="B377" s="10">
        <v>2</v>
      </c>
      <c r="C377" s="10">
        <v>188</v>
      </c>
      <c r="D377" s="86">
        <v>45615</v>
      </c>
      <c r="E377" s="86">
        <v>45618</v>
      </c>
      <c r="F377" s="86">
        <v>45624</v>
      </c>
      <c r="G377" s="11">
        <v>23518.5</v>
      </c>
      <c r="H377" s="11">
        <v>23907.25</v>
      </c>
      <c r="I377" s="12"/>
      <c r="J377" s="12"/>
      <c r="K377" s="91">
        <f t="array" ref="K377">MAX(IF((D377&lt;[1]Nifty_D!$B$2:$B$6600)*(E377&gt;=[1]Nifty_D!$B$2:$B$6600),[1]Nifty_D!$F$2:$F$6600,""))</f>
        <v>23907.25</v>
      </c>
      <c r="L377" s="92">
        <f t="shared" si="19"/>
        <v>1.6529540574441448E-2</v>
      </c>
      <c r="M377" s="91">
        <f t="shared" si="20"/>
        <v>12283.35</v>
      </c>
      <c r="N377" s="93">
        <f t="array" ref="N377">INDEX([1]Nifty_D!$B$2:$B$6600,MATCH(E377,[1]Nifty_D!$B$2:$B$6600,0)-1)</f>
        <v>45617</v>
      </c>
      <c r="O377" s="89">
        <f>VLOOKUP(N377,[1]Nifty_D!$B$2:$F$6600,5,0)</f>
        <v>23349.9</v>
      </c>
      <c r="P377" s="92">
        <f t="shared" si="21"/>
        <v>-7.1688245423814356E-3</v>
      </c>
      <c r="Q377" s="12" t="s">
        <v>40</v>
      </c>
      <c r="R377" s="10">
        <v>24500</v>
      </c>
      <c r="S377" s="103">
        <f>MROUND(G377,500)</f>
        <v>23500</v>
      </c>
      <c r="T377" s="103">
        <f>S377-R377</f>
        <v>-1000</v>
      </c>
      <c r="U377" s="12" t="s">
        <v>92</v>
      </c>
      <c r="V377" s="10">
        <v>65</v>
      </c>
      <c r="W377" s="10">
        <v>971</v>
      </c>
      <c r="X377" s="11">
        <v>618.85</v>
      </c>
      <c r="Y377" s="13">
        <v>-1.728</v>
      </c>
      <c r="Z377" s="13">
        <v>1.0587</v>
      </c>
      <c r="AA377" s="10">
        <v>0</v>
      </c>
      <c r="AB377" s="14">
        <v>0</v>
      </c>
      <c r="AC377" s="11">
        <v>-352.15</v>
      </c>
      <c r="AD377" s="14">
        <v>-1.497331887662904E-2</v>
      </c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 t="s">
        <v>95</v>
      </c>
    </row>
    <row r="378" spans="1:52" ht="18" hidden="1" customHeight="1" x14ac:dyDescent="0.25">
      <c r="A378" s="4">
        <v>189</v>
      </c>
      <c r="B378" s="4">
        <v>1</v>
      </c>
      <c r="C378" s="4">
        <v>189</v>
      </c>
      <c r="D378" s="85">
        <v>45618</v>
      </c>
      <c r="E378" s="85">
        <v>45621</v>
      </c>
      <c r="F378" s="85">
        <v>45624</v>
      </c>
      <c r="G378" s="5">
        <v>23907.25</v>
      </c>
      <c r="H378" s="5">
        <v>24221.9</v>
      </c>
      <c r="I378" s="5">
        <v>314.64999999999998</v>
      </c>
      <c r="J378" s="6">
        <v>1.3161279528176599E-2</v>
      </c>
      <c r="K378" s="91">
        <f t="array" ref="K378">MAX(IF((D378&lt;[1]Nifty_D!$B$2:$B$6600)*(E378&gt;=[1]Nifty_D!$B$2:$B$6600),[1]Nifty_D!$F$2:$F$6600,""))</f>
        <v>24221.9</v>
      </c>
      <c r="L378" s="92">
        <f t="shared" si="19"/>
        <v>1.3161279528176584E-2</v>
      </c>
      <c r="M378" s="91">
        <f t="shared" si="20"/>
        <v>12598.000000000002</v>
      </c>
      <c r="N378" s="93">
        <f t="array" ref="N378">INDEX([1]Nifty_D!$B$2:$B$6600,MATCH(E378,[1]Nifty_D!$B$2:$B$6600,0)-1)</f>
        <v>45618</v>
      </c>
      <c r="O378" s="89">
        <f>VLOOKUP(N378,[1]Nifty_D!$B$2:$F$6600,5,0)</f>
        <v>23907.25</v>
      </c>
      <c r="P378" s="92">
        <f t="shared" si="21"/>
        <v>0</v>
      </c>
      <c r="Q378" s="7" t="s">
        <v>28</v>
      </c>
      <c r="R378" s="4">
        <v>23900</v>
      </c>
      <c r="S378" s="102"/>
      <c r="T378" s="102"/>
      <c r="U378" s="7" t="s">
        <v>90</v>
      </c>
      <c r="V378" s="4">
        <v>65</v>
      </c>
      <c r="W378" s="5">
        <v>192.75</v>
      </c>
      <c r="X378" s="5">
        <v>406.15</v>
      </c>
      <c r="Y378" s="8">
        <v>-1.2809999999999999</v>
      </c>
      <c r="Z378" s="8">
        <v>-0.46389999999999998</v>
      </c>
      <c r="AA378" s="5">
        <v>-213.4</v>
      </c>
      <c r="AB378" s="6">
        <v>-8.9261625657488831E-3</v>
      </c>
      <c r="AC378" s="4">
        <v>0</v>
      </c>
      <c r="AD378" s="6">
        <v>0</v>
      </c>
      <c r="AE378" s="5">
        <v>55016.85</v>
      </c>
      <c r="AF378" s="5">
        <v>55900.55</v>
      </c>
      <c r="AG378" s="5">
        <v>883.7</v>
      </c>
      <c r="AH378" s="5">
        <v>1.6062000000000001</v>
      </c>
      <c r="AI378" s="4">
        <v>3</v>
      </c>
      <c r="AJ378" s="5">
        <v>-0.05</v>
      </c>
      <c r="AK378" s="5">
        <v>856.19159999999999</v>
      </c>
      <c r="AL378" s="5">
        <v>1.5562</v>
      </c>
      <c r="AM378" s="8">
        <v>1.4534</v>
      </c>
      <c r="AN378" s="8">
        <v>2.0421999999999998</v>
      </c>
      <c r="AO378" s="15">
        <v>310.59160000000003</v>
      </c>
      <c r="AP378" s="15">
        <v>-0.72599999999999998</v>
      </c>
      <c r="AQ378" s="5">
        <v>100.33499999999999</v>
      </c>
      <c r="AR378" s="5">
        <v>105.1721</v>
      </c>
      <c r="AS378" s="5">
        <v>-4.8371000000000004</v>
      </c>
      <c r="AT378" s="5">
        <v>-4.5991999999999997</v>
      </c>
      <c r="AU378" s="8">
        <v>-0.89810000000000001</v>
      </c>
      <c r="AV378" s="8">
        <v>0.12570000000000001</v>
      </c>
      <c r="AW378" s="8">
        <v>-0.89810000000000001</v>
      </c>
      <c r="AX378" s="5">
        <v>100.161</v>
      </c>
      <c r="AY378" s="5">
        <v>-4.7645999999999997</v>
      </c>
      <c r="AZ378" s="7" t="s">
        <v>95</v>
      </c>
    </row>
    <row r="379" spans="1:52" ht="18" customHeight="1" x14ac:dyDescent="0.25">
      <c r="A379" s="10">
        <v>189</v>
      </c>
      <c r="B379" s="10">
        <v>2</v>
      </c>
      <c r="C379" s="10">
        <v>189</v>
      </c>
      <c r="D379" s="86">
        <v>45618</v>
      </c>
      <c r="E379" s="86">
        <v>45621</v>
      </c>
      <c r="F379" s="86">
        <v>45624</v>
      </c>
      <c r="G379" s="11">
        <v>23907.25</v>
      </c>
      <c r="H379" s="11">
        <v>24221.9</v>
      </c>
      <c r="I379" s="12"/>
      <c r="J379" s="12"/>
      <c r="K379" s="91">
        <f t="array" ref="K379">MAX(IF((D379&lt;[1]Nifty_D!$B$2:$B$6600)*(E379&gt;=[1]Nifty_D!$B$2:$B$6600),[1]Nifty_D!$F$2:$F$6600,""))</f>
        <v>24221.9</v>
      </c>
      <c r="L379" s="92">
        <f t="shared" si="19"/>
        <v>1.3161279528176584E-2</v>
      </c>
      <c r="M379" s="91">
        <f t="shared" si="20"/>
        <v>12598.000000000002</v>
      </c>
      <c r="N379" s="93">
        <f t="array" ref="N379">INDEX([1]Nifty_D!$B$2:$B$6600,MATCH(E379,[1]Nifty_D!$B$2:$B$6600,0)-1)</f>
        <v>45618</v>
      </c>
      <c r="O379" s="89">
        <f>VLOOKUP(N379,[1]Nifty_D!$B$2:$F$6600,5,0)</f>
        <v>23907.25</v>
      </c>
      <c r="P379" s="92">
        <f t="shared" si="21"/>
        <v>0</v>
      </c>
      <c r="Q379" s="12" t="s">
        <v>40</v>
      </c>
      <c r="R379" s="10">
        <v>24500</v>
      </c>
      <c r="S379" s="103">
        <f>MROUND(G379,500)</f>
        <v>24000</v>
      </c>
      <c r="T379" s="103">
        <f>S379-R379</f>
        <v>-500</v>
      </c>
      <c r="U379" s="12" t="s">
        <v>92</v>
      </c>
      <c r="V379" s="10">
        <v>65</v>
      </c>
      <c r="W379" s="11">
        <v>618.85</v>
      </c>
      <c r="X379" s="11">
        <v>286.64999999999998</v>
      </c>
      <c r="Y379" s="13">
        <v>-1.6593</v>
      </c>
      <c r="Z379" s="13">
        <v>-0.86380000000000001</v>
      </c>
      <c r="AA379" s="10">
        <v>0</v>
      </c>
      <c r="AB379" s="14">
        <v>0</v>
      </c>
      <c r="AC379" s="11">
        <v>-332.2</v>
      </c>
      <c r="AD379" s="14">
        <v>-1.389536646833074E-2</v>
      </c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 t="s">
        <v>95</v>
      </c>
    </row>
    <row r="380" spans="1:52" ht="18" hidden="1" customHeight="1" x14ac:dyDescent="0.25">
      <c r="A380" s="4">
        <v>190</v>
      </c>
      <c r="B380" s="4">
        <v>1</v>
      </c>
      <c r="C380" s="4">
        <v>190</v>
      </c>
      <c r="D380" s="85">
        <v>45621</v>
      </c>
      <c r="E380" s="85">
        <v>45623</v>
      </c>
      <c r="F380" s="85">
        <v>45624</v>
      </c>
      <c r="G380" s="5">
        <v>24221.9</v>
      </c>
      <c r="H380" s="5">
        <v>24274.9</v>
      </c>
      <c r="I380" s="4">
        <v>53</v>
      </c>
      <c r="J380" s="6">
        <v>2.1881025022809941E-3</v>
      </c>
      <c r="K380" s="91">
        <f t="array" ref="K380">MAX(IF((D380&lt;[1]Nifty_D!$B$2:$B$6600)*(E380&gt;=[1]Nifty_D!$B$2:$B$6600),[1]Nifty_D!$F$2:$F$6600,""))</f>
        <v>24274.9</v>
      </c>
      <c r="L380" s="92">
        <f t="shared" si="19"/>
        <v>2.1881025022809641E-3</v>
      </c>
      <c r="M380" s="91">
        <f t="shared" si="20"/>
        <v>12651.000000000002</v>
      </c>
      <c r="N380" s="93">
        <f t="array" ref="N380">INDEX([1]Nifty_D!$B$2:$B$6600,MATCH(E380,[1]Nifty_D!$B$2:$B$6600,0)-1)</f>
        <v>45622</v>
      </c>
      <c r="O380" s="89">
        <f>VLOOKUP(N380,[1]Nifty_D!$B$2:$F$6600,5,0)</f>
        <v>24194.5</v>
      </c>
      <c r="P380" s="92">
        <f t="shared" si="21"/>
        <v>-1.1312077087264338E-3</v>
      </c>
      <c r="Q380" s="7" t="s">
        <v>28</v>
      </c>
      <c r="R380" s="4">
        <v>24200</v>
      </c>
      <c r="S380" s="102"/>
      <c r="T380" s="102"/>
      <c r="U380" s="7" t="s">
        <v>90</v>
      </c>
      <c r="V380" s="4">
        <v>65</v>
      </c>
      <c r="W380" s="5">
        <v>171.45</v>
      </c>
      <c r="X380" s="5">
        <v>136.69999999999999</v>
      </c>
      <c r="Y380" s="8">
        <v>-0.1918</v>
      </c>
      <c r="Z380" s="8">
        <v>0.42049999999999998</v>
      </c>
      <c r="AA380" s="5">
        <v>34.75</v>
      </c>
      <c r="AB380" s="6">
        <v>1.4346521123446141E-3</v>
      </c>
      <c r="AC380" s="4">
        <v>0</v>
      </c>
      <c r="AD380" s="6">
        <v>0</v>
      </c>
      <c r="AE380" s="5">
        <v>55900.55</v>
      </c>
      <c r="AF380" s="5">
        <v>56272.35</v>
      </c>
      <c r="AG380" s="5">
        <v>371.8</v>
      </c>
      <c r="AH380" s="5">
        <v>0.66510000000000002</v>
      </c>
      <c r="AI380" s="4">
        <v>2</v>
      </c>
      <c r="AJ380" s="5">
        <v>-3.3333000000000002E-2</v>
      </c>
      <c r="AK380" s="5">
        <v>353.16649999999998</v>
      </c>
      <c r="AL380" s="5">
        <v>0.63180000000000003</v>
      </c>
      <c r="AM380" s="8">
        <v>-0.44190000000000002</v>
      </c>
      <c r="AN380" s="8">
        <v>0.79520000000000002</v>
      </c>
      <c r="AO380" s="15">
        <v>314.06650000000002</v>
      </c>
      <c r="AP380" s="15">
        <v>0.47039999999999998</v>
      </c>
      <c r="AQ380" s="5">
        <v>100.807</v>
      </c>
      <c r="AR380" s="5">
        <v>105.1721</v>
      </c>
      <c r="AS380" s="5">
        <v>-4.3651</v>
      </c>
      <c r="AT380" s="5">
        <v>-4.1505000000000001</v>
      </c>
      <c r="AU380" s="8">
        <v>4.9099999999999998E-2</v>
      </c>
      <c r="AV380" s="8">
        <v>0.37330000000000002</v>
      </c>
      <c r="AW380" s="8">
        <v>4.9099999999999998E-2</v>
      </c>
      <c r="AX380" s="5">
        <v>100.38420000000001</v>
      </c>
      <c r="AY380" s="5">
        <v>-4.5523999999999996</v>
      </c>
      <c r="AZ380" s="7" t="s">
        <v>91</v>
      </c>
    </row>
    <row r="381" spans="1:52" ht="18" customHeight="1" x14ac:dyDescent="0.25">
      <c r="A381" s="10">
        <v>190</v>
      </c>
      <c r="B381" s="10">
        <v>2</v>
      </c>
      <c r="C381" s="10">
        <v>190</v>
      </c>
      <c r="D381" s="86">
        <v>45621</v>
      </c>
      <c r="E381" s="86">
        <v>45623</v>
      </c>
      <c r="F381" s="86">
        <v>45624</v>
      </c>
      <c r="G381" s="11">
        <v>24221.9</v>
      </c>
      <c r="H381" s="11">
        <v>24274.9</v>
      </c>
      <c r="I381" s="12"/>
      <c r="J381" s="12"/>
      <c r="K381" s="91">
        <f t="array" ref="K381">MAX(IF((D381&lt;[1]Nifty_D!$B$2:$B$6600)*(E381&gt;=[1]Nifty_D!$B$2:$B$6600),[1]Nifty_D!$F$2:$F$6600,""))</f>
        <v>24274.9</v>
      </c>
      <c r="L381" s="92">
        <f t="shared" si="19"/>
        <v>2.1881025022809641E-3</v>
      </c>
      <c r="M381" s="91">
        <f t="shared" si="20"/>
        <v>12651.000000000002</v>
      </c>
      <c r="N381" s="93">
        <f t="array" ref="N381">INDEX([1]Nifty_D!$B$2:$B$6600,MATCH(E381,[1]Nifty_D!$B$2:$B$6600,0)-1)</f>
        <v>45622</v>
      </c>
      <c r="O381" s="89">
        <f>VLOOKUP(N381,[1]Nifty_D!$B$2:$F$6600,5,0)</f>
        <v>24194.5</v>
      </c>
      <c r="P381" s="92">
        <f t="shared" si="21"/>
        <v>-1.1312077087264338E-3</v>
      </c>
      <c r="Q381" s="12" t="s">
        <v>40</v>
      </c>
      <c r="R381" s="10">
        <v>24500</v>
      </c>
      <c r="S381" s="103">
        <f>MROUND(G381,500)</f>
        <v>24000</v>
      </c>
      <c r="T381" s="103">
        <f>S381-R381</f>
        <v>-500</v>
      </c>
      <c r="U381" s="12" t="s">
        <v>92</v>
      </c>
      <c r="V381" s="10">
        <v>65</v>
      </c>
      <c r="W381" s="11">
        <v>286.64999999999998</v>
      </c>
      <c r="X381" s="11">
        <v>212.8</v>
      </c>
      <c r="Y381" s="13">
        <v>-0.55430000000000001</v>
      </c>
      <c r="Z381" s="13">
        <v>0.3947</v>
      </c>
      <c r="AA381" s="10">
        <v>0</v>
      </c>
      <c r="AB381" s="14">
        <v>0</v>
      </c>
      <c r="AC381" s="11">
        <v>-73.849999999999994</v>
      </c>
      <c r="AD381" s="14">
        <v>-3.048893769687761E-3</v>
      </c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 t="s">
        <v>91</v>
      </c>
    </row>
    <row r="382" spans="1:52" ht="18" hidden="1" customHeight="1" x14ac:dyDescent="0.25">
      <c r="A382" s="4">
        <v>191</v>
      </c>
      <c r="B382" s="4">
        <v>1</v>
      </c>
      <c r="C382" s="4">
        <v>191</v>
      </c>
      <c r="D382" s="85">
        <v>45623</v>
      </c>
      <c r="E382" s="85">
        <v>45630</v>
      </c>
      <c r="F382" s="85">
        <v>45631</v>
      </c>
      <c r="G382" s="5">
        <v>24274.9</v>
      </c>
      <c r="H382" s="5">
        <v>24467.45</v>
      </c>
      <c r="I382" s="5">
        <v>192.55</v>
      </c>
      <c r="J382" s="6">
        <v>7.9320615120968569E-3</v>
      </c>
      <c r="K382" s="91">
        <f t="array" ref="K382">MAX(IF((D382&lt;[1]Nifty_D!$B$2:$B$6600)*(E382&gt;=[1]Nifty_D!$B$2:$B$6600),[1]Nifty_D!$F$2:$F$6600,""))</f>
        <v>24467.45</v>
      </c>
      <c r="L382" s="92">
        <f t="shared" si="19"/>
        <v>7.9320615120967997E-3</v>
      </c>
      <c r="M382" s="91">
        <f t="shared" si="20"/>
        <v>12843.550000000001</v>
      </c>
      <c r="N382" s="93">
        <f t="array" ref="N382">INDEX([1]Nifty_D!$B$2:$B$6600,MATCH(E382,[1]Nifty_D!$B$2:$B$6600,0)-1)</f>
        <v>45629</v>
      </c>
      <c r="O382" s="89">
        <f>VLOOKUP(N382,[1]Nifty_D!$B$2:$F$6600,5,0)</f>
        <v>24457.15</v>
      </c>
      <c r="P382" s="92">
        <f t="shared" si="21"/>
        <v>7.5077549238102836E-3</v>
      </c>
      <c r="Q382" s="7" t="s">
        <v>28</v>
      </c>
      <c r="R382" s="4">
        <v>24300</v>
      </c>
      <c r="S382" s="102"/>
      <c r="T382" s="102"/>
      <c r="U382" s="7" t="s">
        <v>90</v>
      </c>
      <c r="V382" s="4">
        <v>65</v>
      </c>
      <c r="W382" s="5">
        <v>203.05</v>
      </c>
      <c r="X382" s="5">
        <v>213.95</v>
      </c>
      <c r="Y382" s="8">
        <v>-0.42920000000000003</v>
      </c>
      <c r="Z382" s="8">
        <v>0.63009999999999999</v>
      </c>
      <c r="AA382" s="5">
        <v>-10.9</v>
      </c>
      <c r="AB382" s="6">
        <v>-4.490234769247247E-4</v>
      </c>
      <c r="AC382" s="4">
        <v>0</v>
      </c>
      <c r="AD382" s="6">
        <v>0</v>
      </c>
      <c r="AE382" s="5">
        <v>56272.35</v>
      </c>
      <c r="AF382" s="5">
        <v>58112.4</v>
      </c>
      <c r="AG382" s="5">
        <v>1840.05</v>
      </c>
      <c r="AH382" s="5">
        <v>3.2698999999999998</v>
      </c>
      <c r="AI382" s="4">
        <v>7</v>
      </c>
      <c r="AJ382" s="5">
        <v>-0.11666700000000001</v>
      </c>
      <c r="AK382" s="5">
        <v>1774.3988999999999</v>
      </c>
      <c r="AL382" s="5">
        <v>3.1532</v>
      </c>
      <c r="AM382" s="8">
        <v>-0.3095</v>
      </c>
      <c r="AN382" s="8">
        <v>3.2319</v>
      </c>
      <c r="AO382" s="15">
        <v>1692.4989</v>
      </c>
      <c r="AP382" s="15">
        <v>2.8157999999999999</v>
      </c>
      <c r="AQ382" s="5">
        <v>103.6455</v>
      </c>
      <c r="AR382" s="5">
        <v>105.1721</v>
      </c>
      <c r="AS382" s="5">
        <v>-1.5266</v>
      </c>
      <c r="AT382" s="5">
        <v>-1.4515</v>
      </c>
      <c r="AU382" s="8">
        <v>2.3191000000000002</v>
      </c>
      <c r="AV382" s="8">
        <v>1.3574999999999999</v>
      </c>
      <c r="AW382" s="8">
        <v>1.3574999999999999</v>
      </c>
      <c r="AX382" s="5">
        <v>102.1754</v>
      </c>
      <c r="AY382" s="5">
        <v>-2.8492999999999999</v>
      </c>
      <c r="AZ382" s="7" t="s">
        <v>91</v>
      </c>
    </row>
    <row r="383" spans="1:52" ht="18" customHeight="1" x14ac:dyDescent="0.25">
      <c r="A383" s="10">
        <v>191</v>
      </c>
      <c r="B383" s="10">
        <v>2</v>
      </c>
      <c r="C383" s="10">
        <v>191</v>
      </c>
      <c r="D383" s="86">
        <v>45623</v>
      </c>
      <c r="E383" s="86">
        <v>45630</v>
      </c>
      <c r="F383" s="86">
        <v>45652</v>
      </c>
      <c r="G383" s="11">
        <v>24274.9</v>
      </c>
      <c r="H383" s="11">
        <v>24467.45</v>
      </c>
      <c r="I383" s="12"/>
      <c r="J383" s="12"/>
      <c r="K383" s="91">
        <f t="array" ref="K383">MAX(IF((D383&lt;[1]Nifty_D!$B$2:$B$6600)*(E383&gt;=[1]Nifty_D!$B$2:$B$6600),[1]Nifty_D!$F$2:$F$6600,""))</f>
        <v>24467.45</v>
      </c>
      <c r="L383" s="92">
        <f t="shared" si="19"/>
        <v>7.9320615120967997E-3</v>
      </c>
      <c r="M383" s="91">
        <f t="shared" si="20"/>
        <v>12843.550000000001</v>
      </c>
      <c r="N383" s="93">
        <f t="array" ref="N383">INDEX([1]Nifty_D!$B$2:$B$6600,MATCH(E383,[1]Nifty_D!$B$2:$B$6600,0)-1)</f>
        <v>45629</v>
      </c>
      <c r="O383" s="89">
        <f>VLOOKUP(N383,[1]Nifty_D!$B$2:$F$6600,5,0)</f>
        <v>24457.15</v>
      </c>
      <c r="P383" s="92">
        <f t="shared" si="21"/>
        <v>7.5077549238102836E-3</v>
      </c>
      <c r="Q383" s="12" t="s">
        <v>40</v>
      </c>
      <c r="R383" s="10">
        <v>24500</v>
      </c>
      <c r="S383" s="103">
        <f>MROUND(G383,500)</f>
        <v>24500</v>
      </c>
      <c r="T383" s="103">
        <f>S383-R383</f>
        <v>0</v>
      </c>
      <c r="U383" s="12" t="s">
        <v>92</v>
      </c>
      <c r="V383" s="10">
        <v>65</v>
      </c>
      <c r="W383" s="11">
        <v>370.9</v>
      </c>
      <c r="X383" s="11">
        <v>299.89999999999998</v>
      </c>
      <c r="Y383" s="13">
        <v>-0.48359999999999997</v>
      </c>
      <c r="Z383" s="13">
        <v>1.0368999999999999</v>
      </c>
      <c r="AA383" s="10">
        <v>0</v>
      </c>
      <c r="AB383" s="14">
        <v>0</v>
      </c>
      <c r="AC383" s="10">
        <v>-71</v>
      </c>
      <c r="AD383" s="14">
        <v>-2.9248318221702248E-3</v>
      </c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 t="s">
        <v>91</v>
      </c>
    </row>
    <row r="384" spans="1:52" ht="18" hidden="1" customHeight="1" x14ac:dyDescent="0.25">
      <c r="A384" s="4">
        <v>192</v>
      </c>
      <c r="B384" s="4">
        <v>1</v>
      </c>
      <c r="C384" s="4">
        <v>192</v>
      </c>
      <c r="D384" s="85">
        <v>45630</v>
      </c>
      <c r="E384" s="85">
        <v>45631</v>
      </c>
      <c r="F384" s="85">
        <v>45638</v>
      </c>
      <c r="G384" s="5">
        <v>24467.45</v>
      </c>
      <c r="H384" s="5">
        <v>24708.400000000001</v>
      </c>
      <c r="I384" s="5">
        <v>240.95</v>
      </c>
      <c r="J384" s="6">
        <v>9.8477773531773834E-3</v>
      </c>
      <c r="K384" s="91">
        <f t="array" ref="K384">MAX(IF((D384&lt;[1]Nifty_D!$B$2:$B$6600)*(E384&gt;=[1]Nifty_D!$B$2:$B$6600),[1]Nifty_D!$F$2:$F$6600,""))</f>
        <v>24708.400000000001</v>
      </c>
      <c r="L384" s="92">
        <f t="shared" si="19"/>
        <v>9.8477773531773227E-3</v>
      </c>
      <c r="M384" s="91">
        <f t="shared" si="20"/>
        <v>13084.500000000002</v>
      </c>
      <c r="N384" s="93">
        <f t="array" ref="N384">INDEX([1]Nifty_D!$B$2:$B$6600,MATCH(E384,[1]Nifty_D!$B$2:$B$6600,0)-1)</f>
        <v>45630</v>
      </c>
      <c r="O384" s="89">
        <f>VLOOKUP(N384,[1]Nifty_D!$B$2:$F$6600,5,0)</f>
        <v>24467.45</v>
      </c>
      <c r="P384" s="92">
        <f t="shared" si="21"/>
        <v>0</v>
      </c>
      <c r="Q384" s="7" t="s">
        <v>28</v>
      </c>
      <c r="R384" s="4">
        <v>24500</v>
      </c>
      <c r="S384" s="102"/>
      <c r="T384" s="102"/>
      <c r="U384" s="7" t="s">
        <v>90</v>
      </c>
      <c r="V384" s="4">
        <v>65</v>
      </c>
      <c r="W384" s="5">
        <v>219.8</v>
      </c>
      <c r="X384" s="5">
        <v>324.7</v>
      </c>
      <c r="Y384" s="8">
        <v>-1.0373000000000001</v>
      </c>
      <c r="Z384" s="8">
        <v>0.16270000000000001</v>
      </c>
      <c r="AA384" s="5">
        <v>-104.9</v>
      </c>
      <c r="AB384" s="6">
        <v>-4.287328675444315E-3</v>
      </c>
      <c r="AC384" s="4">
        <v>0</v>
      </c>
      <c r="AD384" s="6">
        <v>0</v>
      </c>
      <c r="AE384" s="5">
        <v>58112.4</v>
      </c>
      <c r="AF384" s="5">
        <v>58441.55</v>
      </c>
      <c r="AG384" s="5">
        <v>329.15</v>
      </c>
      <c r="AH384" s="5">
        <v>0.56640000000000001</v>
      </c>
      <c r="AI384" s="4">
        <v>1</v>
      </c>
      <c r="AJ384" s="5">
        <v>-1.6667000000000001E-2</v>
      </c>
      <c r="AK384" s="5">
        <v>319.46460000000002</v>
      </c>
      <c r="AL384" s="5">
        <v>0.54969999999999997</v>
      </c>
      <c r="AM384" s="8">
        <v>-0.1696</v>
      </c>
      <c r="AN384" s="8">
        <v>0.67879999999999996</v>
      </c>
      <c r="AO384" s="15">
        <v>135.71459999999999</v>
      </c>
      <c r="AP384" s="15">
        <v>-0.20130000000000001</v>
      </c>
      <c r="AQ384" s="5">
        <v>103.43680000000001</v>
      </c>
      <c r="AR384" s="5">
        <v>105.1721</v>
      </c>
      <c r="AS384" s="5">
        <v>-1.7352000000000001</v>
      </c>
      <c r="AT384" s="5">
        <v>-1.6498999999999999</v>
      </c>
      <c r="AU384" s="8">
        <v>-0.82689999999999997</v>
      </c>
      <c r="AV384" s="8">
        <v>0.43780000000000002</v>
      </c>
      <c r="AW384" s="8">
        <v>-0.82689999999999997</v>
      </c>
      <c r="AX384" s="5">
        <v>102.7884</v>
      </c>
      <c r="AY384" s="5">
        <v>-2.2664</v>
      </c>
      <c r="AZ384" s="7" t="s">
        <v>96</v>
      </c>
    </row>
    <row r="385" spans="1:52" ht="18" customHeight="1" x14ac:dyDescent="0.25">
      <c r="A385" s="10">
        <v>192</v>
      </c>
      <c r="B385" s="10">
        <v>2</v>
      </c>
      <c r="C385" s="10">
        <v>192</v>
      </c>
      <c r="D385" s="86">
        <v>45630</v>
      </c>
      <c r="E385" s="86">
        <v>45631</v>
      </c>
      <c r="F385" s="86">
        <v>45652</v>
      </c>
      <c r="G385" s="11">
        <v>24467.45</v>
      </c>
      <c r="H385" s="11">
        <v>24708.400000000001</v>
      </c>
      <c r="I385" s="12"/>
      <c r="J385" s="12"/>
      <c r="K385" s="91">
        <f t="array" ref="K385">MAX(IF((D385&lt;[1]Nifty_D!$B$2:$B$6600)*(E385&gt;=[1]Nifty_D!$B$2:$B$6600),[1]Nifty_D!$F$2:$F$6600,""))</f>
        <v>24708.400000000001</v>
      </c>
      <c r="L385" s="92">
        <f t="shared" si="19"/>
        <v>9.8477773531773227E-3</v>
      </c>
      <c r="M385" s="91">
        <f t="shared" si="20"/>
        <v>13084.500000000002</v>
      </c>
      <c r="N385" s="93">
        <f t="array" ref="N385">INDEX([1]Nifty_D!$B$2:$B$6600,MATCH(E385,[1]Nifty_D!$B$2:$B$6600,0)-1)</f>
        <v>45630</v>
      </c>
      <c r="O385" s="89">
        <f>VLOOKUP(N385,[1]Nifty_D!$B$2:$F$6600,5,0)</f>
        <v>24467.45</v>
      </c>
      <c r="P385" s="92">
        <f t="shared" si="21"/>
        <v>0</v>
      </c>
      <c r="Q385" s="12" t="s">
        <v>40</v>
      </c>
      <c r="R385" s="10">
        <v>24500</v>
      </c>
      <c r="S385" s="103">
        <f>MROUND(G385,500)</f>
        <v>24500</v>
      </c>
      <c r="T385" s="103">
        <f>S385-R385</f>
        <v>0</v>
      </c>
      <c r="U385" s="12" t="s">
        <v>92</v>
      </c>
      <c r="V385" s="10">
        <v>65</v>
      </c>
      <c r="W385" s="11">
        <v>299.89999999999998</v>
      </c>
      <c r="X385" s="11">
        <v>221.05</v>
      </c>
      <c r="Y385" s="13">
        <v>-0.46839999999999998</v>
      </c>
      <c r="Z385" s="13">
        <v>0.44469999999999998</v>
      </c>
      <c r="AA385" s="10">
        <v>0</v>
      </c>
      <c r="AB385" s="14">
        <v>0</v>
      </c>
      <c r="AC385" s="11">
        <v>-78.849999999999994</v>
      </c>
      <c r="AD385" s="14">
        <v>-3.222648866146656E-3</v>
      </c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 t="s">
        <v>96</v>
      </c>
    </row>
    <row r="386" spans="1:52" ht="18" hidden="1" customHeight="1" x14ac:dyDescent="0.25">
      <c r="A386" s="4">
        <v>193</v>
      </c>
      <c r="B386" s="4">
        <v>1</v>
      </c>
      <c r="C386" s="4">
        <v>193</v>
      </c>
      <c r="D386" s="85">
        <v>45631</v>
      </c>
      <c r="E386" s="85">
        <v>45637</v>
      </c>
      <c r="F386" s="85">
        <v>45638</v>
      </c>
      <c r="G386" s="5">
        <v>24708.400000000001</v>
      </c>
      <c r="H386" s="5">
        <v>24641.8</v>
      </c>
      <c r="I386" s="5">
        <v>-66.599999999999994</v>
      </c>
      <c r="J386" s="6">
        <v>-2.695439607582846E-3</v>
      </c>
      <c r="K386" s="91">
        <f t="array" ref="K386">MAX(IF((D386&lt;[1]Nifty_D!$B$2:$B$6600)*(E386&gt;=[1]Nifty_D!$B$2:$B$6600),[1]Nifty_D!$F$2:$F$6600,""))</f>
        <v>24677.8</v>
      </c>
      <c r="L386" s="92">
        <f t="shared" si="19"/>
        <v>-1.2384452251057443E-3</v>
      </c>
      <c r="M386" s="91">
        <f t="shared" si="20"/>
        <v>13053.9</v>
      </c>
      <c r="N386" s="93">
        <f t="array" ref="N386">INDEX([1]Nifty_D!$B$2:$B$6600,MATCH(E386,[1]Nifty_D!$B$2:$B$6600,0)-1)</f>
        <v>45636</v>
      </c>
      <c r="O386" s="89">
        <f>VLOOKUP(N386,[1]Nifty_D!$B$2:$F$6600,5,0)</f>
        <v>24610.05</v>
      </c>
      <c r="P386" s="92">
        <f t="shared" si="21"/>
        <v>-3.9804277087954754E-3</v>
      </c>
      <c r="Q386" s="7" t="s">
        <v>28</v>
      </c>
      <c r="R386" s="4">
        <v>24700</v>
      </c>
      <c r="S386" s="102"/>
      <c r="T386" s="102"/>
      <c r="U386" s="7" t="s">
        <v>90</v>
      </c>
      <c r="V386" s="4">
        <v>65</v>
      </c>
      <c r="W386" s="5">
        <v>213.15</v>
      </c>
      <c r="X386" s="5">
        <v>40.15</v>
      </c>
      <c r="Y386" s="8">
        <v>-0.22359999999999999</v>
      </c>
      <c r="Z386" s="8">
        <v>0.72509999999999997</v>
      </c>
      <c r="AA386" s="4">
        <v>173</v>
      </c>
      <c r="AB386" s="6">
        <v>7.0016674491266122E-3</v>
      </c>
      <c r="AC386" s="4">
        <v>0</v>
      </c>
      <c r="AD386" s="6">
        <v>0</v>
      </c>
      <c r="AE386" s="5">
        <v>58441.55</v>
      </c>
      <c r="AF386" s="5">
        <v>59292.95</v>
      </c>
      <c r="AG386" s="5">
        <v>851.4</v>
      </c>
      <c r="AH386" s="5">
        <v>1.4568000000000001</v>
      </c>
      <c r="AI386" s="4">
        <v>6</v>
      </c>
      <c r="AJ386" s="5">
        <v>-0.1</v>
      </c>
      <c r="AK386" s="5">
        <v>792.95839999999998</v>
      </c>
      <c r="AL386" s="5">
        <v>1.3568</v>
      </c>
      <c r="AM386" s="8">
        <v>-0.24590000000000001</v>
      </c>
      <c r="AN386" s="8">
        <v>1.448</v>
      </c>
      <c r="AO386" s="15">
        <v>905.55840000000001</v>
      </c>
      <c r="AP386" s="15">
        <v>1.8125</v>
      </c>
      <c r="AQ386" s="5">
        <v>105.3116</v>
      </c>
      <c r="AR386" s="5">
        <v>105.3116</v>
      </c>
      <c r="AS386" s="4">
        <v>0</v>
      </c>
      <c r="AT386" s="4">
        <v>0</v>
      </c>
      <c r="AU386" s="8">
        <v>0.93930000000000002</v>
      </c>
      <c r="AV386" s="8">
        <v>0.60429999999999995</v>
      </c>
      <c r="AW386" s="8">
        <v>0.60429999999999995</v>
      </c>
      <c r="AX386" s="5">
        <v>104.06189999999999</v>
      </c>
      <c r="AY386" s="5">
        <v>-1.0556000000000001</v>
      </c>
      <c r="AZ386" s="7" t="s">
        <v>91</v>
      </c>
    </row>
    <row r="387" spans="1:52" ht="18" customHeight="1" x14ac:dyDescent="0.25">
      <c r="A387" s="10">
        <v>193</v>
      </c>
      <c r="B387" s="10">
        <v>2</v>
      </c>
      <c r="C387" s="10">
        <v>193</v>
      </c>
      <c r="D387" s="86">
        <v>45631</v>
      </c>
      <c r="E387" s="86">
        <v>45637</v>
      </c>
      <c r="F387" s="86">
        <v>45652</v>
      </c>
      <c r="G387" s="11">
        <v>24708.400000000001</v>
      </c>
      <c r="H387" s="11">
        <v>24641.8</v>
      </c>
      <c r="I387" s="12"/>
      <c r="J387" s="12"/>
      <c r="K387" s="91">
        <f t="array" ref="K387">MAX(IF((D387&lt;[1]Nifty_D!$B$2:$B$6600)*(E387&gt;=[1]Nifty_D!$B$2:$B$6600),[1]Nifty_D!$F$2:$F$6600,""))</f>
        <v>24677.8</v>
      </c>
      <c r="L387" s="92">
        <f t="shared" si="19"/>
        <v>-1.2384452251057443E-3</v>
      </c>
      <c r="M387" s="91">
        <f t="shared" si="20"/>
        <v>13053.9</v>
      </c>
      <c r="N387" s="93">
        <f t="array" ref="N387">INDEX([1]Nifty_D!$B$2:$B$6600,MATCH(E387,[1]Nifty_D!$B$2:$B$6600,0)-1)</f>
        <v>45636</v>
      </c>
      <c r="O387" s="89">
        <f>VLOOKUP(N387,[1]Nifty_D!$B$2:$F$6600,5,0)</f>
        <v>24610.05</v>
      </c>
      <c r="P387" s="92">
        <f t="shared" si="21"/>
        <v>-3.9804277087954754E-3</v>
      </c>
      <c r="Q387" s="12" t="s">
        <v>40</v>
      </c>
      <c r="R387" s="10">
        <v>24500</v>
      </c>
      <c r="S387" s="103">
        <f>MROUND(G387,500)</f>
        <v>24500</v>
      </c>
      <c r="T387" s="103">
        <f>S387-R387</f>
        <v>0</v>
      </c>
      <c r="U387" s="12" t="s">
        <v>92</v>
      </c>
      <c r="V387" s="10">
        <v>65</v>
      </c>
      <c r="W387" s="11">
        <v>221.05</v>
      </c>
      <c r="X387" s="11">
        <v>160.65</v>
      </c>
      <c r="Y387" s="13">
        <v>-0.28510000000000002</v>
      </c>
      <c r="Z387" s="13">
        <v>0.12509999999999999</v>
      </c>
      <c r="AA387" s="10">
        <v>0</v>
      </c>
      <c r="AB387" s="14">
        <v>0</v>
      </c>
      <c r="AC387" s="11">
        <v>-60.4</v>
      </c>
      <c r="AD387" s="14">
        <v>-2.4445127972673262E-3</v>
      </c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 t="s">
        <v>91</v>
      </c>
    </row>
    <row r="388" spans="1:52" ht="18" hidden="1" customHeight="1" x14ac:dyDescent="0.25">
      <c r="A388" s="4">
        <v>194</v>
      </c>
      <c r="B388" s="4">
        <v>1</v>
      </c>
      <c r="C388" s="4">
        <v>194</v>
      </c>
      <c r="D388" s="85">
        <v>45637</v>
      </c>
      <c r="E388" s="85">
        <v>45644</v>
      </c>
      <c r="F388" s="85">
        <v>45645</v>
      </c>
      <c r="G388" s="5">
        <v>24641.8</v>
      </c>
      <c r="H388" s="5">
        <v>24198.85</v>
      </c>
      <c r="I388" s="5">
        <v>-442.95</v>
      </c>
      <c r="J388" s="6">
        <v>-1.7975553733899311E-2</v>
      </c>
      <c r="K388" s="91">
        <f t="array" ref="K388">MAX(IF((D388&lt;[1]Nifty_D!$B$2:$B$6600)*(E388&gt;=[1]Nifty_D!$B$2:$B$6600),[1]Nifty_D!$F$2:$F$6600,""))</f>
        <v>24768.3</v>
      </c>
      <c r="L388" s="92">
        <f t="shared" si="19"/>
        <v>5.1335535553409528E-3</v>
      </c>
      <c r="M388" s="91">
        <f t="shared" si="20"/>
        <v>13144.4</v>
      </c>
      <c r="N388" s="93">
        <f t="array" ref="N388">INDEX([1]Nifty_D!$B$2:$B$6600,MATCH(E388,[1]Nifty_D!$B$2:$B$6600,0)-1)</f>
        <v>45643</v>
      </c>
      <c r="O388" s="89">
        <f>VLOOKUP(N388,[1]Nifty_D!$B$2:$F$6600,5,0)</f>
        <v>24336</v>
      </c>
      <c r="P388" s="92">
        <f t="shared" si="21"/>
        <v>-1.2409807725085042E-2</v>
      </c>
      <c r="Q388" s="7" t="s">
        <v>28</v>
      </c>
      <c r="R388" s="4">
        <v>24600</v>
      </c>
      <c r="S388" s="102"/>
      <c r="T388" s="102"/>
      <c r="U388" s="7" t="s">
        <v>90</v>
      </c>
      <c r="V388" s="4">
        <v>65</v>
      </c>
      <c r="W388" s="5">
        <v>226.75</v>
      </c>
      <c r="X388" s="5">
        <v>17.95</v>
      </c>
      <c r="Y388" s="8">
        <v>-0.19969999999999999</v>
      </c>
      <c r="Z388" s="8">
        <v>0.86539999999999995</v>
      </c>
      <c r="AA388" s="5">
        <v>208.8</v>
      </c>
      <c r="AB388" s="6">
        <v>8.4734069751398033E-3</v>
      </c>
      <c r="AC388" s="4">
        <v>0</v>
      </c>
      <c r="AD388" s="6">
        <v>0</v>
      </c>
      <c r="AE388" s="5">
        <v>59292.95</v>
      </c>
      <c r="AF388" s="5">
        <v>58723.25</v>
      </c>
      <c r="AG388" s="5">
        <v>-569.70000000000005</v>
      </c>
      <c r="AH388" s="5">
        <v>-0.96079999999999999</v>
      </c>
      <c r="AI388" s="4">
        <v>7</v>
      </c>
      <c r="AJ388" s="5">
        <v>-0.11666700000000001</v>
      </c>
      <c r="AK388" s="5">
        <v>-638.87509999999997</v>
      </c>
      <c r="AL388" s="5">
        <v>-1.0774999999999999</v>
      </c>
      <c r="AM388" s="8">
        <v>-2.1928000000000001</v>
      </c>
      <c r="AN388" s="8">
        <v>0.51</v>
      </c>
      <c r="AO388" s="9">
        <v>-229.92509999999999</v>
      </c>
      <c r="AP388" s="9">
        <v>0.58209999999999995</v>
      </c>
      <c r="AQ388" s="5">
        <v>105.9247</v>
      </c>
      <c r="AR388" s="5">
        <v>105.9247</v>
      </c>
      <c r="AS388" s="4">
        <v>0</v>
      </c>
      <c r="AT388" s="4">
        <v>0</v>
      </c>
      <c r="AU388" s="8">
        <v>6.0100000000000001E-2</v>
      </c>
      <c r="AV388" s="8">
        <v>-0.25459999999999999</v>
      </c>
      <c r="AW388" s="8">
        <v>-0.25459999999999999</v>
      </c>
      <c r="AX388" s="5">
        <v>105.04349999999999</v>
      </c>
      <c r="AY388" s="5">
        <v>-0.25459999999999999</v>
      </c>
      <c r="AZ388" s="7" t="s">
        <v>91</v>
      </c>
    </row>
    <row r="389" spans="1:52" ht="18" customHeight="1" x14ac:dyDescent="0.25">
      <c r="A389" s="10">
        <v>194</v>
      </c>
      <c r="B389" s="10">
        <v>2</v>
      </c>
      <c r="C389" s="10">
        <v>194</v>
      </c>
      <c r="D389" s="86">
        <v>45637</v>
      </c>
      <c r="E389" s="86">
        <v>45644</v>
      </c>
      <c r="F389" s="86">
        <v>45652</v>
      </c>
      <c r="G389" s="11">
        <v>24641.8</v>
      </c>
      <c r="H389" s="11">
        <v>24198.85</v>
      </c>
      <c r="I389" s="12"/>
      <c r="J389" s="12"/>
      <c r="K389" s="91">
        <f t="array" ref="K389">MAX(IF((D389&lt;[1]Nifty_D!$B$2:$B$6600)*(E389&gt;=[1]Nifty_D!$B$2:$B$6600),[1]Nifty_D!$F$2:$F$6600,""))</f>
        <v>24768.3</v>
      </c>
      <c r="L389" s="92">
        <f t="shared" si="19"/>
        <v>5.1335535553409528E-3</v>
      </c>
      <c r="M389" s="91">
        <f t="shared" si="20"/>
        <v>13144.4</v>
      </c>
      <c r="N389" s="93">
        <f t="array" ref="N389">INDEX([1]Nifty_D!$B$2:$B$6600,MATCH(E389,[1]Nifty_D!$B$2:$B$6600,0)-1)</f>
        <v>45643</v>
      </c>
      <c r="O389" s="89">
        <f>VLOOKUP(N389,[1]Nifty_D!$B$2:$F$6600,5,0)</f>
        <v>24336</v>
      </c>
      <c r="P389" s="92">
        <f t="shared" si="21"/>
        <v>-1.2409807725085042E-2</v>
      </c>
      <c r="Q389" s="12" t="s">
        <v>40</v>
      </c>
      <c r="R389" s="10">
        <v>24500</v>
      </c>
      <c r="S389" s="103">
        <f>MROUND(G389,500)</f>
        <v>24500</v>
      </c>
      <c r="T389" s="103">
        <f>S389-R389</f>
        <v>0</v>
      </c>
      <c r="U389" s="12" t="s">
        <v>92</v>
      </c>
      <c r="V389" s="10">
        <v>65</v>
      </c>
      <c r="W389" s="11">
        <v>160.65</v>
      </c>
      <c r="X389" s="11">
        <v>360.8</v>
      </c>
      <c r="Y389" s="13">
        <v>-0.25019999999999998</v>
      </c>
      <c r="Z389" s="13">
        <v>1.0728</v>
      </c>
      <c r="AA389" s="10">
        <v>0</v>
      </c>
      <c r="AB389" s="14">
        <v>0</v>
      </c>
      <c r="AC389" s="11">
        <v>200.15</v>
      </c>
      <c r="AD389" s="14">
        <v>8.1223774237271628E-3</v>
      </c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 t="s">
        <v>91</v>
      </c>
    </row>
    <row r="390" spans="1:52" ht="18" hidden="1" customHeight="1" x14ac:dyDescent="0.25">
      <c r="A390" s="4">
        <v>195</v>
      </c>
      <c r="B390" s="4">
        <v>1</v>
      </c>
      <c r="C390" s="4">
        <v>195</v>
      </c>
      <c r="D390" s="85">
        <v>45644</v>
      </c>
      <c r="E390" s="85">
        <v>45650</v>
      </c>
      <c r="F390" s="85">
        <v>45652</v>
      </c>
      <c r="G390" s="5">
        <v>24198.85</v>
      </c>
      <c r="H390" s="5">
        <v>23727.65</v>
      </c>
      <c r="I390" s="5">
        <v>-471.2</v>
      </c>
      <c r="J390" s="6">
        <v>-1.9471999702465201E-2</v>
      </c>
      <c r="K390" s="91">
        <f t="array" ref="K390">MAX(IF((D390&lt;[1]Nifty_D!$B$2:$B$6600)*(E390&gt;=[1]Nifty_D!$B$2:$B$6600),[1]Nifty_D!$F$2:$F$6600,""))</f>
        <v>23951.7</v>
      </c>
      <c r="L390" s="92">
        <f t="shared" si="19"/>
        <v>-1.0213295259898669E-2</v>
      </c>
      <c r="M390" s="91">
        <f t="shared" si="20"/>
        <v>12327.800000000001</v>
      </c>
      <c r="N390" s="93">
        <f t="array" ref="N390">INDEX([1]Nifty_D!$B$2:$B$6600,MATCH(E390,[1]Nifty_D!$B$2:$B$6600,0)-1)</f>
        <v>45649</v>
      </c>
      <c r="O390" s="89">
        <f>VLOOKUP(N390,[1]Nifty_D!$B$2:$F$6600,5,0)</f>
        <v>23753.45</v>
      </c>
      <c r="P390" s="92">
        <f t="shared" si="21"/>
        <v>-1.8405833335055077E-2</v>
      </c>
      <c r="Q390" s="7" t="s">
        <v>28</v>
      </c>
      <c r="R390" s="4">
        <v>24200</v>
      </c>
      <c r="S390" s="102"/>
      <c r="T390" s="102"/>
      <c r="U390" s="7" t="s">
        <v>90</v>
      </c>
      <c r="V390" s="4">
        <v>65</v>
      </c>
      <c r="W390" s="5">
        <v>235.3</v>
      </c>
      <c r="X390" s="5">
        <v>3.15</v>
      </c>
      <c r="Y390" s="8">
        <v>0.28310000000000002</v>
      </c>
      <c r="Z390" s="8">
        <v>0.96260000000000001</v>
      </c>
      <c r="AA390" s="5">
        <v>232.15</v>
      </c>
      <c r="AB390" s="6">
        <v>9.5934310927998645E-3</v>
      </c>
      <c r="AC390" s="4">
        <v>0</v>
      </c>
      <c r="AD390" s="6">
        <v>0</v>
      </c>
      <c r="AE390" s="5">
        <v>58723.25</v>
      </c>
      <c r="AF390" s="5">
        <v>57057.9</v>
      </c>
      <c r="AG390" s="5">
        <v>-1665.35</v>
      </c>
      <c r="AH390" s="5">
        <v>-2.8359000000000001</v>
      </c>
      <c r="AI390" s="4">
        <v>6</v>
      </c>
      <c r="AJ390" s="5">
        <v>-0.1</v>
      </c>
      <c r="AK390" s="5">
        <v>-1724.0732</v>
      </c>
      <c r="AL390" s="5">
        <v>-2.9359000000000002</v>
      </c>
      <c r="AM390" s="8">
        <v>-3.5596000000000001</v>
      </c>
      <c r="AN390" s="8">
        <v>9.8799999999999999E-2</v>
      </c>
      <c r="AO390" s="9">
        <v>-1122.3232</v>
      </c>
      <c r="AP390" s="9">
        <v>-0.44919999999999999</v>
      </c>
      <c r="AQ390" s="5">
        <v>105.44880000000001</v>
      </c>
      <c r="AR390" s="5">
        <v>105.9247</v>
      </c>
      <c r="AS390" s="5">
        <v>-0.4758</v>
      </c>
      <c r="AT390" s="5">
        <v>-0.44919999999999999</v>
      </c>
      <c r="AU390" s="8">
        <v>0.84970000000000001</v>
      </c>
      <c r="AV390" s="8">
        <v>-0.22059999999999999</v>
      </c>
      <c r="AW390" s="8">
        <v>-0.44919999999999999</v>
      </c>
      <c r="AX390" s="5">
        <v>105.44880000000001</v>
      </c>
      <c r="AY390" s="5">
        <v>-0.44919999999999999</v>
      </c>
      <c r="AZ390" s="7" t="s">
        <v>91</v>
      </c>
    </row>
    <row r="391" spans="1:52" ht="18" customHeight="1" x14ac:dyDescent="0.25">
      <c r="A391" s="10">
        <v>195</v>
      </c>
      <c r="B391" s="10">
        <v>2</v>
      </c>
      <c r="C391" s="10">
        <v>195</v>
      </c>
      <c r="D391" s="86">
        <v>45644</v>
      </c>
      <c r="E391" s="86">
        <v>45650</v>
      </c>
      <c r="F391" s="86">
        <v>45652</v>
      </c>
      <c r="G391" s="11">
        <v>24198.85</v>
      </c>
      <c r="H391" s="11">
        <v>23727.65</v>
      </c>
      <c r="I391" s="12"/>
      <c r="J391" s="12"/>
      <c r="K391" s="91">
        <f t="array" ref="K391">MAX(IF((D391&lt;[1]Nifty_D!$B$2:$B$6600)*(E391&gt;=[1]Nifty_D!$B$2:$B$6600),[1]Nifty_D!$F$2:$F$6600,""))</f>
        <v>23951.7</v>
      </c>
      <c r="L391" s="92">
        <f t="shared" si="19"/>
        <v>-1.0213295259898669E-2</v>
      </c>
      <c r="M391" s="91">
        <f t="shared" si="20"/>
        <v>12327.800000000001</v>
      </c>
      <c r="N391" s="93">
        <f t="array" ref="N391">INDEX([1]Nifty_D!$B$2:$B$6600,MATCH(E391,[1]Nifty_D!$B$2:$B$6600,0)-1)</f>
        <v>45649</v>
      </c>
      <c r="O391" s="89">
        <f>VLOOKUP(N391,[1]Nifty_D!$B$2:$F$6600,5,0)</f>
        <v>23753.45</v>
      </c>
      <c r="P391" s="92">
        <f t="shared" si="21"/>
        <v>-1.8405833335055077E-2</v>
      </c>
      <c r="Q391" s="12" t="s">
        <v>40</v>
      </c>
      <c r="R391" s="10">
        <v>24500</v>
      </c>
      <c r="S391" s="103">
        <f>MROUND(G391,500)</f>
        <v>24000</v>
      </c>
      <c r="T391" s="103">
        <f>S391-R391</f>
        <v>-500</v>
      </c>
      <c r="U391" s="12" t="s">
        <v>92</v>
      </c>
      <c r="V391" s="10">
        <v>65</v>
      </c>
      <c r="W391" s="11">
        <v>360.8</v>
      </c>
      <c r="X391" s="11">
        <v>730.4</v>
      </c>
      <c r="Y391" s="13">
        <v>0.46779999999999999</v>
      </c>
      <c r="Z391" s="13">
        <v>2.3763999999999998</v>
      </c>
      <c r="AA391" s="10">
        <v>0</v>
      </c>
      <c r="AB391" s="14">
        <v>0</v>
      </c>
      <c r="AC391" s="11">
        <v>369.6</v>
      </c>
      <c r="AD391" s="14">
        <v>1.527345307731566E-2</v>
      </c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 t="s">
        <v>91</v>
      </c>
    </row>
    <row r="392" spans="1:52" ht="18" hidden="1" customHeight="1" x14ac:dyDescent="0.25">
      <c r="A392" s="4">
        <v>196</v>
      </c>
      <c r="B392" s="4">
        <v>1</v>
      </c>
      <c r="C392" s="4">
        <v>196</v>
      </c>
      <c r="D392" s="85">
        <v>45650</v>
      </c>
      <c r="E392" s="85">
        <v>45657</v>
      </c>
      <c r="F392" s="85">
        <v>45659</v>
      </c>
      <c r="G392" s="5">
        <v>23727.65</v>
      </c>
      <c r="H392" s="5">
        <v>23644.799999999999</v>
      </c>
      <c r="I392" s="5">
        <v>-82.85</v>
      </c>
      <c r="J392" s="6">
        <v>-3.4917069326292319E-3</v>
      </c>
      <c r="K392" s="91">
        <f t="array" ref="K392">MAX(IF((D392&lt;[1]Nifty_D!$B$2:$B$6600)*(E392&gt;=[1]Nifty_D!$B$2:$B$6600),[1]Nifty_D!$F$2:$F$6600,""))</f>
        <v>23813.4</v>
      </c>
      <c r="L392" s="92">
        <f t="shared" ref="L392:L455" si="22">K392/G392-1</f>
        <v>3.6139272115021104E-3</v>
      </c>
      <c r="M392" s="91">
        <f t="shared" ref="M392:M455" si="23">K392-$G$2</f>
        <v>12189.500000000002</v>
      </c>
      <c r="N392" s="93">
        <f t="array" ref="N392">INDEX([1]Nifty_D!$B$2:$B$6600,MATCH(E392,[1]Nifty_D!$B$2:$B$6600,0)-1)</f>
        <v>45656</v>
      </c>
      <c r="O392" s="89">
        <f>VLOOKUP(N392,[1]Nifty_D!$B$2:$F$6600,5,0)</f>
        <v>23644.9</v>
      </c>
      <c r="P392" s="92">
        <f t="shared" ref="P392:P455" si="24">O392/G392-1</f>
        <v>-3.4874924402542584E-3</v>
      </c>
      <c r="Q392" s="7" t="s">
        <v>28</v>
      </c>
      <c r="R392" s="4">
        <v>23700</v>
      </c>
      <c r="S392" s="102"/>
      <c r="T392" s="102"/>
      <c r="U392" s="7" t="s">
        <v>90</v>
      </c>
      <c r="V392" s="4">
        <v>65</v>
      </c>
      <c r="W392" s="5">
        <v>246.2</v>
      </c>
      <c r="X392" s="4">
        <v>128</v>
      </c>
      <c r="Y392" s="8">
        <v>-0.44800000000000001</v>
      </c>
      <c r="Z392" s="8">
        <v>0.81</v>
      </c>
      <c r="AA392" s="5">
        <v>118.2</v>
      </c>
      <c r="AB392" s="6">
        <v>4.9815299871668701E-3</v>
      </c>
      <c r="AC392" s="4">
        <v>0</v>
      </c>
      <c r="AD392" s="6">
        <v>0</v>
      </c>
      <c r="AE392" s="5">
        <v>57057.9</v>
      </c>
      <c r="AF392" s="5">
        <v>57199.45</v>
      </c>
      <c r="AG392" s="5">
        <v>141.55000000000001</v>
      </c>
      <c r="AH392" s="5">
        <v>0.24809999999999999</v>
      </c>
      <c r="AI392" s="4">
        <v>7</v>
      </c>
      <c r="AJ392" s="5">
        <v>-0.11666700000000001</v>
      </c>
      <c r="AK392" s="5">
        <v>74.982399999999998</v>
      </c>
      <c r="AL392" s="5">
        <v>0.13139999999999999</v>
      </c>
      <c r="AM392" s="8">
        <v>-1.1353</v>
      </c>
      <c r="AN392" s="8">
        <v>0.45989999999999998</v>
      </c>
      <c r="AO392" s="15">
        <v>228.1824</v>
      </c>
      <c r="AP392" s="15">
        <v>0.77710000000000001</v>
      </c>
      <c r="AQ392" s="5">
        <v>106.2683</v>
      </c>
      <c r="AR392" s="5">
        <v>106.2683</v>
      </c>
      <c r="AS392" s="4">
        <v>0</v>
      </c>
      <c r="AT392" s="4">
        <v>0</v>
      </c>
      <c r="AU392" s="8">
        <v>-0.214</v>
      </c>
      <c r="AV392" s="8">
        <v>0.17810000000000001</v>
      </c>
      <c r="AW392" s="8">
        <v>-0.214</v>
      </c>
      <c r="AX392" s="5">
        <v>105.22320000000001</v>
      </c>
      <c r="AY392" s="5">
        <v>-0.66220000000000001</v>
      </c>
      <c r="AZ392" s="7" t="s">
        <v>94</v>
      </c>
    </row>
    <row r="393" spans="1:52" ht="18" customHeight="1" x14ac:dyDescent="0.25">
      <c r="A393" s="10">
        <v>196</v>
      </c>
      <c r="B393" s="10">
        <v>2</v>
      </c>
      <c r="C393" s="10">
        <v>196</v>
      </c>
      <c r="D393" s="86">
        <v>45650</v>
      </c>
      <c r="E393" s="86">
        <v>45657</v>
      </c>
      <c r="F393" s="86">
        <v>45687</v>
      </c>
      <c r="G393" s="11">
        <v>23727.65</v>
      </c>
      <c r="H393" s="11">
        <v>23644.799999999999</v>
      </c>
      <c r="I393" s="12"/>
      <c r="J393" s="12"/>
      <c r="K393" s="91">
        <f t="array" ref="K393">MAX(IF((D393&lt;[1]Nifty_D!$B$2:$B$6600)*(E393&gt;=[1]Nifty_D!$B$2:$B$6600),[1]Nifty_D!$F$2:$F$6600,""))</f>
        <v>23813.4</v>
      </c>
      <c r="L393" s="92">
        <f t="shared" si="22"/>
        <v>3.6139272115021104E-3</v>
      </c>
      <c r="M393" s="91">
        <f t="shared" si="23"/>
        <v>12189.500000000002</v>
      </c>
      <c r="N393" s="93">
        <f t="array" ref="N393">INDEX([1]Nifty_D!$B$2:$B$6600,MATCH(E393,[1]Nifty_D!$B$2:$B$6600,0)-1)</f>
        <v>45656</v>
      </c>
      <c r="O393" s="89">
        <f>VLOOKUP(N393,[1]Nifty_D!$B$2:$F$6600,5,0)</f>
        <v>23644.9</v>
      </c>
      <c r="P393" s="92">
        <f t="shared" si="24"/>
        <v>-3.4874924402542584E-3</v>
      </c>
      <c r="Q393" s="12" t="s">
        <v>40</v>
      </c>
      <c r="R393" s="10">
        <v>23500</v>
      </c>
      <c r="S393" s="103">
        <f>MROUND(G393,500)</f>
        <v>23500</v>
      </c>
      <c r="T393" s="103">
        <f>S393-R393</f>
        <v>0</v>
      </c>
      <c r="U393" s="12" t="s">
        <v>92</v>
      </c>
      <c r="V393" s="10">
        <v>65</v>
      </c>
      <c r="W393" s="11">
        <v>218.55</v>
      </c>
      <c r="X393" s="11">
        <v>253.55</v>
      </c>
      <c r="Y393" s="13">
        <v>-0.22589999999999999</v>
      </c>
      <c r="Z393" s="13">
        <v>0.50339999999999996</v>
      </c>
      <c r="AA393" s="10">
        <v>0</v>
      </c>
      <c r="AB393" s="14">
        <v>0</v>
      </c>
      <c r="AC393" s="10">
        <v>35</v>
      </c>
      <c r="AD393" s="14">
        <v>1.475072331225385E-3</v>
      </c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 t="s">
        <v>94</v>
      </c>
    </row>
    <row r="394" spans="1:52" ht="18" hidden="1" customHeight="1" x14ac:dyDescent="0.25">
      <c r="A394" s="4">
        <v>197</v>
      </c>
      <c r="B394" s="4">
        <v>1</v>
      </c>
      <c r="C394" s="4">
        <v>197</v>
      </c>
      <c r="D394" s="85">
        <v>45744</v>
      </c>
      <c r="E394" s="85">
        <v>45749</v>
      </c>
      <c r="F394" s="85">
        <v>45750</v>
      </c>
      <c r="G394" s="5">
        <v>23519.35</v>
      </c>
      <c r="H394" s="5">
        <v>23332.35</v>
      </c>
      <c r="I394" s="4">
        <v>-187</v>
      </c>
      <c r="J394" s="6">
        <v>-7.9509000036140452E-3</v>
      </c>
      <c r="K394" s="91">
        <f t="array" ref="K394">MAX(IF((D394&lt;[1]Nifty_D!$B$2:$B$6600)*(E394&gt;=[1]Nifty_D!$B$2:$B$6600),[1]Nifty_D!$F$2:$F$6600,""))</f>
        <v>23332.35</v>
      </c>
      <c r="L394" s="92">
        <f t="shared" si="22"/>
        <v>-7.950900003614092E-3</v>
      </c>
      <c r="M394" s="91">
        <f t="shared" si="23"/>
        <v>11708.449999999999</v>
      </c>
      <c r="N394" s="93">
        <f t="array" ref="N394">INDEX([1]Nifty_D!$B$2:$B$6600,MATCH(E394,[1]Nifty_D!$B$2:$B$6600,0)-1)</f>
        <v>45748</v>
      </c>
      <c r="O394" s="89">
        <f>VLOOKUP(N394,[1]Nifty_D!$B$2:$F$6600,5,0)</f>
        <v>23165.7</v>
      </c>
      <c r="P394" s="92">
        <f t="shared" si="24"/>
        <v>-1.5036555006834651E-2</v>
      </c>
      <c r="Q394" s="7" t="s">
        <v>28</v>
      </c>
      <c r="R394" s="4">
        <v>23500</v>
      </c>
      <c r="S394" s="102"/>
      <c r="T394" s="102"/>
      <c r="U394" s="7" t="s">
        <v>90</v>
      </c>
      <c r="V394" s="4">
        <v>65</v>
      </c>
      <c r="W394" s="5">
        <v>140.80000000000001</v>
      </c>
      <c r="X394" s="5">
        <v>19.600000000000001</v>
      </c>
      <c r="Y394" s="8">
        <v>-4.6800000000000001E-2</v>
      </c>
      <c r="Z394" s="8">
        <v>0.56189999999999996</v>
      </c>
      <c r="AA394" s="5">
        <v>121.2</v>
      </c>
      <c r="AB394" s="6">
        <v>5.1532036387060016E-3</v>
      </c>
      <c r="AC394" s="4">
        <v>0</v>
      </c>
      <c r="AD394" s="6">
        <v>0</v>
      </c>
      <c r="AE394" s="5">
        <v>51672.25</v>
      </c>
      <c r="AF394" s="5">
        <v>52053.2</v>
      </c>
      <c r="AG394" s="5">
        <v>380.95</v>
      </c>
      <c r="AH394" s="5">
        <v>0.73719999999999997</v>
      </c>
      <c r="AI394" s="4">
        <v>5</v>
      </c>
      <c r="AJ394" s="5">
        <v>-8.3333000000000004E-2</v>
      </c>
      <c r="AK394" s="5">
        <v>337.88979999999998</v>
      </c>
      <c r="AL394" s="5">
        <v>0.65390000000000004</v>
      </c>
      <c r="AM394" s="8">
        <v>-1.5891999999999999</v>
      </c>
      <c r="AN394" s="8">
        <v>0.70920000000000005</v>
      </c>
      <c r="AO394" s="15">
        <v>541.33979999999997</v>
      </c>
      <c r="AP394" s="15">
        <v>1.5188999999999999</v>
      </c>
      <c r="AQ394" s="5">
        <v>101.5189</v>
      </c>
      <c r="AR394" s="5">
        <v>101.5189</v>
      </c>
      <c r="AS394" s="4">
        <v>0</v>
      </c>
      <c r="AT394" s="4">
        <v>0</v>
      </c>
      <c r="AU394" s="8">
        <v>0.61199999999999999</v>
      </c>
      <c r="AV394" s="8">
        <v>-0.28029999999999999</v>
      </c>
      <c r="AW394" s="8">
        <v>-0.28029999999999999</v>
      </c>
      <c r="AX394" s="5">
        <v>99.719700000000003</v>
      </c>
      <c r="AY394" s="5">
        <v>-0.28029999999999999</v>
      </c>
      <c r="AZ394" s="7" t="s">
        <v>91</v>
      </c>
    </row>
    <row r="395" spans="1:52" ht="18" customHeight="1" x14ac:dyDescent="0.25">
      <c r="A395" s="10">
        <v>197</v>
      </c>
      <c r="B395" s="10">
        <v>2</v>
      </c>
      <c r="C395" s="10">
        <v>197</v>
      </c>
      <c r="D395" s="86">
        <v>45744</v>
      </c>
      <c r="E395" s="86">
        <v>45749</v>
      </c>
      <c r="F395" s="86">
        <v>45771</v>
      </c>
      <c r="G395" s="11">
        <v>23519.35</v>
      </c>
      <c r="H395" s="11">
        <v>23332.35</v>
      </c>
      <c r="I395" s="12"/>
      <c r="J395" s="12"/>
      <c r="K395" s="91">
        <f t="array" ref="K395">MAX(IF((D395&lt;[1]Nifty_D!$B$2:$B$6600)*(E395&gt;=[1]Nifty_D!$B$2:$B$6600),[1]Nifty_D!$F$2:$F$6600,""))</f>
        <v>23332.35</v>
      </c>
      <c r="L395" s="92">
        <f t="shared" si="22"/>
        <v>-7.950900003614092E-3</v>
      </c>
      <c r="M395" s="91">
        <f t="shared" si="23"/>
        <v>11708.449999999999</v>
      </c>
      <c r="N395" s="93">
        <f t="array" ref="N395">INDEX([1]Nifty_D!$B$2:$B$6600,MATCH(E395,[1]Nifty_D!$B$2:$B$6600,0)-1)</f>
        <v>45748</v>
      </c>
      <c r="O395" s="89">
        <f>VLOOKUP(N395,[1]Nifty_D!$B$2:$F$6600,5,0)</f>
        <v>23165.7</v>
      </c>
      <c r="P395" s="92">
        <f t="shared" si="24"/>
        <v>-1.5036555006834651E-2</v>
      </c>
      <c r="Q395" s="12" t="s">
        <v>40</v>
      </c>
      <c r="R395" s="10">
        <v>23500</v>
      </c>
      <c r="S395" s="103">
        <f>MROUND(G395,500)</f>
        <v>23500</v>
      </c>
      <c r="T395" s="103">
        <f>S395-R395</f>
        <v>0</v>
      </c>
      <c r="U395" s="12" t="s">
        <v>92</v>
      </c>
      <c r="V395" s="10">
        <v>65</v>
      </c>
      <c r="W395" s="11">
        <v>231.85</v>
      </c>
      <c r="X395" s="11">
        <v>314.10000000000002</v>
      </c>
      <c r="Y395" s="13">
        <v>-5.04E-2</v>
      </c>
      <c r="Z395" s="13">
        <v>0.747</v>
      </c>
      <c r="AA395" s="10">
        <v>0</v>
      </c>
      <c r="AB395" s="14">
        <v>0</v>
      </c>
      <c r="AC395" s="11">
        <v>82.25</v>
      </c>
      <c r="AD395" s="14">
        <v>3.4971204561350549E-3</v>
      </c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 t="s">
        <v>91</v>
      </c>
    </row>
    <row r="396" spans="1:52" ht="18" hidden="1" customHeight="1" x14ac:dyDescent="0.25">
      <c r="A396" s="4">
        <v>198</v>
      </c>
      <c r="B396" s="4">
        <v>1</v>
      </c>
      <c r="C396" s="4">
        <v>198</v>
      </c>
      <c r="D396" s="85">
        <v>45749</v>
      </c>
      <c r="E396" s="85">
        <v>45755</v>
      </c>
      <c r="F396" s="85">
        <v>45756</v>
      </c>
      <c r="G396" s="5">
        <v>23332.35</v>
      </c>
      <c r="H396" s="5">
        <v>22535.85</v>
      </c>
      <c r="I396" s="5">
        <v>-796.5</v>
      </c>
      <c r="J396" s="6">
        <v>-3.4137152922873178E-2</v>
      </c>
      <c r="K396" s="91">
        <f t="array" ref="K396">MAX(IF((D396&lt;[1]Nifty_D!$B$2:$B$6600)*(E396&gt;=[1]Nifty_D!$B$2:$B$6600),[1]Nifty_D!$F$2:$F$6600,""))</f>
        <v>23250.1</v>
      </c>
      <c r="L396" s="92">
        <f t="shared" si="22"/>
        <v>-3.5251485598322141E-3</v>
      </c>
      <c r="M396" s="91">
        <f t="shared" si="23"/>
        <v>11626.199999999999</v>
      </c>
      <c r="N396" s="93">
        <f t="array" ref="N396">INDEX([1]Nifty_D!$B$2:$B$6600,MATCH(E396,[1]Nifty_D!$B$2:$B$6600,0)-1)</f>
        <v>45754</v>
      </c>
      <c r="O396" s="89">
        <f>VLOOKUP(N396,[1]Nifty_D!$B$2:$F$6600,5,0)</f>
        <v>22161.599999999999</v>
      </c>
      <c r="P396" s="92">
        <f t="shared" si="24"/>
        <v>-5.0177114606972717E-2</v>
      </c>
      <c r="Q396" s="7" t="s">
        <v>28</v>
      </c>
      <c r="R396" s="4">
        <v>23300</v>
      </c>
      <c r="S396" s="102"/>
      <c r="T396" s="102"/>
      <c r="U396" s="7" t="s">
        <v>90</v>
      </c>
      <c r="V396" s="4">
        <v>65</v>
      </c>
      <c r="W396" s="5">
        <v>202.55</v>
      </c>
      <c r="X396" s="5">
        <v>9.3000000000000007</v>
      </c>
      <c r="Y396" s="8">
        <v>0.12130000000000001</v>
      </c>
      <c r="Z396" s="8">
        <v>0.85929999999999995</v>
      </c>
      <c r="AA396" s="5">
        <v>193.25</v>
      </c>
      <c r="AB396" s="6">
        <v>8.2824919050159974E-3</v>
      </c>
      <c r="AC396" s="4">
        <v>0</v>
      </c>
      <c r="AD396" s="6">
        <v>0</v>
      </c>
      <c r="AE396" s="5">
        <v>52053.2</v>
      </c>
      <c r="AF396" s="4">
        <v>49838</v>
      </c>
      <c r="AG396" s="5">
        <v>-2215.1999999999998</v>
      </c>
      <c r="AH396" s="5">
        <v>-4.2556000000000003</v>
      </c>
      <c r="AI396" s="4">
        <v>6</v>
      </c>
      <c r="AJ396" s="5">
        <v>-0.1</v>
      </c>
      <c r="AK396" s="5">
        <v>-2267.2532000000001</v>
      </c>
      <c r="AL396" s="5">
        <v>-4.3555999999999999</v>
      </c>
      <c r="AM396" s="8">
        <v>-9.8469999999999995</v>
      </c>
      <c r="AN396" s="8">
        <v>0.28599999999999998</v>
      </c>
      <c r="AO396" s="9">
        <v>-1435.1532</v>
      </c>
      <c r="AP396" s="9">
        <v>-0.7893</v>
      </c>
      <c r="AQ396" s="5">
        <v>100.7176</v>
      </c>
      <c r="AR396" s="5">
        <v>101.5189</v>
      </c>
      <c r="AS396" s="5">
        <v>-0.80130000000000001</v>
      </c>
      <c r="AT396" s="5">
        <v>-0.7893</v>
      </c>
      <c r="AU396" s="8">
        <v>0.43280000000000002</v>
      </c>
      <c r="AV396" s="8">
        <v>-3.1025</v>
      </c>
      <c r="AW396" s="8">
        <v>-3.1025</v>
      </c>
      <c r="AX396" s="5">
        <v>98.369299999999996</v>
      </c>
      <c r="AY396" s="5">
        <v>-3.1025</v>
      </c>
      <c r="AZ396" s="7" t="s">
        <v>91</v>
      </c>
    </row>
    <row r="397" spans="1:52" ht="18" customHeight="1" x14ac:dyDescent="0.25">
      <c r="A397" s="10">
        <v>198</v>
      </c>
      <c r="B397" s="10">
        <v>2</v>
      </c>
      <c r="C397" s="10">
        <v>198</v>
      </c>
      <c r="D397" s="86">
        <v>45749</v>
      </c>
      <c r="E397" s="86">
        <v>45755</v>
      </c>
      <c r="F397" s="86">
        <v>45771</v>
      </c>
      <c r="G397" s="11">
        <v>23332.35</v>
      </c>
      <c r="H397" s="11">
        <v>22535.85</v>
      </c>
      <c r="I397" s="12"/>
      <c r="J397" s="12"/>
      <c r="K397" s="91">
        <f t="array" ref="K397">MAX(IF((D397&lt;[1]Nifty_D!$B$2:$B$6600)*(E397&gt;=[1]Nifty_D!$B$2:$B$6600),[1]Nifty_D!$F$2:$F$6600,""))</f>
        <v>23250.1</v>
      </c>
      <c r="L397" s="92">
        <f t="shared" si="22"/>
        <v>-3.5251485598322141E-3</v>
      </c>
      <c r="M397" s="91">
        <f t="shared" si="23"/>
        <v>11626.199999999999</v>
      </c>
      <c r="N397" s="93">
        <f t="array" ref="N397">INDEX([1]Nifty_D!$B$2:$B$6600,MATCH(E397,[1]Nifty_D!$B$2:$B$6600,0)-1)</f>
        <v>45754</v>
      </c>
      <c r="O397" s="89">
        <f>VLOOKUP(N397,[1]Nifty_D!$B$2:$F$6600,5,0)</f>
        <v>22161.599999999999</v>
      </c>
      <c r="P397" s="92">
        <f t="shared" si="24"/>
        <v>-5.0177114606972717E-2</v>
      </c>
      <c r="Q397" s="12" t="s">
        <v>40</v>
      </c>
      <c r="R397" s="10">
        <v>23500</v>
      </c>
      <c r="S397" s="103">
        <f>MROUND(G397,500)</f>
        <v>23500</v>
      </c>
      <c r="T397" s="103">
        <f>S397-R397</f>
        <v>0</v>
      </c>
      <c r="U397" s="12" t="s">
        <v>92</v>
      </c>
      <c r="V397" s="10">
        <v>65</v>
      </c>
      <c r="W397" s="11">
        <v>314.10000000000002</v>
      </c>
      <c r="X397" s="11">
        <v>952.95</v>
      </c>
      <c r="Y397" s="13">
        <v>2.5499999999999998E-2</v>
      </c>
      <c r="Z397" s="13">
        <v>5.8852000000000002</v>
      </c>
      <c r="AA397" s="10">
        <v>0</v>
      </c>
      <c r="AB397" s="14">
        <v>0</v>
      </c>
      <c r="AC397" s="11">
        <v>638.85</v>
      </c>
      <c r="AD397" s="14">
        <v>2.738043960424047E-2</v>
      </c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 t="s">
        <v>91</v>
      </c>
    </row>
    <row r="398" spans="1:52" ht="18" hidden="1" customHeight="1" x14ac:dyDescent="0.25">
      <c r="A398" s="4">
        <v>199</v>
      </c>
      <c r="B398" s="4">
        <v>1</v>
      </c>
      <c r="C398" s="4">
        <v>199</v>
      </c>
      <c r="D398" s="85">
        <v>45755</v>
      </c>
      <c r="E398" s="85">
        <v>45758</v>
      </c>
      <c r="F398" s="85">
        <v>45764</v>
      </c>
      <c r="G398" s="5">
        <v>22535.85</v>
      </c>
      <c r="H398" s="5">
        <v>22828.55</v>
      </c>
      <c r="I398" s="5">
        <v>292.7</v>
      </c>
      <c r="J398" s="6">
        <v>1.298819436586594E-2</v>
      </c>
      <c r="K398" s="91">
        <f t="array" ref="K398">MAX(IF((D398&lt;[1]Nifty_D!$B$2:$B$6600)*(E398&gt;=[1]Nifty_D!$B$2:$B$6600),[1]Nifty_D!$F$2:$F$6600,""))</f>
        <v>22828.55</v>
      </c>
      <c r="L398" s="92">
        <f t="shared" si="22"/>
        <v>1.2988194365866068E-2</v>
      </c>
      <c r="M398" s="91">
        <f t="shared" si="23"/>
        <v>11204.65</v>
      </c>
      <c r="N398" s="93">
        <f t="array" ref="N398">INDEX([1]Nifty_D!$B$2:$B$6600,MATCH(E398,[1]Nifty_D!$B$2:$B$6600,0)-1)</f>
        <v>45756</v>
      </c>
      <c r="O398" s="89">
        <f>VLOOKUP(N398,[1]Nifty_D!$B$2:$F$6600,5,0)</f>
        <v>22399.15</v>
      </c>
      <c r="P398" s="92">
        <f t="shared" si="24"/>
        <v>-6.0658905699140231E-3</v>
      </c>
      <c r="Q398" s="7" t="s">
        <v>28</v>
      </c>
      <c r="R398" s="4">
        <v>22500</v>
      </c>
      <c r="S398" s="102"/>
      <c r="T398" s="102"/>
      <c r="U398" s="7" t="s">
        <v>90</v>
      </c>
      <c r="V398" s="4">
        <v>65</v>
      </c>
      <c r="W398" s="5">
        <v>376.65</v>
      </c>
      <c r="X398" s="5">
        <v>485.9</v>
      </c>
      <c r="Y398" s="8">
        <v>-0.72370000000000001</v>
      </c>
      <c r="Z398" s="8">
        <v>0.70350000000000001</v>
      </c>
      <c r="AA398" s="5">
        <v>-109.25</v>
      </c>
      <c r="AB398" s="6">
        <v>-4.8478313442803364E-3</v>
      </c>
      <c r="AC398" s="4">
        <v>0</v>
      </c>
      <c r="AD398" s="6">
        <v>0</v>
      </c>
      <c r="AE398" s="4">
        <v>49838</v>
      </c>
      <c r="AF398" s="5">
        <v>50501.5</v>
      </c>
      <c r="AG398" s="5">
        <v>663.5</v>
      </c>
      <c r="AH398" s="5">
        <v>1.3312999999999999</v>
      </c>
      <c r="AI398" s="4">
        <v>3</v>
      </c>
      <c r="AJ398" s="5">
        <v>-0.05</v>
      </c>
      <c r="AK398" s="5">
        <v>638.58100000000002</v>
      </c>
      <c r="AL398" s="5">
        <v>1.2813000000000001</v>
      </c>
      <c r="AM398" s="8">
        <v>-1.8869</v>
      </c>
      <c r="AN398" s="8">
        <v>1.5622</v>
      </c>
      <c r="AO398" s="15">
        <v>264.18099999999998</v>
      </c>
      <c r="AP398" s="15">
        <v>-0.38009999999999999</v>
      </c>
      <c r="AQ398" s="5">
        <v>100.3348</v>
      </c>
      <c r="AR398" s="5">
        <v>101.5189</v>
      </c>
      <c r="AS398" s="5">
        <v>-1.1840999999999999</v>
      </c>
      <c r="AT398" s="5">
        <v>-1.1664000000000001</v>
      </c>
      <c r="AU398" s="8">
        <v>-0.75900000000000001</v>
      </c>
      <c r="AV398" s="8">
        <v>-0.3574</v>
      </c>
      <c r="AW398" s="8">
        <v>-0.75900000000000001</v>
      </c>
      <c r="AX398" s="5">
        <v>99.953199999999995</v>
      </c>
      <c r="AY398" s="5">
        <v>-1.5423</v>
      </c>
      <c r="AZ398" s="7" t="s">
        <v>95</v>
      </c>
    </row>
    <row r="399" spans="1:52" ht="18" customHeight="1" x14ac:dyDescent="0.25">
      <c r="A399" s="10">
        <v>199</v>
      </c>
      <c r="B399" s="10">
        <v>2</v>
      </c>
      <c r="C399" s="10">
        <v>199</v>
      </c>
      <c r="D399" s="86">
        <v>45755</v>
      </c>
      <c r="E399" s="86">
        <v>45758</v>
      </c>
      <c r="F399" s="86">
        <v>45771</v>
      </c>
      <c r="G399" s="11">
        <v>22535.85</v>
      </c>
      <c r="H399" s="11">
        <v>22828.55</v>
      </c>
      <c r="I399" s="12"/>
      <c r="J399" s="12"/>
      <c r="K399" s="91">
        <f t="array" ref="K399">MAX(IF((D399&lt;[1]Nifty_D!$B$2:$B$6600)*(E399&gt;=[1]Nifty_D!$B$2:$B$6600),[1]Nifty_D!$F$2:$F$6600,""))</f>
        <v>22828.55</v>
      </c>
      <c r="L399" s="92">
        <f t="shared" si="22"/>
        <v>1.2988194365866068E-2</v>
      </c>
      <c r="M399" s="91">
        <f t="shared" si="23"/>
        <v>11204.65</v>
      </c>
      <c r="N399" s="93">
        <f t="array" ref="N399">INDEX([1]Nifty_D!$B$2:$B$6600,MATCH(E399,[1]Nifty_D!$B$2:$B$6600,0)-1)</f>
        <v>45756</v>
      </c>
      <c r="O399" s="89">
        <f>VLOOKUP(N399,[1]Nifty_D!$B$2:$F$6600,5,0)</f>
        <v>22399.15</v>
      </c>
      <c r="P399" s="92">
        <f t="shared" si="24"/>
        <v>-6.0658905699140231E-3</v>
      </c>
      <c r="Q399" s="12" t="s">
        <v>40</v>
      </c>
      <c r="R399" s="10">
        <v>23500</v>
      </c>
      <c r="S399" s="103">
        <f>MROUND(G399,500)</f>
        <v>22500</v>
      </c>
      <c r="T399" s="103">
        <f>S399-R399</f>
        <v>-1000</v>
      </c>
      <c r="U399" s="12" t="s">
        <v>92</v>
      </c>
      <c r="V399" s="10">
        <v>65</v>
      </c>
      <c r="W399" s="11">
        <v>952.95</v>
      </c>
      <c r="X399" s="11">
        <v>687.8</v>
      </c>
      <c r="Y399" s="13">
        <v>-1.5974999999999999</v>
      </c>
      <c r="Z399" s="13">
        <v>0.82599999999999996</v>
      </c>
      <c r="AA399" s="10">
        <v>0</v>
      </c>
      <c r="AB399" s="14">
        <v>0</v>
      </c>
      <c r="AC399" s="11">
        <v>-265.14999999999998</v>
      </c>
      <c r="AD399" s="14">
        <v>-1.1765697766003939E-2</v>
      </c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 t="s">
        <v>95</v>
      </c>
    </row>
    <row r="400" spans="1:52" ht="18" hidden="1" customHeight="1" x14ac:dyDescent="0.25">
      <c r="A400" s="4">
        <v>200</v>
      </c>
      <c r="B400" s="4">
        <v>1</v>
      </c>
      <c r="C400" s="4">
        <v>200</v>
      </c>
      <c r="D400" s="85">
        <v>45758</v>
      </c>
      <c r="E400" s="85">
        <v>45762</v>
      </c>
      <c r="F400" s="85">
        <v>45764</v>
      </c>
      <c r="G400" s="5">
        <v>22828.55</v>
      </c>
      <c r="H400" s="5">
        <v>23328.55</v>
      </c>
      <c r="I400" s="4">
        <v>500</v>
      </c>
      <c r="J400" s="6">
        <v>2.19023985316632E-2</v>
      </c>
      <c r="K400" s="91">
        <f t="array" ref="K400">MAX(IF((D400&lt;[1]Nifty_D!$B$2:$B$6600)*(E400&gt;=[1]Nifty_D!$B$2:$B$6600),[1]Nifty_D!$F$2:$F$6600,""))</f>
        <v>23328.55</v>
      </c>
      <c r="L400" s="92">
        <f t="shared" si="22"/>
        <v>2.1902398531663314E-2</v>
      </c>
      <c r="M400" s="91">
        <f t="shared" si="23"/>
        <v>11704.65</v>
      </c>
      <c r="N400" s="93">
        <f t="array" ref="N400">INDEX([1]Nifty_D!$B$2:$B$6600,MATCH(E400,[1]Nifty_D!$B$2:$B$6600,0)-1)</f>
        <v>45758</v>
      </c>
      <c r="O400" s="89">
        <f>VLOOKUP(N400,[1]Nifty_D!$B$2:$F$6600,5,0)</f>
        <v>22828.55</v>
      </c>
      <c r="P400" s="92">
        <f t="shared" si="24"/>
        <v>0</v>
      </c>
      <c r="Q400" s="7" t="s">
        <v>28</v>
      </c>
      <c r="R400" s="4">
        <v>22800</v>
      </c>
      <c r="S400" s="102"/>
      <c r="T400" s="102"/>
      <c r="U400" s="7" t="s">
        <v>90</v>
      </c>
      <c r="V400" s="4">
        <v>65</v>
      </c>
      <c r="W400" s="5">
        <v>282.39999999999998</v>
      </c>
      <c r="X400" s="5">
        <v>513.54999999999995</v>
      </c>
      <c r="Y400" s="8">
        <v>-1.4456</v>
      </c>
      <c r="Z400" s="8">
        <v>-0.73899999999999999</v>
      </c>
      <c r="AA400" s="5">
        <v>-231.15</v>
      </c>
      <c r="AB400" s="6">
        <v>-1.0125478841187901E-2</v>
      </c>
      <c r="AC400" s="4">
        <v>0</v>
      </c>
      <c r="AD400" s="6">
        <v>0</v>
      </c>
      <c r="AE400" s="5">
        <v>50501.5</v>
      </c>
      <c r="AF400" s="5">
        <v>51974.45</v>
      </c>
      <c r="AG400" s="5">
        <v>1472.95</v>
      </c>
      <c r="AH400" s="5">
        <v>2.9165999999999999</v>
      </c>
      <c r="AI400" s="4">
        <v>4</v>
      </c>
      <c r="AJ400" s="5">
        <v>-6.6667000000000004E-2</v>
      </c>
      <c r="AK400" s="5">
        <v>1439.2823000000001</v>
      </c>
      <c r="AL400" s="5">
        <v>2.85</v>
      </c>
      <c r="AM400" s="8">
        <v>1.1193</v>
      </c>
      <c r="AN400" s="8">
        <v>3.0070999999999999</v>
      </c>
      <c r="AO400" s="15">
        <v>819.63229999999999</v>
      </c>
      <c r="AP400" s="15">
        <v>0.1356</v>
      </c>
      <c r="AQ400" s="5">
        <v>100.4708</v>
      </c>
      <c r="AR400" s="5">
        <v>101.5189</v>
      </c>
      <c r="AS400" s="5">
        <v>-1.0481</v>
      </c>
      <c r="AT400" s="5">
        <v>-1.0324</v>
      </c>
      <c r="AU400" s="8">
        <v>-0.25640000000000002</v>
      </c>
      <c r="AV400" s="8">
        <v>-0.85850000000000004</v>
      </c>
      <c r="AW400" s="8">
        <v>-0.85850000000000004</v>
      </c>
      <c r="AX400" s="5">
        <v>99.473399999999998</v>
      </c>
      <c r="AY400" s="5">
        <v>-2.0148999999999999</v>
      </c>
      <c r="AZ400" s="7" t="s">
        <v>95</v>
      </c>
    </row>
    <row r="401" spans="1:52" ht="18" customHeight="1" x14ac:dyDescent="0.25">
      <c r="A401" s="10">
        <v>200</v>
      </c>
      <c r="B401" s="10">
        <v>2</v>
      </c>
      <c r="C401" s="10">
        <v>200</v>
      </c>
      <c r="D401" s="86">
        <v>45758</v>
      </c>
      <c r="E401" s="86">
        <v>45762</v>
      </c>
      <c r="F401" s="86">
        <v>45771</v>
      </c>
      <c r="G401" s="11">
        <v>22828.55</v>
      </c>
      <c r="H401" s="11">
        <v>23328.55</v>
      </c>
      <c r="I401" s="12"/>
      <c r="J401" s="12"/>
      <c r="K401" s="91">
        <f t="array" ref="K401">MAX(IF((D401&lt;[1]Nifty_D!$B$2:$B$6600)*(E401&gt;=[1]Nifty_D!$B$2:$B$6600),[1]Nifty_D!$F$2:$F$6600,""))</f>
        <v>23328.55</v>
      </c>
      <c r="L401" s="92">
        <f t="shared" si="22"/>
        <v>2.1902398531663314E-2</v>
      </c>
      <c r="M401" s="91">
        <f t="shared" si="23"/>
        <v>11704.65</v>
      </c>
      <c r="N401" s="93">
        <f t="array" ref="N401">INDEX([1]Nifty_D!$B$2:$B$6600,MATCH(E401,[1]Nifty_D!$B$2:$B$6600,0)-1)</f>
        <v>45758</v>
      </c>
      <c r="O401" s="89">
        <f>VLOOKUP(N401,[1]Nifty_D!$B$2:$F$6600,5,0)</f>
        <v>22828.55</v>
      </c>
      <c r="P401" s="92">
        <f t="shared" si="24"/>
        <v>0</v>
      </c>
      <c r="Q401" s="12" t="s">
        <v>40</v>
      </c>
      <c r="R401" s="10">
        <v>23500</v>
      </c>
      <c r="S401" s="103">
        <f>MROUND(G401,500)</f>
        <v>23000</v>
      </c>
      <c r="T401" s="103">
        <f>S401-R401</f>
        <v>-500</v>
      </c>
      <c r="U401" s="12" t="s">
        <v>92</v>
      </c>
      <c r="V401" s="10">
        <v>65</v>
      </c>
      <c r="W401" s="11">
        <v>687.8</v>
      </c>
      <c r="X401" s="11">
        <v>299.3</v>
      </c>
      <c r="Y401" s="13">
        <v>-1.8179000000000001</v>
      </c>
      <c r="Z401" s="13">
        <v>-1.2387999999999999</v>
      </c>
      <c r="AA401" s="10">
        <v>0</v>
      </c>
      <c r="AB401" s="14">
        <v>0</v>
      </c>
      <c r="AC401" s="11">
        <v>-388.5</v>
      </c>
      <c r="AD401" s="14">
        <v>-1.701816365910231E-2</v>
      </c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 t="s">
        <v>95</v>
      </c>
    </row>
    <row r="402" spans="1:52" ht="18" hidden="1" customHeight="1" x14ac:dyDescent="0.25">
      <c r="A402" s="4">
        <v>201</v>
      </c>
      <c r="B402" s="4">
        <v>1</v>
      </c>
      <c r="C402" s="4">
        <v>201</v>
      </c>
      <c r="D402" s="85">
        <v>45762</v>
      </c>
      <c r="E402" s="85">
        <v>45763</v>
      </c>
      <c r="F402" s="85">
        <v>45764</v>
      </c>
      <c r="G402" s="5">
        <v>23328.55</v>
      </c>
      <c r="H402" s="5">
        <v>23437.200000000001</v>
      </c>
      <c r="I402" s="5">
        <v>108.65</v>
      </c>
      <c r="J402" s="6">
        <v>4.657383335012249E-3</v>
      </c>
      <c r="K402" s="91">
        <f t="array" ref="K402">MAX(IF((D402&lt;[1]Nifty_D!$B$2:$B$6600)*(E402&gt;=[1]Nifty_D!$B$2:$B$6600),[1]Nifty_D!$F$2:$F$6600,""))</f>
        <v>23437.200000000001</v>
      </c>
      <c r="L402" s="92">
        <f t="shared" si="22"/>
        <v>4.6573833350123106E-3</v>
      </c>
      <c r="M402" s="91">
        <f t="shared" si="23"/>
        <v>11813.300000000001</v>
      </c>
      <c r="N402" s="93">
        <f t="array" ref="N402">INDEX([1]Nifty_D!$B$2:$B$6600,MATCH(E402,[1]Nifty_D!$B$2:$B$6600,0)-1)</f>
        <v>45762</v>
      </c>
      <c r="O402" s="89">
        <f>VLOOKUP(N402,[1]Nifty_D!$B$2:$F$6600,5,0)</f>
        <v>23328.55</v>
      </c>
      <c r="P402" s="92">
        <f t="shared" si="24"/>
        <v>0</v>
      </c>
      <c r="Q402" s="7" t="s">
        <v>28</v>
      </c>
      <c r="R402" s="4">
        <v>23300</v>
      </c>
      <c r="S402" s="102"/>
      <c r="T402" s="102"/>
      <c r="U402" s="7" t="s">
        <v>90</v>
      </c>
      <c r="V402" s="4">
        <v>65</v>
      </c>
      <c r="W402" s="5">
        <v>95.7</v>
      </c>
      <c r="X402" s="5">
        <v>130.19999999999999</v>
      </c>
      <c r="Y402" s="8">
        <v>-0.26129999999999998</v>
      </c>
      <c r="Z402" s="8">
        <v>0.21279999999999999</v>
      </c>
      <c r="AA402" s="5">
        <v>-34.5</v>
      </c>
      <c r="AB402" s="6">
        <v>-1.478874597863991E-3</v>
      </c>
      <c r="AC402" s="4">
        <v>0</v>
      </c>
      <c r="AD402" s="6">
        <v>0</v>
      </c>
      <c r="AE402" s="5">
        <v>51974.45</v>
      </c>
      <c r="AF402" s="5">
        <v>52345.55</v>
      </c>
      <c r="AG402" s="5">
        <v>371.1</v>
      </c>
      <c r="AH402" s="5">
        <v>0.71399999999999997</v>
      </c>
      <c r="AI402" s="4">
        <v>1</v>
      </c>
      <c r="AJ402" s="5">
        <v>-1.6667000000000001E-2</v>
      </c>
      <c r="AK402" s="5">
        <v>362.43759999999997</v>
      </c>
      <c r="AL402" s="5">
        <v>0.69730000000000003</v>
      </c>
      <c r="AM402" s="8">
        <v>-7.0099999999999996E-2</v>
      </c>
      <c r="AN402" s="8">
        <v>0.74760000000000004</v>
      </c>
      <c r="AO402" s="15">
        <v>267.93759999999997</v>
      </c>
      <c r="AP402" s="15">
        <v>0.29220000000000002</v>
      </c>
      <c r="AQ402" s="5">
        <v>100.76439999999999</v>
      </c>
      <c r="AR402" s="5">
        <v>101.5189</v>
      </c>
      <c r="AS402" s="5">
        <v>-0.75449999999999995</v>
      </c>
      <c r="AT402" s="5">
        <v>-0.74319999999999997</v>
      </c>
      <c r="AU402" s="8">
        <v>0.1678</v>
      </c>
      <c r="AV402" s="8">
        <v>0.27429999999999999</v>
      </c>
      <c r="AW402" s="8">
        <v>0.1678</v>
      </c>
      <c r="AX402" s="5">
        <v>100.63939999999999</v>
      </c>
      <c r="AY402" s="5">
        <v>-0.86629999999999996</v>
      </c>
      <c r="AZ402" s="7" t="s">
        <v>91</v>
      </c>
    </row>
    <row r="403" spans="1:52" ht="18" customHeight="1" x14ac:dyDescent="0.25">
      <c r="A403" s="10">
        <v>201</v>
      </c>
      <c r="B403" s="10">
        <v>2</v>
      </c>
      <c r="C403" s="10">
        <v>201</v>
      </c>
      <c r="D403" s="86">
        <v>45762</v>
      </c>
      <c r="E403" s="86">
        <v>45763</v>
      </c>
      <c r="F403" s="86">
        <v>45771</v>
      </c>
      <c r="G403" s="11">
        <v>23328.55</v>
      </c>
      <c r="H403" s="11">
        <v>23437.200000000001</v>
      </c>
      <c r="I403" s="12"/>
      <c r="J403" s="12"/>
      <c r="K403" s="91">
        <f t="array" ref="K403">MAX(IF((D403&lt;[1]Nifty_D!$B$2:$B$6600)*(E403&gt;=[1]Nifty_D!$B$2:$B$6600),[1]Nifty_D!$F$2:$F$6600,""))</f>
        <v>23437.200000000001</v>
      </c>
      <c r="L403" s="92">
        <f t="shared" si="22"/>
        <v>4.6573833350123106E-3</v>
      </c>
      <c r="M403" s="91">
        <f t="shared" si="23"/>
        <v>11813.300000000001</v>
      </c>
      <c r="N403" s="93">
        <f t="array" ref="N403">INDEX([1]Nifty_D!$B$2:$B$6600,MATCH(E403,[1]Nifty_D!$B$2:$B$6600,0)-1)</f>
        <v>45762</v>
      </c>
      <c r="O403" s="89">
        <f>VLOOKUP(N403,[1]Nifty_D!$B$2:$F$6600,5,0)</f>
        <v>23328.55</v>
      </c>
      <c r="P403" s="92">
        <f t="shared" si="24"/>
        <v>0</v>
      </c>
      <c r="Q403" s="12" t="s">
        <v>40</v>
      </c>
      <c r="R403" s="10">
        <v>23500</v>
      </c>
      <c r="S403" s="103">
        <f>MROUND(G403,500)</f>
        <v>23500</v>
      </c>
      <c r="T403" s="103">
        <f>S403-R403</f>
        <v>0</v>
      </c>
      <c r="U403" s="12" t="s">
        <v>92</v>
      </c>
      <c r="V403" s="10">
        <v>65</v>
      </c>
      <c r="W403" s="11">
        <v>299.3</v>
      </c>
      <c r="X403" s="11">
        <v>239.3</v>
      </c>
      <c r="Y403" s="13">
        <v>-0.31850000000000001</v>
      </c>
      <c r="Z403" s="13">
        <v>0.13159999999999999</v>
      </c>
      <c r="AA403" s="10">
        <v>0</v>
      </c>
      <c r="AB403" s="14">
        <v>0</v>
      </c>
      <c r="AC403" s="10">
        <v>-60</v>
      </c>
      <c r="AD403" s="14">
        <v>-2.5719558223721581E-3</v>
      </c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 t="s">
        <v>91</v>
      </c>
    </row>
    <row r="404" spans="1:52" ht="18" hidden="1" customHeight="1" x14ac:dyDescent="0.25">
      <c r="A404" s="4">
        <v>202</v>
      </c>
      <c r="B404" s="4">
        <v>1</v>
      </c>
      <c r="C404" s="4">
        <v>202</v>
      </c>
      <c r="D404" s="85">
        <v>45763</v>
      </c>
      <c r="E404" s="85">
        <v>45764</v>
      </c>
      <c r="F404" s="85">
        <v>45771</v>
      </c>
      <c r="G404" s="5">
        <v>23437.200000000001</v>
      </c>
      <c r="H404" s="5">
        <v>23851.65</v>
      </c>
      <c r="I404" s="5">
        <v>414.45</v>
      </c>
      <c r="J404" s="6">
        <v>1.7683426347857249E-2</v>
      </c>
      <c r="K404" s="91">
        <f t="array" ref="K404">MAX(IF((D404&lt;[1]Nifty_D!$B$2:$B$6600)*(E404&gt;=[1]Nifty_D!$B$2:$B$6600),[1]Nifty_D!$F$2:$F$6600,""))</f>
        <v>23851.65</v>
      </c>
      <c r="L404" s="92">
        <f t="shared" si="22"/>
        <v>1.7683426347857356E-2</v>
      </c>
      <c r="M404" s="91">
        <f t="shared" si="23"/>
        <v>12227.750000000002</v>
      </c>
      <c r="N404" s="93">
        <f t="array" ref="N404">INDEX([1]Nifty_D!$B$2:$B$6600,MATCH(E404,[1]Nifty_D!$B$2:$B$6600,0)-1)</f>
        <v>45763</v>
      </c>
      <c r="O404" s="89">
        <f>VLOOKUP(N404,[1]Nifty_D!$B$2:$F$6600,5,0)</f>
        <v>23437.200000000001</v>
      </c>
      <c r="P404" s="92">
        <f t="shared" si="24"/>
        <v>0</v>
      </c>
      <c r="Q404" s="7" t="s">
        <v>28</v>
      </c>
      <c r="R404" s="4">
        <v>23400</v>
      </c>
      <c r="S404" s="102"/>
      <c r="T404" s="102"/>
      <c r="U404" s="7" t="s">
        <v>90</v>
      </c>
      <c r="V404" s="4">
        <v>65</v>
      </c>
      <c r="W404" s="5">
        <v>219.1</v>
      </c>
      <c r="X404" s="5">
        <v>518.65</v>
      </c>
      <c r="Y404" s="8">
        <v>-1.3508</v>
      </c>
      <c r="Z404" s="8">
        <v>0.25919999999999999</v>
      </c>
      <c r="AA404" s="5">
        <v>-299.55</v>
      </c>
      <c r="AB404" s="6">
        <v>-1.278096359633403E-2</v>
      </c>
      <c r="AC404" s="4">
        <v>0</v>
      </c>
      <c r="AD404" s="6">
        <v>0</v>
      </c>
      <c r="AE404" s="5">
        <v>52345.55</v>
      </c>
      <c r="AF404" s="5">
        <v>52657.8</v>
      </c>
      <c r="AG404" s="5">
        <v>312.25</v>
      </c>
      <c r="AH404" s="5">
        <v>0.59650000000000003</v>
      </c>
      <c r="AI404" s="4">
        <v>1</v>
      </c>
      <c r="AJ404" s="5">
        <v>-1.6667000000000001E-2</v>
      </c>
      <c r="AK404" s="5">
        <v>303.52569999999997</v>
      </c>
      <c r="AL404" s="5">
        <v>0.57989999999999997</v>
      </c>
      <c r="AM404" s="8">
        <v>-0.55859999999999999</v>
      </c>
      <c r="AN404" s="8">
        <v>0.7298</v>
      </c>
      <c r="AO404" s="9">
        <v>-150.92429999999999</v>
      </c>
      <c r="AP404" s="9">
        <v>-1.3591</v>
      </c>
      <c r="AQ404" s="5">
        <v>99.394900000000007</v>
      </c>
      <c r="AR404" s="5">
        <v>101.5189</v>
      </c>
      <c r="AS404" s="5">
        <v>-2.1240000000000001</v>
      </c>
      <c r="AT404" s="5">
        <v>-2.0922000000000001</v>
      </c>
      <c r="AU404" s="8">
        <v>-1.3158000000000001</v>
      </c>
      <c r="AV404" s="8">
        <v>-8.0100000000000005E-2</v>
      </c>
      <c r="AW404" s="8">
        <v>-1.3591</v>
      </c>
      <c r="AX404" s="5">
        <v>99.394900000000007</v>
      </c>
      <c r="AY404" s="5">
        <v>-2.0922000000000001</v>
      </c>
      <c r="AZ404" s="7" t="s">
        <v>97</v>
      </c>
    </row>
    <row r="405" spans="1:52" ht="18" customHeight="1" x14ac:dyDescent="0.25">
      <c r="A405" s="10">
        <v>202</v>
      </c>
      <c r="B405" s="10">
        <v>2</v>
      </c>
      <c r="C405" s="10">
        <v>202</v>
      </c>
      <c r="D405" s="86">
        <v>45763</v>
      </c>
      <c r="E405" s="86">
        <v>45764</v>
      </c>
      <c r="F405" s="86">
        <v>45771</v>
      </c>
      <c r="G405" s="11">
        <v>23437.200000000001</v>
      </c>
      <c r="H405" s="11">
        <v>23851.65</v>
      </c>
      <c r="I405" s="12"/>
      <c r="J405" s="12"/>
      <c r="K405" s="91">
        <f t="array" ref="K405">MAX(IF((D405&lt;[1]Nifty_D!$B$2:$B$6600)*(E405&gt;=[1]Nifty_D!$B$2:$B$6600),[1]Nifty_D!$F$2:$F$6600,""))</f>
        <v>23851.65</v>
      </c>
      <c r="L405" s="92">
        <f t="shared" si="22"/>
        <v>1.7683426347857356E-2</v>
      </c>
      <c r="M405" s="91">
        <f t="shared" si="23"/>
        <v>12227.750000000002</v>
      </c>
      <c r="N405" s="93">
        <f t="array" ref="N405">INDEX([1]Nifty_D!$B$2:$B$6600,MATCH(E405,[1]Nifty_D!$B$2:$B$6600,0)-1)</f>
        <v>45763</v>
      </c>
      <c r="O405" s="89">
        <f>VLOOKUP(N405,[1]Nifty_D!$B$2:$F$6600,5,0)</f>
        <v>23437.200000000001</v>
      </c>
      <c r="P405" s="92">
        <f t="shared" si="24"/>
        <v>0</v>
      </c>
      <c r="Q405" s="12" t="s">
        <v>40</v>
      </c>
      <c r="R405" s="10">
        <v>23500</v>
      </c>
      <c r="S405" s="103">
        <f>MROUND(G405,500)</f>
        <v>23500</v>
      </c>
      <c r="T405" s="103">
        <f>S405-R405</f>
        <v>0</v>
      </c>
      <c r="U405" s="12" t="s">
        <v>92</v>
      </c>
      <c r="V405" s="10">
        <v>65</v>
      </c>
      <c r="W405" s="11">
        <v>239.3</v>
      </c>
      <c r="X405" s="11">
        <v>84.4</v>
      </c>
      <c r="Y405" s="13">
        <v>-0.69479999999999997</v>
      </c>
      <c r="Z405" s="13">
        <v>0.21929999999999999</v>
      </c>
      <c r="AA405" s="10">
        <v>0</v>
      </c>
      <c r="AB405" s="14">
        <v>0</v>
      </c>
      <c r="AC405" s="11">
        <v>-154.9</v>
      </c>
      <c r="AD405" s="14">
        <v>-6.609151263802843E-3</v>
      </c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 t="s">
        <v>97</v>
      </c>
    </row>
    <row r="406" spans="1:52" ht="18" hidden="1" customHeight="1" x14ac:dyDescent="0.25">
      <c r="A406" s="4">
        <v>203</v>
      </c>
      <c r="B406" s="4">
        <v>1</v>
      </c>
      <c r="C406" s="4">
        <v>203</v>
      </c>
      <c r="D406" s="85">
        <v>45764</v>
      </c>
      <c r="E406" s="85">
        <v>45768</v>
      </c>
      <c r="F406" s="85">
        <v>45771</v>
      </c>
      <c r="G406" s="5">
        <v>23851.65</v>
      </c>
      <c r="H406" s="5">
        <v>24125.55</v>
      </c>
      <c r="I406" s="5">
        <v>273.89999999999998</v>
      </c>
      <c r="J406" s="6">
        <v>1.148348227481118E-2</v>
      </c>
      <c r="K406" s="91">
        <f t="array" ref="K406">MAX(IF((D406&lt;[1]Nifty_D!$B$2:$B$6600)*(E406&gt;=[1]Nifty_D!$B$2:$B$6600),[1]Nifty_D!$F$2:$F$6600,""))</f>
        <v>24125.55</v>
      </c>
      <c r="L406" s="92">
        <f t="shared" si="22"/>
        <v>1.1483482274811108E-2</v>
      </c>
      <c r="M406" s="91">
        <f t="shared" si="23"/>
        <v>12501.65</v>
      </c>
      <c r="N406" s="93">
        <f t="array" ref="N406">INDEX([1]Nifty_D!$B$2:$B$6600,MATCH(E406,[1]Nifty_D!$B$2:$B$6600,0)-1)</f>
        <v>45764</v>
      </c>
      <c r="O406" s="89">
        <f>VLOOKUP(N406,[1]Nifty_D!$B$2:$F$6600,5,0)</f>
        <v>23851.65</v>
      </c>
      <c r="P406" s="92">
        <f t="shared" si="24"/>
        <v>0</v>
      </c>
      <c r="Q406" s="7" t="s">
        <v>28</v>
      </c>
      <c r="R406" s="4">
        <v>23900</v>
      </c>
      <c r="S406" s="102"/>
      <c r="T406" s="102"/>
      <c r="U406" s="7" t="s">
        <v>90</v>
      </c>
      <c r="V406" s="4">
        <v>65</v>
      </c>
      <c r="W406" s="5">
        <v>164.5</v>
      </c>
      <c r="X406" s="5">
        <v>284.89999999999998</v>
      </c>
      <c r="Y406" s="8">
        <v>-0.73119999999999996</v>
      </c>
      <c r="Z406" s="8">
        <v>-3.5999999999999999E-3</v>
      </c>
      <c r="AA406" s="5">
        <v>-120.4</v>
      </c>
      <c r="AB406" s="6">
        <v>-5.0478688057220356E-3</v>
      </c>
      <c r="AC406" s="4">
        <v>0</v>
      </c>
      <c r="AD406" s="6">
        <v>0</v>
      </c>
      <c r="AE406" s="5">
        <v>52657.8</v>
      </c>
      <c r="AF406" s="5">
        <v>53974.45</v>
      </c>
      <c r="AG406" s="5">
        <v>1316.65</v>
      </c>
      <c r="AH406" s="5">
        <v>2.5004</v>
      </c>
      <c r="AI406" s="4">
        <v>4</v>
      </c>
      <c r="AJ406" s="5">
        <v>-6.6667000000000004E-2</v>
      </c>
      <c r="AK406" s="5">
        <v>1281.5447999999999</v>
      </c>
      <c r="AL406" s="5">
        <v>2.4337</v>
      </c>
      <c r="AM406" s="8">
        <v>0.2792</v>
      </c>
      <c r="AN406" s="8">
        <v>2.528</v>
      </c>
      <c r="AO406" s="15">
        <v>962.09479999999996</v>
      </c>
      <c r="AP406" s="15">
        <v>1.0944</v>
      </c>
      <c r="AQ406" s="5">
        <v>100.48269999999999</v>
      </c>
      <c r="AR406" s="5">
        <v>101.5189</v>
      </c>
      <c r="AS406" s="5">
        <v>-1.0362</v>
      </c>
      <c r="AT406" s="5">
        <v>-1.0206999999999999</v>
      </c>
      <c r="AU406" s="8">
        <v>0.90229999999999999</v>
      </c>
      <c r="AV406" s="8">
        <v>0.22969999999999999</v>
      </c>
      <c r="AW406" s="8">
        <v>0.22969999999999999</v>
      </c>
      <c r="AX406" s="5">
        <v>99.623199999999997</v>
      </c>
      <c r="AY406" s="5">
        <v>-1.8673</v>
      </c>
      <c r="AZ406" s="7" t="s">
        <v>97</v>
      </c>
    </row>
    <row r="407" spans="1:52" ht="18" customHeight="1" x14ac:dyDescent="0.25">
      <c r="A407" s="10">
        <v>203</v>
      </c>
      <c r="B407" s="10">
        <v>2</v>
      </c>
      <c r="C407" s="10">
        <v>203</v>
      </c>
      <c r="D407" s="86">
        <v>45764</v>
      </c>
      <c r="E407" s="86">
        <v>45768</v>
      </c>
      <c r="F407" s="86">
        <v>45771</v>
      </c>
      <c r="G407" s="11">
        <v>23851.65</v>
      </c>
      <c r="H407" s="11">
        <v>24125.55</v>
      </c>
      <c r="I407" s="12"/>
      <c r="J407" s="12"/>
      <c r="K407" s="91">
        <f t="array" ref="K407">MAX(IF((D407&lt;[1]Nifty_D!$B$2:$B$6600)*(E407&gt;=[1]Nifty_D!$B$2:$B$6600),[1]Nifty_D!$F$2:$F$6600,""))</f>
        <v>24125.55</v>
      </c>
      <c r="L407" s="92">
        <f t="shared" si="22"/>
        <v>1.1483482274811108E-2</v>
      </c>
      <c r="M407" s="91">
        <f t="shared" si="23"/>
        <v>12501.65</v>
      </c>
      <c r="N407" s="93">
        <f t="array" ref="N407">INDEX([1]Nifty_D!$B$2:$B$6600,MATCH(E407,[1]Nifty_D!$B$2:$B$6600,0)-1)</f>
        <v>45764</v>
      </c>
      <c r="O407" s="89">
        <f>VLOOKUP(N407,[1]Nifty_D!$B$2:$F$6600,5,0)</f>
        <v>23851.65</v>
      </c>
      <c r="P407" s="92">
        <f t="shared" si="24"/>
        <v>0</v>
      </c>
      <c r="Q407" s="12" t="s">
        <v>40</v>
      </c>
      <c r="R407" s="10">
        <v>24000</v>
      </c>
      <c r="S407" s="103">
        <f>MROUND(G407,500)</f>
        <v>24000</v>
      </c>
      <c r="T407" s="103">
        <f>S407-R407</f>
        <v>0</v>
      </c>
      <c r="U407" s="12" t="s">
        <v>92</v>
      </c>
      <c r="V407" s="10">
        <v>65</v>
      </c>
      <c r="W407" s="11">
        <v>271.64999999999998</v>
      </c>
      <c r="X407" s="11">
        <v>72.599999999999994</v>
      </c>
      <c r="Y407" s="13">
        <v>-0.89449999999999996</v>
      </c>
      <c r="Z407" s="13">
        <v>-4.5900000000000003E-2</v>
      </c>
      <c r="AA407" s="10">
        <v>0</v>
      </c>
      <c r="AB407" s="14">
        <v>0</v>
      </c>
      <c r="AC407" s="11">
        <v>-199.05</v>
      </c>
      <c r="AD407" s="14">
        <v>-8.345334599493116E-3</v>
      </c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 t="s">
        <v>97</v>
      </c>
    </row>
    <row r="408" spans="1:52" ht="18" hidden="1" customHeight="1" x14ac:dyDescent="0.25">
      <c r="A408" s="4">
        <v>204</v>
      </c>
      <c r="B408" s="4">
        <v>1</v>
      </c>
      <c r="C408" s="4">
        <v>204</v>
      </c>
      <c r="D408" s="85">
        <v>45768</v>
      </c>
      <c r="E408" s="85">
        <v>45770</v>
      </c>
      <c r="F408" s="85">
        <v>45771</v>
      </c>
      <c r="G408" s="5">
        <v>24125.55</v>
      </c>
      <c r="H408" s="5">
        <v>24328.95</v>
      </c>
      <c r="I408" s="5">
        <v>203.4</v>
      </c>
      <c r="J408" s="6">
        <v>8.4308958759489426E-3</v>
      </c>
      <c r="K408" s="91">
        <f t="array" ref="K408">MAX(IF((D408&lt;[1]Nifty_D!$B$2:$B$6600)*(E408&gt;=[1]Nifty_D!$B$2:$B$6600),[1]Nifty_D!$F$2:$F$6600,""))</f>
        <v>24328.95</v>
      </c>
      <c r="L408" s="92">
        <f t="shared" si="22"/>
        <v>8.4308958759489183E-3</v>
      </c>
      <c r="M408" s="91">
        <f t="shared" si="23"/>
        <v>12705.050000000001</v>
      </c>
      <c r="N408" s="93">
        <f t="array" ref="N408">INDEX([1]Nifty_D!$B$2:$B$6600,MATCH(E408,[1]Nifty_D!$B$2:$B$6600,0)-1)</f>
        <v>45769</v>
      </c>
      <c r="O408" s="89">
        <f>VLOOKUP(N408,[1]Nifty_D!$B$2:$F$6600,5,0)</f>
        <v>24167.25</v>
      </c>
      <c r="P408" s="92">
        <f t="shared" si="24"/>
        <v>1.7284580040661801E-3</v>
      </c>
      <c r="Q408" s="7" t="s">
        <v>28</v>
      </c>
      <c r="R408" s="4">
        <v>24100</v>
      </c>
      <c r="S408" s="102"/>
      <c r="T408" s="102"/>
      <c r="U408" s="7" t="s">
        <v>90</v>
      </c>
      <c r="V408" s="4">
        <v>65</v>
      </c>
      <c r="W408" s="5">
        <v>143.65</v>
      </c>
      <c r="X408" s="5">
        <v>223.8</v>
      </c>
      <c r="Y408" s="8">
        <v>-0.51380000000000003</v>
      </c>
      <c r="Z408" s="8">
        <v>0.20169999999999999</v>
      </c>
      <c r="AA408" s="5">
        <v>-80.150000000000006</v>
      </c>
      <c r="AB408" s="6">
        <v>-3.3222040533790942E-3</v>
      </c>
      <c r="AC408" s="4">
        <v>0</v>
      </c>
      <c r="AD408" s="6">
        <v>0</v>
      </c>
      <c r="AE408" s="5">
        <v>53974.45</v>
      </c>
      <c r="AF408" s="5">
        <v>55041.1</v>
      </c>
      <c r="AG408" s="5">
        <v>1066.6500000000001</v>
      </c>
      <c r="AH408" s="5">
        <v>1.9762</v>
      </c>
      <c r="AI408" s="4">
        <v>2</v>
      </c>
      <c r="AJ408" s="5">
        <v>-3.3333000000000002E-2</v>
      </c>
      <c r="AK408" s="5">
        <v>1048.6585</v>
      </c>
      <c r="AL408" s="5">
        <v>1.9429000000000001</v>
      </c>
      <c r="AM408" s="8">
        <v>-0.2586</v>
      </c>
      <c r="AN408" s="8">
        <v>2.0072999999999999</v>
      </c>
      <c r="AO408" s="15">
        <v>907.45849999999996</v>
      </c>
      <c r="AP408" s="15">
        <v>1.3575999999999999</v>
      </c>
      <c r="AQ408" s="5">
        <v>101.84690000000001</v>
      </c>
      <c r="AR408" s="5">
        <v>101.84690000000001</v>
      </c>
      <c r="AS408" s="4">
        <v>0</v>
      </c>
      <c r="AT408" s="4">
        <v>0</v>
      </c>
      <c r="AU408" s="8">
        <v>1.2327999999999999</v>
      </c>
      <c r="AV408" s="8">
        <v>1.52E-2</v>
      </c>
      <c r="AW408" s="8">
        <v>1.52E-2</v>
      </c>
      <c r="AX408" s="5">
        <v>100.498</v>
      </c>
      <c r="AY408" s="5">
        <v>-1.0056</v>
      </c>
      <c r="AZ408" s="7" t="s">
        <v>91</v>
      </c>
    </row>
    <row r="409" spans="1:52" ht="18" customHeight="1" x14ac:dyDescent="0.25">
      <c r="A409" s="10">
        <v>204</v>
      </c>
      <c r="B409" s="10">
        <v>2</v>
      </c>
      <c r="C409" s="10">
        <v>204</v>
      </c>
      <c r="D409" s="86">
        <v>45768</v>
      </c>
      <c r="E409" s="86">
        <v>45770</v>
      </c>
      <c r="F409" s="86">
        <v>45771</v>
      </c>
      <c r="G409" s="11">
        <v>24125.55</v>
      </c>
      <c r="H409" s="11">
        <v>24328.95</v>
      </c>
      <c r="I409" s="12"/>
      <c r="J409" s="12"/>
      <c r="K409" s="91">
        <f t="array" ref="K409">MAX(IF((D409&lt;[1]Nifty_D!$B$2:$B$6600)*(E409&gt;=[1]Nifty_D!$B$2:$B$6600),[1]Nifty_D!$F$2:$F$6600,""))</f>
        <v>24328.95</v>
      </c>
      <c r="L409" s="92">
        <f t="shared" si="22"/>
        <v>8.4308958759489183E-3</v>
      </c>
      <c r="M409" s="91">
        <f t="shared" si="23"/>
        <v>12705.050000000001</v>
      </c>
      <c r="N409" s="93">
        <f t="array" ref="N409">INDEX([1]Nifty_D!$B$2:$B$6600,MATCH(E409,[1]Nifty_D!$B$2:$B$6600,0)-1)</f>
        <v>45769</v>
      </c>
      <c r="O409" s="89">
        <f>VLOOKUP(N409,[1]Nifty_D!$B$2:$F$6600,5,0)</f>
        <v>24167.25</v>
      </c>
      <c r="P409" s="92">
        <f t="shared" si="24"/>
        <v>1.7284580040661801E-3</v>
      </c>
      <c r="Q409" s="12" t="s">
        <v>40</v>
      </c>
      <c r="R409" s="10">
        <v>24000</v>
      </c>
      <c r="S409" s="103">
        <f>MROUND(G409,500)</f>
        <v>24000</v>
      </c>
      <c r="T409" s="103">
        <f>S409-R409</f>
        <v>0</v>
      </c>
      <c r="U409" s="12" t="s">
        <v>92</v>
      </c>
      <c r="V409" s="10">
        <v>65</v>
      </c>
      <c r="W409" s="11">
        <v>72.599999999999994</v>
      </c>
      <c r="X409" s="11">
        <v>11.55</v>
      </c>
      <c r="Y409" s="13">
        <v>-0.26069999999999999</v>
      </c>
      <c r="Z409" s="13">
        <v>7.2099999999999997E-2</v>
      </c>
      <c r="AA409" s="10">
        <v>0</v>
      </c>
      <c r="AB409" s="14">
        <v>0</v>
      </c>
      <c r="AC409" s="11">
        <v>-61.05</v>
      </c>
      <c r="AD409" s="14">
        <v>-2.5305122577516368E-3</v>
      </c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 t="s">
        <v>91</v>
      </c>
    </row>
    <row r="410" spans="1:52" ht="18" hidden="1" customHeight="1" x14ac:dyDescent="0.25">
      <c r="A410" s="4">
        <v>205</v>
      </c>
      <c r="B410" s="4">
        <v>1</v>
      </c>
      <c r="C410" s="4">
        <v>205</v>
      </c>
      <c r="D410" s="85">
        <v>45770</v>
      </c>
      <c r="E410" s="85">
        <v>45776</v>
      </c>
      <c r="F410" s="85">
        <v>45777</v>
      </c>
      <c r="G410" s="5">
        <v>24328.95</v>
      </c>
      <c r="H410" s="5">
        <v>24335.95</v>
      </c>
      <c r="I410" s="4">
        <v>7</v>
      </c>
      <c r="J410" s="6">
        <v>2.8772306244207011E-4</v>
      </c>
      <c r="K410" s="91">
        <f t="array" ref="K410">MAX(IF((D410&lt;[1]Nifty_D!$B$2:$B$6600)*(E410&gt;=[1]Nifty_D!$B$2:$B$6600),[1]Nifty_D!$F$2:$F$6600,""))</f>
        <v>24335.95</v>
      </c>
      <c r="L410" s="92">
        <f t="shared" si="22"/>
        <v>2.8772306244206902E-4</v>
      </c>
      <c r="M410" s="91">
        <f t="shared" si="23"/>
        <v>12712.050000000001</v>
      </c>
      <c r="N410" s="93">
        <f t="array" ref="N410">INDEX([1]Nifty_D!$B$2:$B$6600,MATCH(E410,[1]Nifty_D!$B$2:$B$6600,0)-1)</f>
        <v>45775</v>
      </c>
      <c r="O410" s="89">
        <f>VLOOKUP(N410,[1]Nifty_D!$B$2:$F$6600,5,0)</f>
        <v>24328.5</v>
      </c>
      <c r="P410" s="92">
        <f t="shared" si="24"/>
        <v>-1.849648258556158E-5</v>
      </c>
      <c r="Q410" s="7" t="s">
        <v>28</v>
      </c>
      <c r="R410" s="4">
        <v>24300</v>
      </c>
      <c r="S410" s="102"/>
      <c r="T410" s="102"/>
      <c r="U410" s="7" t="s">
        <v>90</v>
      </c>
      <c r="V410" s="4">
        <v>65</v>
      </c>
      <c r="W410" s="5">
        <v>225.5</v>
      </c>
      <c r="X410" s="5">
        <v>64.3</v>
      </c>
      <c r="Y410" s="8">
        <v>-9.64E-2</v>
      </c>
      <c r="Z410" s="8">
        <v>0.73550000000000004</v>
      </c>
      <c r="AA410" s="5">
        <v>161.19999999999999</v>
      </c>
      <c r="AB410" s="6">
        <v>6.6258510950945263E-3</v>
      </c>
      <c r="AC410" s="4">
        <v>0</v>
      </c>
      <c r="AD410" s="6">
        <v>0</v>
      </c>
      <c r="AE410" s="5">
        <v>55041.1</v>
      </c>
      <c r="AF410" s="5">
        <v>54587.95</v>
      </c>
      <c r="AG410" s="5">
        <v>-453.15</v>
      </c>
      <c r="AH410" s="5">
        <v>-0.82330000000000003</v>
      </c>
      <c r="AI410" s="4">
        <v>6</v>
      </c>
      <c r="AJ410" s="5">
        <v>-0.1</v>
      </c>
      <c r="AK410" s="5">
        <v>-508.19110000000001</v>
      </c>
      <c r="AL410" s="5">
        <v>-0.92330000000000001</v>
      </c>
      <c r="AM410" s="8">
        <v>-3.5293999999999999</v>
      </c>
      <c r="AN410" s="8">
        <v>0.31440000000000001</v>
      </c>
      <c r="AO410" s="9">
        <v>-353.74110000000002</v>
      </c>
      <c r="AP410" s="9">
        <v>-0.28849999999999998</v>
      </c>
      <c r="AQ410" s="5">
        <v>101.553</v>
      </c>
      <c r="AR410" s="5">
        <v>101.84690000000001</v>
      </c>
      <c r="AS410" s="5">
        <v>-0.29380000000000001</v>
      </c>
      <c r="AT410" s="5">
        <v>-0.28849999999999998</v>
      </c>
      <c r="AU410" s="8">
        <v>-0.1022</v>
      </c>
      <c r="AV410" s="8">
        <v>-1.6333</v>
      </c>
      <c r="AW410" s="8">
        <v>-1.6333</v>
      </c>
      <c r="AX410" s="5">
        <v>100.18340000000001</v>
      </c>
      <c r="AY410" s="5">
        <v>-1.6333</v>
      </c>
      <c r="AZ410" s="7" t="s">
        <v>91</v>
      </c>
    </row>
    <row r="411" spans="1:52" ht="18" customHeight="1" x14ac:dyDescent="0.25">
      <c r="A411" s="10">
        <v>205</v>
      </c>
      <c r="B411" s="10">
        <v>2</v>
      </c>
      <c r="C411" s="10">
        <v>205</v>
      </c>
      <c r="D411" s="86">
        <v>45770</v>
      </c>
      <c r="E411" s="86">
        <v>45776</v>
      </c>
      <c r="F411" s="86">
        <v>45806</v>
      </c>
      <c r="G411" s="11">
        <v>24328.95</v>
      </c>
      <c r="H411" s="11">
        <v>24335.95</v>
      </c>
      <c r="I411" s="12"/>
      <c r="J411" s="12"/>
      <c r="K411" s="91">
        <f t="array" ref="K411">MAX(IF((D411&lt;[1]Nifty_D!$B$2:$B$6600)*(E411&gt;=[1]Nifty_D!$B$2:$B$6600),[1]Nifty_D!$F$2:$F$6600,""))</f>
        <v>24335.95</v>
      </c>
      <c r="L411" s="92">
        <f t="shared" si="22"/>
        <v>2.8772306244206902E-4</v>
      </c>
      <c r="M411" s="91">
        <f t="shared" si="23"/>
        <v>12712.050000000001</v>
      </c>
      <c r="N411" s="93">
        <f t="array" ref="N411">INDEX([1]Nifty_D!$B$2:$B$6600,MATCH(E411,[1]Nifty_D!$B$2:$B$6600,0)-1)</f>
        <v>45775</v>
      </c>
      <c r="O411" s="89">
        <f>VLOOKUP(N411,[1]Nifty_D!$B$2:$F$6600,5,0)</f>
        <v>24328.5</v>
      </c>
      <c r="P411" s="92">
        <f t="shared" si="24"/>
        <v>-1.849648258556158E-5</v>
      </c>
      <c r="Q411" s="12" t="s">
        <v>40</v>
      </c>
      <c r="R411" s="10">
        <v>24500</v>
      </c>
      <c r="S411" s="103">
        <f>MROUND(G411,500)</f>
        <v>24500</v>
      </c>
      <c r="T411" s="103">
        <f>S411-R411</f>
        <v>0</v>
      </c>
      <c r="U411" s="12" t="s">
        <v>92</v>
      </c>
      <c r="V411" s="10">
        <v>65</v>
      </c>
      <c r="W411" s="11">
        <v>471.6</v>
      </c>
      <c r="X411" s="11">
        <v>464.85</v>
      </c>
      <c r="Y411" s="13">
        <v>-0.32019999999999998</v>
      </c>
      <c r="Z411" s="13">
        <v>1.1606000000000001</v>
      </c>
      <c r="AA411" s="10">
        <v>0</v>
      </c>
      <c r="AB411" s="14">
        <v>0</v>
      </c>
      <c r="AC411" s="11">
        <v>-6.75</v>
      </c>
      <c r="AD411" s="14">
        <v>-2.7744723878342468E-4</v>
      </c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 t="s">
        <v>91</v>
      </c>
    </row>
    <row r="412" spans="1:52" ht="18" hidden="1" customHeight="1" x14ac:dyDescent="0.25">
      <c r="A412" s="4">
        <v>206</v>
      </c>
      <c r="B412" s="4">
        <v>1</v>
      </c>
      <c r="C412" s="4">
        <v>206</v>
      </c>
      <c r="D412" s="85">
        <v>45776</v>
      </c>
      <c r="E412" s="85">
        <v>45784</v>
      </c>
      <c r="F412" s="85">
        <v>45785</v>
      </c>
      <c r="G412" s="5">
        <v>24335.95</v>
      </c>
      <c r="H412" s="5">
        <v>24414.400000000001</v>
      </c>
      <c r="I412" s="5">
        <v>78.45</v>
      </c>
      <c r="J412" s="6">
        <v>3.2236259525516781E-3</v>
      </c>
      <c r="K412" s="91">
        <f t="array" ref="K412">MAX(IF((D412&lt;[1]Nifty_D!$B$2:$B$6600)*(E412&gt;=[1]Nifty_D!$B$2:$B$6600),[1]Nifty_D!$F$2:$F$6600,""))</f>
        <v>24461.15</v>
      </c>
      <c r="L412" s="92">
        <f t="shared" si="22"/>
        <v>5.1446522531481964E-3</v>
      </c>
      <c r="M412" s="91">
        <f t="shared" si="23"/>
        <v>12837.250000000002</v>
      </c>
      <c r="N412" s="93">
        <f t="array" ref="N412">INDEX([1]Nifty_D!$B$2:$B$6600,MATCH(E412,[1]Nifty_D!$B$2:$B$6600,0)-1)</f>
        <v>45783</v>
      </c>
      <c r="O412" s="89">
        <f>VLOOKUP(N412,[1]Nifty_D!$B$2:$F$6600,5,0)</f>
        <v>24379.599999999999</v>
      </c>
      <c r="P412" s="92">
        <f t="shared" si="24"/>
        <v>1.7936427384177556E-3</v>
      </c>
      <c r="Q412" s="7" t="s">
        <v>28</v>
      </c>
      <c r="R412" s="4">
        <v>24300</v>
      </c>
      <c r="S412" s="102"/>
      <c r="T412" s="102"/>
      <c r="U412" s="7" t="s">
        <v>90</v>
      </c>
      <c r="V412" s="4">
        <v>65</v>
      </c>
      <c r="W412" s="5">
        <v>255.3</v>
      </c>
      <c r="X412" s="5">
        <v>106.8</v>
      </c>
      <c r="Y412" s="8">
        <v>-0.74229999999999996</v>
      </c>
      <c r="Z412" s="8">
        <v>0.82310000000000005</v>
      </c>
      <c r="AA412" s="5">
        <v>148.5</v>
      </c>
      <c r="AB412" s="6">
        <v>6.1020835430710529E-3</v>
      </c>
      <c r="AC412" s="4">
        <v>0</v>
      </c>
      <c r="AD412" s="6">
        <v>0</v>
      </c>
      <c r="AE412" s="5">
        <v>54587.95</v>
      </c>
      <c r="AF412" s="5">
        <v>54287.75</v>
      </c>
      <c r="AG412" s="5">
        <v>-300.2</v>
      </c>
      <c r="AH412" s="5">
        <v>-0.54990000000000006</v>
      </c>
      <c r="AI412" s="4">
        <v>8</v>
      </c>
      <c r="AJ412" s="5">
        <v>-0.13333300000000001</v>
      </c>
      <c r="AK412" s="5">
        <v>-372.98390000000001</v>
      </c>
      <c r="AL412" s="5">
        <v>-0.68330000000000002</v>
      </c>
      <c r="AM412" s="8">
        <v>-3.5007000000000001</v>
      </c>
      <c r="AN412" s="8">
        <v>0.44540000000000002</v>
      </c>
      <c r="AO412" s="9">
        <v>-290.18389999999999</v>
      </c>
      <c r="AP412" s="9">
        <v>-0.34310000000000002</v>
      </c>
      <c r="AQ412" s="5">
        <v>101.2046</v>
      </c>
      <c r="AR412" s="5">
        <v>101.84690000000001</v>
      </c>
      <c r="AS412" s="5">
        <v>-0.64229999999999998</v>
      </c>
      <c r="AT412" s="5">
        <v>-0.63060000000000005</v>
      </c>
      <c r="AU412" s="8">
        <v>-0.85060000000000002</v>
      </c>
      <c r="AV412" s="8">
        <v>-2.4214000000000002</v>
      </c>
      <c r="AW412" s="8">
        <v>-2.4214000000000002</v>
      </c>
      <c r="AX412" s="5">
        <v>99.093999999999994</v>
      </c>
      <c r="AY412" s="5">
        <v>-2.7029000000000001</v>
      </c>
      <c r="AZ412" s="7" t="s">
        <v>91</v>
      </c>
    </row>
    <row r="413" spans="1:52" ht="18" customHeight="1" x14ac:dyDescent="0.25">
      <c r="A413" s="10">
        <v>206</v>
      </c>
      <c r="B413" s="10">
        <v>2</v>
      </c>
      <c r="C413" s="10">
        <v>206</v>
      </c>
      <c r="D413" s="86">
        <v>45776</v>
      </c>
      <c r="E413" s="86">
        <v>45784</v>
      </c>
      <c r="F413" s="86">
        <v>45806</v>
      </c>
      <c r="G413" s="11">
        <v>24335.95</v>
      </c>
      <c r="H413" s="11">
        <v>24414.400000000001</v>
      </c>
      <c r="I413" s="12"/>
      <c r="J413" s="12"/>
      <c r="K413" s="91">
        <f t="array" ref="K413">MAX(IF((D413&lt;[1]Nifty_D!$B$2:$B$6600)*(E413&gt;=[1]Nifty_D!$B$2:$B$6600),[1]Nifty_D!$F$2:$F$6600,""))</f>
        <v>24461.15</v>
      </c>
      <c r="L413" s="92">
        <f t="shared" si="22"/>
        <v>5.1446522531481964E-3</v>
      </c>
      <c r="M413" s="91">
        <f t="shared" si="23"/>
        <v>12837.250000000002</v>
      </c>
      <c r="N413" s="93">
        <f t="array" ref="N413">INDEX([1]Nifty_D!$B$2:$B$6600,MATCH(E413,[1]Nifty_D!$B$2:$B$6600,0)-1)</f>
        <v>45783</v>
      </c>
      <c r="O413" s="89">
        <f>VLOOKUP(N413,[1]Nifty_D!$B$2:$F$6600,5,0)</f>
        <v>24379.599999999999</v>
      </c>
      <c r="P413" s="92">
        <f t="shared" si="24"/>
        <v>1.7936427384177556E-3</v>
      </c>
      <c r="Q413" s="12" t="s">
        <v>40</v>
      </c>
      <c r="R413" s="10">
        <v>24500</v>
      </c>
      <c r="S413" s="103">
        <f>MROUND(G413,500)</f>
        <v>24500</v>
      </c>
      <c r="T413" s="103">
        <f>S413-R413</f>
        <v>0</v>
      </c>
      <c r="U413" s="12" t="s">
        <v>92</v>
      </c>
      <c r="V413" s="10">
        <v>65</v>
      </c>
      <c r="W413" s="11">
        <v>464.85</v>
      </c>
      <c r="X413" s="11">
        <v>399.15</v>
      </c>
      <c r="Y413" s="13">
        <v>-0.55369999999999997</v>
      </c>
      <c r="Z413" s="13">
        <v>0.25619999999999998</v>
      </c>
      <c r="AA413" s="10">
        <v>0</v>
      </c>
      <c r="AB413" s="14">
        <v>0</v>
      </c>
      <c r="AC413" s="11">
        <v>-65.7</v>
      </c>
      <c r="AD413" s="14">
        <v>-2.699709688752648E-3</v>
      </c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 t="s">
        <v>91</v>
      </c>
    </row>
    <row r="414" spans="1:52" ht="18" hidden="1" customHeight="1" x14ac:dyDescent="0.25">
      <c r="A414" s="4">
        <v>207</v>
      </c>
      <c r="B414" s="4">
        <v>1</v>
      </c>
      <c r="C414" s="4">
        <v>207</v>
      </c>
      <c r="D414" s="85">
        <v>45784</v>
      </c>
      <c r="E414" s="85">
        <v>45789</v>
      </c>
      <c r="F414" s="85">
        <v>45792</v>
      </c>
      <c r="G414" s="5">
        <v>24414.400000000001</v>
      </c>
      <c r="H414" s="5">
        <v>24924.7</v>
      </c>
      <c r="I414" s="5">
        <v>510.3</v>
      </c>
      <c r="J414" s="6">
        <v>2.0901599056294649E-2</v>
      </c>
      <c r="K414" s="91">
        <f t="array" ref="K414">MAX(IF((D414&lt;[1]Nifty_D!$B$2:$B$6600)*(E414&gt;=[1]Nifty_D!$B$2:$B$6600),[1]Nifty_D!$F$2:$F$6600,""))</f>
        <v>24924.7</v>
      </c>
      <c r="L414" s="92">
        <f t="shared" si="22"/>
        <v>2.0901599056294629E-2</v>
      </c>
      <c r="M414" s="91">
        <f t="shared" si="23"/>
        <v>13300.800000000001</v>
      </c>
      <c r="N414" s="93">
        <f t="array" ref="N414">INDEX([1]Nifty_D!$B$2:$B$6600,MATCH(E414,[1]Nifty_D!$B$2:$B$6600,0)-1)</f>
        <v>45786</v>
      </c>
      <c r="O414" s="89">
        <f>VLOOKUP(N414,[1]Nifty_D!$B$2:$F$6600,5,0)</f>
        <v>24008</v>
      </c>
      <c r="P414" s="92">
        <f t="shared" si="24"/>
        <v>-1.6645913886886521E-2</v>
      </c>
      <c r="Q414" s="7" t="s">
        <v>28</v>
      </c>
      <c r="R414" s="4">
        <v>24400</v>
      </c>
      <c r="S414" s="102"/>
      <c r="T414" s="102"/>
      <c r="U414" s="7" t="s">
        <v>90</v>
      </c>
      <c r="V414" s="4">
        <v>65</v>
      </c>
      <c r="W414" s="5">
        <v>224.3</v>
      </c>
      <c r="X414" s="4">
        <v>610</v>
      </c>
      <c r="Y414" s="8">
        <v>-1.6903999999999999</v>
      </c>
      <c r="Z414" s="8">
        <v>0.68459999999999999</v>
      </c>
      <c r="AA414" s="5">
        <v>-385.7</v>
      </c>
      <c r="AB414" s="6">
        <v>-1.5798053607706929E-2</v>
      </c>
      <c r="AC414" s="4">
        <v>0</v>
      </c>
      <c r="AD414" s="6">
        <v>0</v>
      </c>
      <c r="AE414" s="5">
        <v>54287.75</v>
      </c>
      <c r="AF414" s="5">
        <v>55416.05</v>
      </c>
      <c r="AG414" s="5">
        <v>1128.3</v>
      </c>
      <c r="AH414" s="5">
        <v>2.0783999999999998</v>
      </c>
      <c r="AI414" s="4">
        <v>5</v>
      </c>
      <c r="AJ414" s="5">
        <v>-8.3333000000000004E-2</v>
      </c>
      <c r="AK414" s="5">
        <v>1083.0601999999999</v>
      </c>
      <c r="AL414" s="5">
        <v>1.9950000000000001</v>
      </c>
      <c r="AM414" s="8">
        <v>-4.0731000000000002</v>
      </c>
      <c r="AN414" s="8">
        <v>2.0413000000000001</v>
      </c>
      <c r="AO414" s="15">
        <v>462.81020000000001</v>
      </c>
      <c r="AP414" s="15">
        <v>-0.54549999999999998</v>
      </c>
      <c r="AQ414" s="5">
        <v>100.6525</v>
      </c>
      <c r="AR414" s="5">
        <v>101.84690000000001</v>
      </c>
      <c r="AS414" s="5">
        <v>-1.1942999999999999</v>
      </c>
      <c r="AT414" s="5">
        <v>-1.1727000000000001</v>
      </c>
      <c r="AU414" s="8">
        <v>-0.65380000000000005</v>
      </c>
      <c r="AV414" s="8">
        <v>-2.1442000000000001</v>
      </c>
      <c r="AW414" s="8">
        <v>-2.1442000000000001</v>
      </c>
      <c r="AX414" s="5">
        <v>99.034599999999998</v>
      </c>
      <c r="AY414" s="5">
        <v>-2.7612999999999999</v>
      </c>
      <c r="AZ414" s="7" t="s">
        <v>97</v>
      </c>
    </row>
    <row r="415" spans="1:52" ht="18" customHeight="1" x14ac:dyDescent="0.25">
      <c r="A415" s="10">
        <v>207</v>
      </c>
      <c r="B415" s="10">
        <v>2</v>
      </c>
      <c r="C415" s="10">
        <v>207</v>
      </c>
      <c r="D415" s="86">
        <v>45784</v>
      </c>
      <c r="E415" s="86">
        <v>45789</v>
      </c>
      <c r="F415" s="86">
        <v>45806</v>
      </c>
      <c r="G415" s="11">
        <v>24414.400000000001</v>
      </c>
      <c r="H415" s="11">
        <v>24924.7</v>
      </c>
      <c r="I415" s="12"/>
      <c r="J415" s="12"/>
      <c r="K415" s="91">
        <f t="array" ref="K415">MAX(IF((D415&lt;[1]Nifty_D!$B$2:$B$6600)*(E415&gt;=[1]Nifty_D!$B$2:$B$6600),[1]Nifty_D!$F$2:$F$6600,""))</f>
        <v>24924.7</v>
      </c>
      <c r="L415" s="92">
        <f t="shared" si="22"/>
        <v>2.0901599056294629E-2</v>
      </c>
      <c r="M415" s="91">
        <f t="shared" si="23"/>
        <v>13300.800000000001</v>
      </c>
      <c r="N415" s="93">
        <f t="array" ref="N415">INDEX([1]Nifty_D!$B$2:$B$6600,MATCH(E415,[1]Nifty_D!$B$2:$B$6600,0)-1)</f>
        <v>45786</v>
      </c>
      <c r="O415" s="89">
        <f>VLOOKUP(N415,[1]Nifty_D!$B$2:$F$6600,5,0)</f>
        <v>24008</v>
      </c>
      <c r="P415" s="92">
        <f t="shared" si="24"/>
        <v>-1.6645913886886521E-2</v>
      </c>
      <c r="Q415" s="12" t="s">
        <v>40</v>
      </c>
      <c r="R415" s="10">
        <v>24500</v>
      </c>
      <c r="S415" s="103">
        <f>MROUND(G415,500)</f>
        <v>24500</v>
      </c>
      <c r="T415" s="103">
        <f>S415-R415</f>
        <v>0</v>
      </c>
      <c r="U415" s="12" t="s">
        <v>92</v>
      </c>
      <c r="V415" s="10">
        <v>65</v>
      </c>
      <c r="W415" s="11">
        <v>399.15</v>
      </c>
      <c r="X415" s="11">
        <v>164.6</v>
      </c>
      <c r="Y415" s="13">
        <v>-1.0046999999999999</v>
      </c>
      <c r="Z415" s="13">
        <v>1.2443</v>
      </c>
      <c r="AA415" s="10">
        <v>0</v>
      </c>
      <c r="AB415" s="14">
        <v>0</v>
      </c>
      <c r="AC415" s="11">
        <v>-234.55</v>
      </c>
      <c r="AD415" s="14">
        <v>-9.6070351923455005E-3</v>
      </c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 t="s">
        <v>97</v>
      </c>
    </row>
    <row r="416" spans="1:52" ht="18" hidden="1" customHeight="1" x14ac:dyDescent="0.25">
      <c r="A416" s="4">
        <v>208</v>
      </c>
      <c r="B416" s="4">
        <v>1</v>
      </c>
      <c r="C416" s="4">
        <v>208</v>
      </c>
      <c r="D416" s="85">
        <v>45789</v>
      </c>
      <c r="E416" s="85">
        <v>45791</v>
      </c>
      <c r="F416" s="85">
        <v>45792</v>
      </c>
      <c r="G416" s="5">
        <v>24924.7</v>
      </c>
      <c r="H416" s="5">
        <v>24666.9</v>
      </c>
      <c r="I416" s="5">
        <v>-257.8</v>
      </c>
      <c r="J416" s="6">
        <v>-1.0343153578578681E-2</v>
      </c>
      <c r="K416" s="91">
        <f t="array" ref="K416">MAX(IF((D416&lt;[1]Nifty_D!$B$2:$B$6600)*(E416&gt;=[1]Nifty_D!$B$2:$B$6600),[1]Nifty_D!$F$2:$F$6600,""))</f>
        <v>24666.9</v>
      </c>
      <c r="L416" s="92">
        <f t="shared" si="22"/>
        <v>-1.0343153578578623E-2</v>
      </c>
      <c r="M416" s="91">
        <f t="shared" si="23"/>
        <v>13043.000000000002</v>
      </c>
      <c r="N416" s="93">
        <f t="array" ref="N416">INDEX([1]Nifty_D!$B$2:$B$6600,MATCH(E416,[1]Nifty_D!$B$2:$B$6600,0)-1)</f>
        <v>45790</v>
      </c>
      <c r="O416" s="89">
        <f>VLOOKUP(N416,[1]Nifty_D!$B$2:$F$6600,5,0)</f>
        <v>24578.35</v>
      </c>
      <c r="P416" s="92">
        <f t="shared" si="24"/>
        <v>-1.3895854313191403E-2</v>
      </c>
      <c r="Q416" s="7" t="s">
        <v>28</v>
      </c>
      <c r="R416" s="4">
        <v>24900</v>
      </c>
      <c r="S416" s="102"/>
      <c r="T416" s="102"/>
      <c r="U416" s="7" t="s">
        <v>90</v>
      </c>
      <c r="V416" s="4">
        <v>65</v>
      </c>
      <c r="W416" s="5">
        <v>227.05</v>
      </c>
      <c r="X416" s="5">
        <v>21.3</v>
      </c>
      <c r="Y416" s="8">
        <v>1.2999999999999999E-2</v>
      </c>
      <c r="Z416" s="8">
        <v>0.85880000000000001</v>
      </c>
      <c r="AA416" s="5">
        <v>205.75</v>
      </c>
      <c r="AB416" s="6">
        <v>8.2548636493117271E-3</v>
      </c>
      <c r="AC416" s="4">
        <v>0</v>
      </c>
      <c r="AD416" s="6">
        <v>0</v>
      </c>
      <c r="AE416" s="5">
        <v>55416.05</v>
      </c>
      <c r="AF416" s="5">
        <v>56136.4</v>
      </c>
      <c r="AG416" s="5">
        <v>720.35</v>
      </c>
      <c r="AH416" s="5">
        <v>1.2999000000000001</v>
      </c>
      <c r="AI416" s="4">
        <v>2</v>
      </c>
      <c r="AJ416" s="5">
        <v>-3.3333000000000002E-2</v>
      </c>
      <c r="AK416" s="5">
        <v>701.87800000000004</v>
      </c>
      <c r="AL416" s="5">
        <v>1.2665999999999999</v>
      </c>
      <c r="AM416" s="8">
        <v>-0.2888</v>
      </c>
      <c r="AN416" s="8">
        <v>1.3756999999999999</v>
      </c>
      <c r="AO416" s="15">
        <v>1041.7280000000001</v>
      </c>
      <c r="AP416" s="15">
        <v>2.6301000000000001</v>
      </c>
      <c r="AQ416" s="5">
        <v>103.2998</v>
      </c>
      <c r="AR416" s="5">
        <v>103.2998</v>
      </c>
      <c r="AS416" s="4">
        <v>0</v>
      </c>
      <c r="AT416" s="4">
        <v>0</v>
      </c>
      <c r="AU416" s="8">
        <v>1.3741000000000001</v>
      </c>
      <c r="AV416" s="8">
        <v>1.5087999999999999</v>
      </c>
      <c r="AW416" s="8">
        <v>1.3741000000000001</v>
      </c>
      <c r="AX416" s="5">
        <v>102.0356</v>
      </c>
      <c r="AY416" s="5">
        <v>0.18529999999999999</v>
      </c>
      <c r="AZ416" s="7" t="s">
        <v>91</v>
      </c>
    </row>
    <row r="417" spans="1:52" ht="18" customHeight="1" x14ac:dyDescent="0.25">
      <c r="A417" s="10">
        <v>208</v>
      </c>
      <c r="B417" s="10">
        <v>2</v>
      </c>
      <c r="C417" s="10">
        <v>208</v>
      </c>
      <c r="D417" s="86">
        <v>45789</v>
      </c>
      <c r="E417" s="86">
        <v>45791</v>
      </c>
      <c r="F417" s="86">
        <v>45806</v>
      </c>
      <c r="G417" s="11">
        <v>24924.7</v>
      </c>
      <c r="H417" s="11">
        <v>24666.9</v>
      </c>
      <c r="I417" s="12"/>
      <c r="J417" s="12"/>
      <c r="K417" s="91">
        <f t="array" ref="K417">MAX(IF((D417&lt;[1]Nifty_D!$B$2:$B$6600)*(E417&gt;=[1]Nifty_D!$B$2:$B$6600),[1]Nifty_D!$F$2:$F$6600,""))</f>
        <v>24666.9</v>
      </c>
      <c r="L417" s="92">
        <f t="shared" si="22"/>
        <v>-1.0343153578578623E-2</v>
      </c>
      <c r="M417" s="91">
        <f t="shared" si="23"/>
        <v>13043.000000000002</v>
      </c>
      <c r="N417" s="93">
        <f t="array" ref="N417">INDEX([1]Nifty_D!$B$2:$B$6600,MATCH(E417,[1]Nifty_D!$B$2:$B$6600,0)-1)</f>
        <v>45790</v>
      </c>
      <c r="O417" s="89">
        <f>VLOOKUP(N417,[1]Nifty_D!$B$2:$F$6600,5,0)</f>
        <v>24578.35</v>
      </c>
      <c r="P417" s="92">
        <f t="shared" si="24"/>
        <v>-1.3895854313191403E-2</v>
      </c>
      <c r="Q417" s="12" t="s">
        <v>40</v>
      </c>
      <c r="R417" s="10">
        <v>25000</v>
      </c>
      <c r="S417" s="103">
        <f>MROUND(G417,500)</f>
        <v>25000</v>
      </c>
      <c r="T417" s="103">
        <f>S417-R417</f>
        <v>0</v>
      </c>
      <c r="U417" s="12" t="s">
        <v>92</v>
      </c>
      <c r="V417" s="10">
        <v>65</v>
      </c>
      <c r="W417" s="11">
        <v>316.45</v>
      </c>
      <c r="X417" s="11">
        <v>450.55</v>
      </c>
      <c r="Y417" s="13">
        <v>-1.46E-2</v>
      </c>
      <c r="Z417" s="13">
        <v>0.93879999999999997</v>
      </c>
      <c r="AA417" s="10">
        <v>0</v>
      </c>
      <c r="AB417" s="14">
        <v>0</v>
      </c>
      <c r="AC417" s="11">
        <v>134.1</v>
      </c>
      <c r="AD417" s="14">
        <v>5.3802051779961238E-3</v>
      </c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 t="s">
        <v>91</v>
      </c>
    </row>
    <row r="418" spans="1:52" ht="18" hidden="1" customHeight="1" x14ac:dyDescent="0.25">
      <c r="A418" s="4">
        <v>209</v>
      </c>
      <c r="B418" s="4">
        <v>1</v>
      </c>
      <c r="C418" s="4">
        <v>209</v>
      </c>
      <c r="D418" s="85">
        <v>45791</v>
      </c>
      <c r="E418" s="85">
        <v>45792</v>
      </c>
      <c r="F418" s="85">
        <v>45799</v>
      </c>
      <c r="G418" s="5">
        <v>24666.9</v>
      </c>
      <c r="H418" s="5">
        <v>25062.1</v>
      </c>
      <c r="I418" s="5">
        <v>395.2</v>
      </c>
      <c r="J418" s="6">
        <v>1.6021470067175039E-2</v>
      </c>
      <c r="K418" s="91">
        <f t="array" ref="K418">MAX(IF((D418&lt;[1]Nifty_D!$B$2:$B$6600)*(E418&gt;=[1]Nifty_D!$B$2:$B$6600),[1]Nifty_D!$F$2:$F$6600,""))</f>
        <v>25062.1</v>
      </c>
      <c r="L418" s="92">
        <f t="shared" si="22"/>
        <v>1.6021470067175025E-2</v>
      </c>
      <c r="M418" s="91">
        <f t="shared" si="23"/>
        <v>13438.199999999999</v>
      </c>
      <c r="N418" s="93">
        <f t="array" ref="N418">INDEX([1]Nifty_D!$B$2:$B$6600,MATCH(E418,[1]Nifty_D!$B$2:$B$6600,0)-1)</f>
        <v>45791</v>
      </c>
      <c r="O418" s="89">
        <f>VLOOKUP(N418,[1]Nifty_D!$B$2:$F$6600,5,0)</f>
        <v>24666.9</v>
      </c>
      <c r="P418" s="92">
        <f t="shared" si="24"/>
        <v>0</v>
      </c>
      <c r="Q418" s="7" t="s">
        <v>28</v>
      </c>
      <c r="R418" s="4">
        <v>24700</v>
      </c>
      <c r="S418" s="102"/>
      <c r="T418" s="102"/>
      <c r="U418" s="7" t="s">
        <v>90</v>
      </c>
      <c r="V418" s="4">
        <v>65</v>
      </c>
      <c r="W418" s="5">
        <v>207.7</v>
      </c>
      <c r="X418" s="4">
        <v>431</v>
      </c>
      <c r="Y418" s="8">
        <v>-1.1777</v>
      </c>
      <c r="Z418" s="8">
        <v>0.24060000000000001</v>
      </c>
      <c r="AA418" s="5">
        <v>-223.3</v>
      </c>
      <c r="AB418" s="6">
        <v>-9.052617069838528E-3</v>
      </c>
      <c r="AC418" s="4">
        <v>0</v>
      </c>
      <c r="AD418" s="6">
        <v>0</v>
      </c>
      <c r="AE418" s="5">
        <v>56136.4</v>
      </c>
      <c r="AF418" s="5">
        <v>56530.85</v>
      </c>
      <c r="AG418" s="5">
        <v>394.45</v>
      </c>
      <c r="AH418" s="5">
        <v>0.70269999999999999</v>
      </c>
      <c r="AI418" s="4">
        <v>1</v>
      </c>
      <c r="AJ418" s="5">
        <v>-1.6667000000000001E-2</v>
      </c>
      <c r="AK418" s="5">
        <v>385.09390000000002</v>
      </c>
      <c r="AL418" s="5">
        <v>0.68600000000000005</v>
      </c>
      <c r="AM418" s="8">
        <v>-0.16400000000000001</v>
      </c>
      <c r="AN418" s="8">
        <v>0.77129999999999999</v>
      </c>
      <c r="AO418" s="9">
        <v>-40.406100000000002</v>
      </c>
      <c r="AP418" s="9">
        <v>-1.0389999999999999</v>
      </c>
      <c r="AQ418" s="5">
        <v>102.2265</v>
      </c>
      <c r="AR418" s="5">
        <v>103.2998</v>
      </c>
      <c r="AS418" s="5">
        <v>-1.0732999999999999</v>
      </c>
      <c r="AT418" s="5">
        <v>-1.0389999999999999</v>
      </c>
      <c r="AU418" s="8">
        <v>-1.2922</v>
      </c>
      <c r="AV418" s="8">
        <v>0.41839999999999999</v>
      </c>
      <c r="AW418" s="8">
        <v>-1.2922</v>
      </c>
      <c r="AX418" s="5">
        <v>101.965</v>
      </c>
      <c r="AY418" s="5">
        <v>-1.2922</v>
      </c>
      <c r="AZ418" s="7" t="s">
        <v>95</v>
      </c>
    </row>
    <row r="419" spans="1:52" ht="18" customHeight="1" x14ac:dyDescent="0.25">
      <c r="A419" s="10">
        <v>209</v>
      </c>
      <c r="B419" s="10">
        <v>2</v>
      </c>
      <c r="C419" s="10">
        <v>209</v>
      </c>
      <c r="D419" s="86">
        <v>45791</v>
      </c>
      <c r="E419" s="86">
        <v>45792</v>
      </c>
      <c r="F419" s="86">
        <v>45806</v>
      </c>
      <c r="G419" s="11">
        <v>24666.9</v>
      </c>
      <c r="H419" s="11">
        <v>25062.1</v>
      </c>
      <c r="I419" s="12"/>
      <c r="J419" s="12"/>
      <c r="K419" s="91">
        <f t="array" ref="K419">MAX(IF((D419&lt;[1]Nifty_D!$B$2:$B$6600)*(E419&gt;=[1]Nifty_D!$B$2:$B$6600),[1]Nifty_D!$F$2:$F$6600,""))</f>
        <v>25062.1</v>
      </c>
      <c r="L419" s="92">
        <f t="shared" si="22"/>
        <v>1.6021470067175025E-2</v>
      </c>
      <c r="M419" s="91">
        <f t="shared" si="23"/>
        <v>13438.199999999999</v>
      </c>
      <c r="N419" s="93">
        <f t="array" ref="N419">INDEX([1]Nifty_D!$B$2:$B$6600,MATCH(E419,[1]Nifty_D!$B$2:$B$6600,0)-1)</f>
        <v>45791</v>
      </c>
      <c r="O419" s="89">
        <f>VLOOKUP(N419,[1]Nifty_D!$B$2:$F$6600,5,0)</f>
        <v>24666.9</v>
      </c>
      <c r="P419" s="92">
        <f t="shared" si="24"/>
        <v>0</v>
      </c>
      <c r="Q419" s="12" t="s">
        <v>40</v>
      </c>
      <c r="R419" s="10">
        <v>25000</v>
      </c>
      <c r="S419" s="103">
        <f>MROUND(G419,500)</f>
        <v>24500</v>
      </c>
      <c r="T419" s="103">
        <f>S419-R419</f>
        <v>-500</v>
      </c>
      <c r="U419" s="12" t="s">
        <v>92</v>
      </c>
      <c r="V419" s="10">
        <v>65</v>
      </c>
      <c r="W419" s="11">
        <v>450.55</v>
      </c>
      <c r="X419" s="11">
        <v>248.35</v>
      </c>
      <c r="Y419" s="13">
        <v>-0.88580000000000003</v>
      </c>
      <c r="Z419" s="13">
        <v>0.34179999999999999</v>
      </c>
      <c r="AA419" s="10">
        <v>0</v>
      </c>
      <c r="AB419" s="14">
        <v>0</v>
      </c>
      <c r="AC419" s="11">
        <v>-202.2</v>
      </c>
      <c r="AD419" s="14">
        <v>-8.1972197560293333E-3</v>
      </c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 t="s">
        <v>95</v>
      </c>
    </row>
    <row r="420" spans="1:52" ht="18" hidden="1" customHeight="1" x14ac:dyDescent="0.25">
      <c r="A420" s="4">
        <v>210</v>
      </c>
      <c r="B420" s="4">
        <v>1</v>
      </c>
      <c r="C420" s="4">
        <v>210</v>
      </c>
      <c r="D420" s="85">
        <v>45792</v>
      </c>
      <c r="E420" s="85">
        <v>45798</v>
      </c>
      <c r="F420" s="85">
        <v>45799</v>
      </c>
      <c r="G420" s="5">
        <v>25062.1</v>
      </c>
      <c r="H420" s="5">
        <v>24813.45</v>
      </c>
      <c r="I420" s="5">
        <v>-248.65</v>
      </c>
      <c r="J420" s="6">
        <v>-9.9213553533023975E-3</v>
      </c>
      <c r="K420" s="91">
        <f t="array" ref="K420">MAX(IF((D420&lt;[1]Nifty_D!$B$2:$B$6600)*(E420&gt;=[1]Nifty_D!$B$2:$B$6600),[1]Nifty_D!$F$2:$F$6600,""))</f>
        <v>25019.8</v>
      </c>
      <c r="L420" s="92">
        <f t="shared" si="22"/>
        <v>-1.6878074862042292E-3</v>
      </c>
      <c r="M420" s="91">
        <f t="shared" si="23"/>
        <v>13395.9</v>
      </c>
      <c r="N420" s="93">
        <f t="array" ref="N420">INDEX([1]Nifty_D!$B$2:$B$6600,MATCH(E420,[1]Nifty_D!$B$2:$B$6600,0)-1)</f>
        <v>45797</v>
      </c>
      <c r="O420" s="89">
        <f>VLOOKUP(N420,[1]Nifty_D!$B$2:$F$6600,5,0)</f>
        <v>24683.9</v>
      </c>
      <c r="P420" s="92">
        <f t="shared" si="24"/>
        <v>-1.5090515160341544E-2</v>
      </c>
      <c r="Q420" s="7" t="s">
        <v>28</v>
      </c>
      <c r="R420" s="4">
        <v>25100</v>
      </c>
      <c r="S420" s="102"/>
      <c r="T420" s="102"/>
      <c r="U420" s="7" t="s">
        <v>90</v>
      </c>
      <c r="V420" s="4">
        <v>65</v>
      </c>
      <c r="W420" s="5">
        <v>168.4</v>
      </c>
      <c r="X420" s="5">
        <v>26.1</v>
      </c>
      <c r="Y420" s="8">
        <v>-9.3399999999999997E-2</v>
      </c>
      <c r="Z420" s="8">
        <v>0.59670000000000001</v>
      </c>
      <c r="AA420" s="5">
        <v>142.30000000000001</v>
      </c>
      <c r="AB420" s="6">
        <v>5.6778961060725171E-3</v>
      </c>
      <c r="AC420" s="4">
        <v>0</v>
      </c>
      <c r="AD420" s="6">
        <v>0</v>
      </c>
      <c r="AE420" s="5">
        <v>56530.85</v>
      </c>
      <c r="AF420" s="5">
        <v>56619.6</v>
      </c>
      <c r="AG420" s="5">
        <v>88.75</v>
      </c>
      <c r="AH420" s="5">
        <v>0.157</v>
      </c>
      <c r="AI420" s="4">
        <v>6</v>
      </c>
      <c r="AJ420" s="5">
        <v>-0.1</v>
      </c>
      <c r="AK420" s="5">
        <v>32.219200000000001</v>
      </c>
      <c r="AL420" s="5">
        <v>5.7000000000000002E-2</v>
      </c>
      <c r="AM420" s="8">
        <v>-1.0347</v>
      </c>
      <c r="AN420" s="8">
        <v>1.5616000000000001</v>
      </c>
      <c r="AO420" s="15">
        <v>250.0692</v>
      </c>
      <c r="AP420" s="15">
        <v>0.92620000000000002</v>
      </c>
      <c r="AQ420" s="5">
        <v>103.1733</v>
      </c>
      <c r="AR420" s="5">
        <v>103.2998</v>
      </c>
      <c r="AS420" s="5">
        <v>-0.1265</v>
      </c>
      <c r="AT420" s="5">
        <v>-0.12239999999999999</v>
      </c>
      <c r="AU420" s="8">
        <v>1.3361000000000001</v>
      </c>
      <c r="AV420" s="8">
        <v>0.15110000000000001</v>
      </c>
      <c r="AW420" s="8">
        <v>0.15110000000000001</v>
      </c>
      <c r="AX420" s="5">
        <v>102.381</v>
      </c>
      <c r="AY420" s="5">
        <v>-0.88949999999999996</v>
      </c>
      <c r="AZ420" s="7" t="s">
        <v>91</v>
      </c>
    </row>
    <row r="421" spans="1:52" ht="18" customHeight="1" x14ac:dyDescent="0.25">
      <c r="A421" s="10">
        <v>210</v>
      </c>
      <c r="B421" s="10">
        <v>2</v>
      </c>
      <c r="C421" s="10">
        <v>210</v>
      </c>
      <c r="D421" s="86">
        <v>45792</v>
      </c>
      <c r="E421" s="86">
        <v>45798</v>
      </c>
      <c r="F421" s="86">
        <v>45806</v>
      </c>
      <c r="G421" s="11">
        <v>25062.1</v>
      </c>
      <c r="H421" s="11">
        <v>24813.45</v>
      </c>
      <c r="I421" s="12"/>
      <c r="J421" s="12"/>
      <c r="K421" s="91">
        <f t="array" ref="K421">MAX(IF((D421&lt;[1]Nifty_D!$B$2:$B$6600)*(E421&gt;=[1]Nifty_D!$B$2:$B$6600),[1]Nifty_D!$F$2:$F$6600,""))</f>
        <v>25019.8</v>
      </c>
      <c r="L421" s="92">
        <f t="shared" si="22"/>
        <v>-1.6878074862042292E-3</v>
      </c>
      <c r="M421" s="91">
        <f t="shared" si="23"/>
        <v>13395.9</v>
      </c>
      <c r="N421" s="93">
        <f t="array" ref="N421">INDEX([1]Nifty_D!$B$2:$B$6600,MATCH(E421,[1]Nifty_D!$B$2:$B$6600,0)-1)</f>
        <v>45797</v>
      </c>
      <c r="O421" s="89">
        <f>VLOOKUP(N421,[1]Nifty_D!$B$2:$F$6600,5,0)</f>
        <v>24683.9</v>
      </c>
      <c r="P421" s="92">
        <f t="shared" si="24"/>
        <v>-1.5090515160341544E-2</v>
      </c>
      <c r="Q421" s="12" t="s">
        <v>40</v>
      </c>
      <c r="R421" s="10">
        <v>25000</v>
      </c>
      <c r="S421" s="103">
        <f>MROUND(G421,500)</f>
        <v>25000</v>
      </c>
      <c r="T421" s="103">
        <f>S421-R421</f>
        <v>0</v>
      </c>
      <c r="U421" s="12" t="s">
        <v>92</v>
      </c>
      <c r="V421" s="10">
        <v>65</v>
      </c>
      <c r="W421" s="11">
        <v>248.35</v>
      </c>
      <c r="X421" s="11">
        <v>323.89999999999998</v>
      </c>
      <c r="Y421" s="13">
        <v>-0.1321</v>
      </c>
      <c r="Z421" s="13">
        <v>0.58909999999999996</v>
      </c>
      <c r="AA421" s="10">
        <v>0</v>
      </c>
      <c r="AB421" s="14">
        <v>0</v>
      </c>
      <c r="AC421" s="11">
        <v>75.55</v>
      </c>
      <c r="AD421" s="14">
        <v>3.0145119523104611E-3</v>
      </c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 t="s">
        <v>91</v>
      </c>
    </row>
    <row r="422" spans="1:52" ht="18" hidden="1" customHeight="1" x14ac:dyDescent="0.25">
      <c r="A422" s="4">
        <v>211</v>
      </c>
      <c r="B422" s="4">
        <v>1</v>
      </c>
      <c r="C422" s="4">
        <v>211</v>
      </c>
      <c r="D422" s="85">
        <v>45798</v>
      </c>
      <c r="E422" s="85">
        <v>45805</v>
      </c>
      <c r="F422" s="85">
        <v>45806</v>
      </c>
      <c r="G422" s="5">
        <v>24813.45</v>
      </c>
      <c r="H422" s="5">
        <v>24752.45</v>
      </c>
      <c r="I422" s="4">
        <v>-61</v>
      </c>
      <c r="J422" s="6">
        <v>-2.458344164152909E-3</v>
      </c>
      <c r="K422" s="91">
        <f t="array" ref="K422">MAX(IF((D422&lt;[1]Nifty_D!$B$2:$B$6600)*(E422&gt;=[1]Nifty_D!$B$2:$B$6600),[1]Nifty_D!$F$2:$F$6600,""))</f>
        <v>25001.15</v>
      </c>
      <c r="L422" s="92">
        <f t="shared" si="22"/>
        <v>7.5644458952706106E-3</v>
      </c>
      <c r="M422" s="91">
        <f t="shared" si="23"/>
        <v>13377.250000000002</v>
      </c>
      <c r="N422" s="93">
        <f t="array" ref="N422">INDEX([1]Nifty_D!$B$2:$B$6600,MATCH(E422,[1]Nifty_D!$B$2:$B$6600,0)-1)</f>
        <v>45804</v>
      </c>
      <c r="O422" s="89">
        <f>VLOOKUP(N422,[1]Nifty_D!$B$2:$F$6600,5,0)</f>
        <v>24826.2</v>
      </c>
      <c r="P422" s="92">
        <f t="shared" si="24"/>
        <v>5.1383423103201764E-4</v>
      </c>
      <c r="Q422" s="7" t="s">
        <v>28</v>
      </c>
      <c r="R422" s="4">
        <v>24800</v>
      </c>
      <c r="S422" s="102"/>
      <c r="T422" s="102"/>
      <c r="U422" s="7" t="s">
        <v>90</v>
      </c>
      <c r="V422" s="4">
        <v>65</v>
      </c>
      <c r="W422" s="5">
        <v>249.8</v>
      </c>
      <c r="X422" s="5">
        <v>96.5</v>
      </c>
      <c r="Y422" s="8">
        <v>-0.67969999999999997</v>
      </c>
      <c r="Z422" s="8">
        <v>0.66620000000000001</v>
      </c>
      <c r="AA422" s="5">
        <v>153.30000000000001</v>
      </c>
      <c r="AB422" s="6">
        <v>6.178100989584278E-3</v>
      </c>
      <c r="AC422" s="4">
        <v>0</v>
      </c>
      <c r="AD422" s="6">
        <v>0</v>
      </c>
      <c r="AE422" s="5">
        <v>56619.6</v>
      </c>
      <c r="AF422" s="5">
        <v>57141.4</v>
      </c>
      <c r="AG422" s="5">
        <v>521.79999999999995</v>
      </c>
      <c r="AH422" s="5">
        <v>0.92159999999999997</v>
      </c>
      <c r="AI422" s="4">
        <v>7</v>
      </c>
      <c r="AJ422" s="5">
        <v>-0.11666700000000001</v>
      </c>
      <c r="AK422" s="5">
        <v>455.74380000000002</v>
      </c>
      <c r="AL422" s="5">
        <v>0.80489999999999995</v>
      </c>
      <c r="AM422" s="8">
        <v>-1.159</v>
      </c>
      <c r="AN422" s="8">
        <v>1.3956</v>
      </c>
      <c r="AO422" s="15">
        <v>562.14380000000006</v>
      </c>
      <c r="AP422" s="15">
        <v>1.2337</v>
      </c>
      <c r="AQ422" s="5">
        <v>104.4462</v>
      </c>
      <c r="AR422" s="5">
        <v>104.4462</v>
      </c>
      <c r="AS422" s="4">
        <v>0</v>
      </c>
      <c r="AT422" s="4">
        <v>0</v>
      </c>
      <c r="AU422" s="8">
        <v>4.0000000000000001E-3</v>
      </c>
      <c r="AV422" s="8">
        <v>0.36820000000000003</v>
      </c>
      <c r="AW422" s="8">
        <v>4.0000000000000001E-3</v>
      </c>
      <c r="AX422" s="5">
        <v>103.17749999999999</v>
      </c>
      <c r="AY422" s="5">
        <v>-0.11840000000000001</v>
      </c>
      <c r="AZ422" s="7" t="s">
        <v>91</v>
      </c>
    </row>
    <row r="423" spans="1:52" ht="18" customHeight="1" x14ac:dyDescent="0.25">
      <c r="A423" s="10">
        <v>211</v>
      </c>
      <c r="B423" s="10">
        <v>2</v>
      </c>
      <c r="C423" s="10">
        <v>211</v>
      </c>
      <c r="D423" s="86">
        <v>45798</v>
      </c>
      <c r="E423" s="86">
        <v>45805</v>
      </c>
      <c r="F423" s="86">
        <v>45806</v>
      </c>
      <c r="G423" s="11">
        <v>24813.45</v>
      </c>
      <c r="H423" s="11">
        <v>24752.45</v>
      </c>
      <c r="I423" s="12"/>
      <c r="J423" s="12"/>
      <c r="K423" s="91">
        <f t="array" ref="K423">MAX(IF((D423&lt;[1]Nifty_D!$B$2:$B$6600)*(E423&gt;=[1]Nifty_D!$B$2:$B$6600),[1]Nifty_D!$F$2:$F$6600,""))</f>
        <v>25001.15</v>
      </c>
      <c r="L423" s="92">
        <f t="shared" si="22"/>
        <v>7.5644458952706106E-3</v>
      </c>
      <c r="M423" s="91">
        <f t="shared" si="23"/>
        <v>13377.250000000002</v>
      </c>
      <c r="N423" s="93">
        <f t="array" ref="N423">INDEX([1]Nifty_D!$B$2:$B$6600,MATCH(E423,[1]Nifty_D!$B$2:$B$6600,0)-1)</f>
        <v>45804</v>
      </c>
      <c r="O423" s="89">
        <f>VLOOKUP(N423,[1]Nifty_D!$B$2:$F$6600,5,0)</f>
        <v>24826.2</v>
      </c>
      <c r="P423" s="92">
        <f t="shared" si="24"/>
        <v>5.1383423103201764E-4</v>
      </c>
      <c r="Q423" s="12" t="s">
        <v>40</v>
      </c>
      <c r="R423" s="10">
        <v>25000</v>
      </c>
      <c r="S423" s="103">
        <f>MROUND(G423,500)</f>
        <v>25000</v>
      </c>
      <c r="T423" s="103">
        <f>S423-R423</f>
        <v>0</v>
      </c>
      <c r="U423" s="12" t="s">
        <v>92</v>
      </c>
      <c r="V423" s="10">
        <v>65</v>
      </c>
      <c r="W423" s="11">
        <v>323.89999999999998</v>
      </c>
      <c r="X423" s="10">
        <v>277</v>
      </c>
      <c r="Y423" s="13">
        <v>-0.71189999999999998</v>
      </c>
      <c r="Z423" s="13">
        <v>0.86099999999999999</v>
      </c>
      <c r="AA423" s="10">
        <v>0</v>
      </c>
      <c r="AB423" s="14">
        <v>0</v>
      </c>
      <c r="AC423" s="11">
        <v>-46.9</v>
      </c>
      <c r="AD423" s="14">
        <v>-1.8901039557175641E-3</v>
      </c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 t="s">
        <v>91</v>
      </c>
    </row>
    <row r="424" spans="1:52" ht="18" hidden="1" customHeight="1" x14ac:dyDescent="0.25">
      <c r="A424" s="4">
        <v>212</v>
      </c>
      <c r="B424" s="4">
        <v>1</v>
      </c>
      <c r="C424" s="4">
        <v>212</v>
      </c>
      <c r="D424" s="85">
        <v>45805</v>
      </c>
      <c r="E424" s="85">
        <v>45812</v>
      </c>
      <c r="F424" s="85">
        <v>45813</v>
      </c>
      <c r="G424" s="5">
        <v>24752.45</v>
      </c>
      <c r="H424" s="5">
        <v>24620.2</v>
      </c>
      <c r="I424" s="5">
        <v>-132.25</v>
      </c>
      <c r="J424" s="6">
        <v>-5.3429054497635582E-3</v>
      </c>
      <c r="K424" s="91">
        <f t="array" ref="K424">MAX(IF((D424&lt;[1]Nifty_D!$B$2:$B$6600)*(E424&gt;=[1]Nifty_D!$B$2:$B$6600),[1]Nifty_D!$F$2:$F$6600,""))</f>
        <v>24833.599999999999</v>
      </c>
      <c r="L424" s="92">
        <f t="shared" si="22"/>
        <v>3.2784633440325894E-3</v>
      </c>
      <c r="M424" s="91">
        <f t="shared" si="23"/>
        <v>13209.699999999999</v>
      </c>
      <c r="N424" s="93">
        <f t="array" ref="N424">INDEX([1]Nifty_D!$B$2:$B$6600,MATCH(E424,[1]Nifty_D!$B$2:$B$6600,0)-1)</f>
        <v>45811</v>
      </c>
      <c r="O424" s="89">
        <f>VLOOKUP(N424,[1]Nifty_D!$B$2:$F$6600,5,0)</f>
        <v>24542.5</v>
      </c>
      <c r="P424" s="92">
        <f t="shared" si="24"/>
        <v>-8.4819886516284138E-3</v>
      </c>
      <c r="Q424" s="7" t="s">
        <v>28</v>
      </c>
      <c r="R424" s="4">
        <v>24800</v>
      </c>
      <c r="S424" s="102"/>
      <c r="T424" s="102"/>
      <c r="U424" s="7" t="s">
        <v>90</v>
      </c>
      <c r="V424" s="4">
        <v>65</v>
      </c>
      <c r="W424" s="5">
        <v>254.2</v>
      </c>
      <c r="X424" s="5">
        <v>31.8</v>
      </c>
      <c r="Y424" s="8">
        <v>-0.19389999999999999</v>
      </c>
      <c r="Z424" s="8">
        <v>0.92169999999999996</v>
      </c>
      <c r="AA424" s="5">
        <v>222.4</v>
      </c>
      <c r="AB424" s="6">
        <v>8.9849691646685485E-3</v>
      </c>
      <c r="AC424" s="4">
        <v>0</v>
      </c>
      <c r="AD424" s="6">
        <v>0</v>
      </c>
      <c r="AE424" s="5">
        <v>57141.4</v>
      </c>
      <c r="AF424" s="5">
        <v>57924.65</v>
      </c>
      <c r="AG424" s="5">
        <v>783.25</v>
      </c>
      <c r="AH424" s="5">
        <v>1.3707</v>
      </c>
      <c r="AI424" s="4">
        <v>7</v>
      </c>
      <c r="AJ424" s="5">
        <v>-0.11666700000000001</v>
      </c>
      <c r="AK424" s="5">
        <v>716.58500000000004</v>
      </c>
      <c r="AL424" s="5">
        <v>1.2541</v>
      </c>
      <c r="AM424" s="8">
        <v>-0.14510000000000001</v>
      </c>
      <c r="AN424" s="8">
        <v>1.4483999999999999</v>
      </c>
      <c r="AO424" s="15">
        <v>921.08500000000004</v>
      </c>
      <c r="AP424" s="15">
        <v>2.0802999999999998</v>
      </c>
      <c r="AQ424" s="5">
        <v>106.619</v>
      </c>
      <c r="AR424" s="5">
        <v>106.619</v>
      </c>
      <c r="AS424" s="4">
        <v>0</v>
      </c>
      <c r="AT424" s="4">
        <v>0</v>
      </c>
      <c r="AU424" s="8">
        <v>0.81940000000000002</v>
      </c>
      <c r="AV424" s="8">
        <v>1.2513000000000001</v>
      </c>
      <c r="AW424" s="8">
        <v>0.81940000000000002</v>
      </c>
      <c r="AX424" s="5">
        <v>105.30200000000001</v>
      </c>
      <c r="AY424" s="5">
        <v>0.81940000000000002</v>
      </c>
      <c r="AZ424" s="7" t="s">
        <v>91</v>
      </c>
    </row>
    <row r="425" spans="1:52" ht="18" customHeight="1" x14ac:dyDescent="0.25">
      <c r="A425" s="10">
        <v>212</v>
      </c>
      <c r="B425" s="10">
        <v>2</v>
      </c>
      <c r="C425" s="10">
        <v>212</v>
      </c>
      <c r="D425" s="86">
        <v>45805</v>
      </c>
      <c r="E425" s="86">
        <v>45812</v>
      </c>
      <c r="F425" s="86">
        <v>45834</v>
      </c>
      <c r="G425" s="11">
        <v>24752.45</v>
      </c>
      <c r="H425" s="11">
        <v>24620.2</v>
      </c>
      <c r="I425" s="12"/>
      <c r="J425" s="12"/>
      <c r="K425" s="91">
        <f t="array" ref="K425">MAX(IF((D425&lt;[1]Nifty_D!$B$2:$B$6600)*(E425&gt;=[1]Nifty_D!$B$2:$B$6600),[1]Nifty_D!$F$2:$F$6600,""))</f>
        <v>24833.599999999999</v>
      </c>
      <c r="L425" s="92">
        <f t="shared" si="22"/>
        <v>3.2784633440325894E-3</v>
      </c>
      <c r="M425" s="91">
        <f t="shared" si="23"/>
        <v>13209.699999999999</v>
      </c>
      <c r="N425" s="93">
        <f t="array" ref="N425">INDEX([1]Nifty_D!$B$2:$B$6600,MATCH(E425,[1]Nifty_D!$B$2:$B$6600,0)-1)</f>
        <v>45811</v>
      </c>
      <c r="O425" s="89">
        <f>VLOOKUP(N425,[1]Nifty_D!$B$2:$F$6600,5,0)</f>
        <v>24542.5</v>
      </c>
      <c r="P425" s="92">
        <f t="shared" si="24"/>
        <v>-8.4819886516284138E-3</v>
      </c>
      <c r="Q425" s="12" t="s">
        <v>40</v>
      </c>
      <c r="R425" s="10">
        <v>25000</v>
      </c>
      <c r="S425" s="103">
        <f>MROUND(G425,500)</f>
        <v>25000</v>
      </c>
      <c r="T425" s="103">
        <f>S425-R425</f>
        <v>0</v>
      </c>
      <c r="U425" s="12" t="s">
        <v>92</v>
      </c>
      <c r="V425" s="10">
        <v>65</v>
      </c>
      <c r="W425" s="11">
        <v>521.5</v>
      </c>
      <c r="X425" s="11">
        <v>503.6</v>
      </c>
      <c r="Y425" s="13">
        <v>-0.43509999999999999</v>
      </c>
      <c r="Z425" s="13">
        <v>0.47470000000000001</v>
      </c>
      <c r="AA425" s="10">
        <v>0</v>
      </c>
      <c r="AB425" s="14">
        <v>0</v>
      </c>
      <c r="AC425" s="11">
        <v>-17.899999999999999</v>
      </c>
      <c r="AD425" s="14">
        <v>-7.231607376239523E-4</v>
      </c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 t="s">
        <v>91</v>
      </c>
    </row>
    <row r="426" spans="1:52" ht="18" hidden="1" customHeight="1" x14ac:dyDescent="0.25">
      <c r="A426" s="4">
        <v>213</v>
      </c>
      <c r="B426" s="4">
        <v>1</v>
      </c>
      <c r="C426" s="4">
        <v>213</v>
      </c>
      <c r="D426" s="85">
        <v>45812</v>
      </c>
      <c r="E426" s="85">
        <v>45814</v>
      </c>
      <c r="F426" s="85">
        <v>45820</v>
      </c>
      <c r="G426" s="5">
        <v>24620.2</v>
      </c>
      <c r="H426" s="5">
        <v>25003.05</v>
      </c>
      <c r="I426" s="5">
        <v>382.85</v>
      </c>
      <c r="J426" s="6">
        <v>1.555023923444976E-2</v>
      </c>
      <c r="K426" s="91">
        <f t="array" ref="K426">MAX(IF((D426&lt;[1]Nifty_D!$B$2:$B$6600)*(E426&gt;=[1]Nifty_D!$B$2:$B$6600),[1]Nifty_D!$F$2:$F$6600,""))</f>
        <v>25003.05</v>
      </c>
      <c r="L426" s="92">
        <f t="shared" si="22"/>
        <v>1.5550239234449759E-2</v>
      </c>
      <c r="M426" s="91">
        <f t="shared" si="23"/>
        <v>13379.15</v>
      </c>
      <c r="N426" s="93">
        <f t="array" ref="N426">INDEX([1]Nifty_D!$B$2:$B$6600,MATCH(E426,[1]Nifty_D!$B$2:$B$6600,0)-1)</f>
        <v>45813</v>
      </c>
      <c r="O426" s="89">
        <f>VLOOKUP(N426,[1]Nifty_D!$B$2:$F$6600,5,0)</f>
        <v>24750.9</v>
      </c>
      <c r="P426" s="92">
        <f t="shared" si="24"/>
        <v>5.3086489955402882E-3</v>
      </c>
      <c r="Q426" s="7" t="s">
        <v>28</v>
      </c>
      <c r="R426" s="4">
        <v>24600</v>
      </c>
      <c r="S426" s="102"/>
      <c r="T426" s="102"/>
      <c r="U426" s="7" t="s">
        <v>90</v>
      </c>
      <c r="V426" s="4">
        <v>65</v>
      </c>
      <c r="W426" s="5">
        <v>245.55</v>
      </c>
      <c r="X426" s="5">
        <v>469.45</v>
      </c>
      <c r="Y426" s="8">
        <v>-1.1222000000000001</v>
      </c>
      <c r="Z426" s="8">
        <v>9.4600000000000004E-2</v>
      </c>
      <c r="AA426" s="5">
        <v>-223.9</v>
      </c>
      <c r="AB426" s="6">
        <v>-9.0941584552521916E-3</v>
      </c>
      <c r="AC426" s="4">
        <v>0</v>
      </c>
      <c r="AD426" s="6">
        <v>0</v>
      </c>
      <c r="AE426" s="5">
        <v>57924.65</v>
      </c>
      <c r="AF426" s="5">
        <v>59010.3</v>
      </c>
      <c r="AG426" s="5">
        <v>1085.6500000000001</v>
      </c>
      <c r="AH426" s="5">
        <v>1.8742000000000001</v>
      </c>
      <c r="AI426" s="4">
        <v>2</v>
      </c>
      <c r="AJ426" s="5">
        <v>-3.3333000000000002E-2</v>
      </c>
      <c r="AK426" s="5">
        <v>1066.3417999999999</v>
      </c>
      <c r="AL426" s="5">
        <v>1.8409</v>
      </c>
      <c r="AM426" s="8">
        <v>0.1384</v>
      </c>
      <c r="AN426" s="8">
        <v>1.9476</v>
      </c>
      <c r="AO426" s="15">
        <v>620.99180000000001</v>
      </c>
      <c r="AP426" s="15">
        <v>3.2000000000000001E-2</v>
      </c>
      <c r="AQ426" s="5">
        <v>106.65309999999999</v>
      </c>
      <c r="AR426" s="5">
        <v>106.65309999999999</v>
      </c>
      <c r="AS426" s="4">
        <v>0</v>
      </c>
      <c r="AT426" s="4">
        <v>0</v>
      </c>
      <c r="AU426" s="8">
        <v>-0.1045</v>
      </c>
      <c r="AV426" s="8">
        <v>0.23499999999999999</v>
      </c>
      <c r="AW426" s="8">
        <v>-0.1045</v>
      </c>
      <c r="AX426" s="5">
        <v>106.5076</v>
      </c>
      <c r="AY426" s="5">
        <v>-0.1045</v>
      </c>
      <c r="AZ426" s="7" t="s">
        <v>97</v>
      </c>
    </row>
    <row r="427" spans="1:52" ht="18" customHeight="1" x14ac:dyDescent="0.25">
      <c r="A427" s="10">
        <v>213</v>
      </c>
      <c r="B427" s="10">
        <v>2</v>
      </c>
      <c r="C427" s="10">
        <v>213</v>
      </c>
      <c r="D427" s="86">
        <v>45812</v>
      </c>
      <c r="E427" s="86">
        <v>45814</v>
      </c>
      <c r="F427" s="86">
        <v>45834</v>
      </c>
      <c r="G427" s="11">
        <v>24620.2</v>
      </c>
      <c r="H427" s="11">
        <v>25003.05</v>
      </c>
      <c r="I427" s="12"/>
      <c r="J427" s="12"/>
      <c r="K427" s="91">
        <f t="array" ref="K427">MAX(IF((D427&lt;[1]Nifty_D!$B$2:$B$6600)*(E427&gt;=[1]Nifty_D!$B$2:$B$6600),[1]Nifty_D!$F$2:$F$6600,""))</f>
        <v>25003.05</v>
      </c>
      <c r="L427" s="92">
        <f t="shared" si="22"/>
        <v>1.5550239234449759E-2</v>
      </c>
      <c r="M427" s="91">
        <f t="shared" si="23"/>
        <v>13379.15</v>
      </c>
      <c r="N427" s="93">
        <f t="array" ref="N427">INDEX([1]Nifty_D!$B$2:$B$6600,MATCH(E427,[1]Nifty_D!$B$2:$B$6600,0)-1)</f>
        <v>45813</v>
      </c>
      <c r="O427" s="89">
        <f>VLOOKUP(N427,[1]Nifty_D!$B$2:$F$6600,5,0)</f>
        <v>24750.9</v>
      </c>
      <c r="P427" s="92">
        <f t="shared" si="24"/>
        <v>5.3086489955402882E-3</v>
      </c>
      <c r="Q427" s="12" t="s">
        <v>40</v>
      </c>
      <c r="R427" s="10">
        <v>25000</v>
      </c>
      <c r="S427" s="103">
        <f>MROUND(G427,500)</f>
        <v>24500</v>
      </c>
      <c r="T427" s="103">
        <f>S427-R427</f>
        <v>-500</v>
      </c>
      <c r="U427" s="12" t="s">
        <v>92</v>
      </c>
      <c r="V427" s="10">
        <v>65</v>
      </c>
      <c r="W427" s="11">
        <v>503.6</v>
      </c>
      <c r="X427" s="11">
        <v>282.14999999999998</v>
      </c>
      <c r="Y427" s="13">
        <v>-0.92989999999999995</v>
      </c>
      <c r="Z427" s="13">
        <v>2E-3</v>
      </c>
      <c r="AA427" s="10">
        <v>0</v>
      </c>
      <c r="AB427" s="14">
        <v>0</v>
      </c>
      <c r="AC427" s="11">
        <v>-221.45</v>
      </c>
      <c r="AD427" s="14">
        <v>-8.994646672244741E-3</v>
      </c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 t="s">
        <v>97</v>
      </c>
    </row>
    <row r="428" spans="1:52" ht="18" hidden="1" customHeight="1" x14ac:dyDescent="0.25">
      <c r="A428" s="4">
        <v>214</v>
      </c>
      <c r="B428" s="4">
        <v>1</v>
      </c>
      <c r="C428" s="4">
        <v>214</v>
      </c>
      <c r="D428" s="85">
        <v>45814</v>
      </c>
      <c r="E428" s="85">
        <v>45819</v>
      </c>
      <c r="F428" s="85">
        <v>45820</v>
      </c>
      <c r="G428" s="5">
        <v>25003.05</v>
      </c>
      <c r="H428" s="5">
        <v>25141.4</v>
      </c>
      <c r="I428" s="5">
        <v>138.35</v>
      </c>
      <c r="J428" s="6">
        <v>5.5333249343580094E-3</v>
      </c>
      <c r="K428" s="91">
        <f t="array" ref="K428">MAX(IF((D428&lt;[1]Nifty_D!$B$2:$B$6600)*(E428&gt;=[1]Nifty_D!$B$2:$B$6600),[1]Nifty_D!$F$2:$F$6600,""))</f>
        <v>25141.4</v>
      </c>
      <c r="L428" s="92">
        <f t="shared" si="22"/>
        <v>5.533324934358097E-3</v>
      </c>
      <c r="M428" s="91">
        <f t="shared" si="23"/>
        <v>13517.500000000002</v>
      </c>
      <c r="N428" s="93">
        <f t="array" ref="N428">INDEX([1]Nifty_D!$B$2:$B$6600,MATCH(E428,[1]Nifty_D!$B$2:$B$6600,0)-1)</f>
        <v>45818</v>
      </c>
      <c r="O428" s="89">
        <f>VLOOKUP(N428,[1]Nifty_D!$B$2:$F$6600,5,0)</f>
        <v>25104.25</v>
      </c>
      <c r="P428" s="92">
        <f t="shared" si="24"/>
        <v>4.0475062042431009E-3</v>
      </c>
      <c r="Q428" s="7" t="s">
        <v>28</v>
      </c>
      <c r="R428" s="4">
        <v>25000</v>
      </c>
      <c r="S428" s="102"/>
      <c r="T428" s="102"/>
      <c r="U428" s="7" t="s">
        <v>90</v>
      </c>
      <c r="V428" s="4">
        <v>65</v>
      </c>
      <c r="W428" s="5">
        <v>182.4</v>
      </c>
      <c r="X428" s="5">
        <v>163.4</v>
      </c>
      <c r="Y428" s="8">
        <v>-0.25340000000000001</v>
      </c>
      <c r="Z428" s="8">
        <v>0.24099999999999999</v>
      </c>
      <c r="AA428" s="4">
        <v>19</v>
      </c>
      <c r="AB428" s="6">
        <v>7.5990729131046012E-4</v>
      </c>
      <c r="AC428" s="4">
        <v>0</v>
      </c>
      <c r="AD428" s="6">
        <v>0</v>
      </c>
      <c r="AE428" s="5">
        <v>59010.3</v>
      </c>
      <c r="AF428" s="5">
        <v>59388.15</v>
      </c>
      <c r="AG428" s="5">
        <v>377.85</v>
      </c>
      <c r="AH428" s="5">
        <v>0.64029999999999998</v>
      </c>
      <c r="AI428" s="4">
        <v>5</v>
      </c>
      <c r="AJ428" s="5">
        <v>-8.3333000000000004E-2</v>
      </c>
      <c r="AK428" s="5">
        <v>328.67469999999997</v>
      </c>
      <c r="AL428" s="5">
        <v>0.55700000000000005</v>
      </c>
      <c r="AM428" s="8">
        <v>0.1148</v>
      </c>
      <c r="AN428" s="8">
        <v>1.5550999999999999</v>
      </c>
      <c r="AO428" s="15">
        <v>240.72470000000001</v>
      </c>
      <c r="AP428" s="15">
        <v>0.20519999999999999</v>
      </c>
      <c r="AQ428" s="5">
        <v>106.8719</v>
      </c>
      <c r="AR428" s="5">
        <v>106.8719</v>
      </c>
      <c r="AS428" s="4">
        <v>0</v>
      </c>
      <c r="AT428" s="4">
        <v>0</v>
      </c>
      <c r="AU428" s="8">
        <v>0.78220000000000001</v>
      </c>
      <c r="AV428" s="8">
        <v>0.30719999999999997</v>
      </c>
      <c r="AW428" s="8">
        <v>0.20519999999999999</v>
      </c>
      <c r="AX428" s="5">
        <v>106.8719</v>
      </c>
      <c r="AY428" s="5">
        <v>0.20519999999999999</v>
      </c>
      <c r="AZ428" s="7" t="s">
        <v>91</v>
      </c>
    </row>
    <row r="429" spans="1:52" ht="18" customHeight="1" x14ac:dyDescent="0.25">
      <c r="A429" s="10">
        <v>214</v>
      </c>
      <c r="B429" s="10">
        <v>2</v>
      </c>
      <c r="C429" s="10">
        <v>214</v>
      </c>
      <c r="D429" s="86">
        <v>45814</v>
      </c>
      <c r="E429" s="86">
        <v>45819</v>
      </c>
      <c r="F429" s="86">
        <v>45834</v>
      </c>
      <c r="G429" s="11">
        <v>25003.05</v>
      </c>
      <c r="H429" s="11">
        <v>25141.4</v>
      </c>
      <c r="I429" s="12"/>
      <c r="J429" s="12"/>
      <c r="K429" s="91">
        <f t="array" ref="K429">MAX(IF((D429&lt;[1]Nifty_D!$B$2:$B$6600)*(E429&gt;=[1]Nifty_D!$B$2:$B$6600),[1]Nifty_D!$F$2:$F$6600,""))</f>
        <v>25141.4</v>
      </c>
      <c r="L429" s="92">
        <f t="shared" si="22"/>
        <v>5.533324934358097E-3</v>
      </c>
      <c r="M429" s="91">
        <f t="shared" si="23"/>
        <v>13517.500000000002</v>
      </c>
      <c r="N429" s="93">
        <f t="array" ref="N429">INDEX([1]Nifty_D!$B$2:$B$6600,MATCH(E429,[1]Nifty_D!$B$2:$B$6600,0)-1)</f>
        <v>45818</v>
      </c>
      <c r="O429" s="89">
        <f>VLOOKUP(N429,[1]Nifty_D!$B$2:$F$6600,5,0)</f>
        <v>25104.25</v>
      </c>
      <c r="P429" s="92">
        <f t="shared" si="24"/>
        <v>4.0475062042431009E-3</v>
      </c>
      <c r="Q429" s="12" t="s">
        <v>40</v>
      </c>
      <c r="R429" s="10">
        <v>25000</v>
      </c>
      <c r="S429" s="103">
        <f>MROUND(G429,500)</f>
        <v>25000</v>
      </c>
      <c r="T429" s="103">
        <f>S429-R429</f>
        <v>0</v>
      </c>
      <c r="U429" s="12" t="s">
        <v>92</v>
      </c>
      <c r="V429" s="10">
        <v>65</v>
      </c>
      <c r="W429" s="11">
        <v>282.14999999999998</v>
      </c>
      <c r="X429" s="11">
        <v>175.2</v>
      </c>
      <c r="Y429" s="13">
        <v>-0.51949999999999996</v>
      </c>
      <c r="Z429" s="13">
        <v>-4.8599999999999997E-2</v>
      </c>
      <c r="AA429" s="10">
        <v>0</v>
      </c>
      <c r="AB429" s="14">
        <v>0</v>
      </c>
      <c r="AC429" s="11">
        <v>-106.95</v>
      </c>
      <c r="AD429" s="14">
        <v>-4.2774781476659848E-3</v>
      </c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 t="s">
        <v>91</v>
      </c>
    </row>
    <row r="430" spans="1:52" ht="18" hidden="1" customHeight="1" x14ac:dyDescent="0.25">
      <c r="A430" s="4">
        <v>215</v>
      </c>
      <c r="B430" s="4">
        <v>1</v>
      </c>
      <c r="C430" s="4">
        <v>215</v>
      </c>
      <c r="D430" s="85">
        <v>45819</v>
      </c>
      <c r="E430" s="85">
        <v>45826</v>
      </c>
      <c r="F430" s="85">
        <v>45827</v>
      </c>
      <c r="G430" s="5">
        <v>25141.4</v>
      </c>
      <c r="H430" s="5">
        <v>24812.05</v>
      </c>
      <c r="I430" s="5">
        <v>-329.35</v>
      </c>
      <c r="J430" s="6">
        <v>-1.3099906926424151E-2</v>
      </c>
      <c r="K430" s="91">
        <f t="array" ref="K430">MAX(IF((D430&lt;[1]Nifty_D!$B$2:$B$6600)*(E430&gt;=[1]Nifty_D!$B$2:$B$6600),[1]Nifty_D!$F$2:$F$6600,""))</f>
        <v>24946.5</v>
      </c>
      <c r="L430" s="92">
        <f t="shared" si="22"/>
        <v>-7.752153818005425E-3</v>
      </c>
      <c r="M430" s="91">
        <f t="shared" si="23"/>
        <v>13322.6</v>
      </c>
      <c r="N430" s="93">
        <f t="array" ref="N430">INDEX([1]Nifty_D!$B$2:$B$6600,MATCH(E430,[1]Nifty_D!$B$2:$B$6600,0)-1)</f>
        <v>45825</v>
      </c>
      <c r="O430" s="89">
        <f>VLOOKUP(N430,[1]Nifty_D!$B$2:$F$6600,5,0)</f>
        <v>24853.4</v>
      </c>
      <c r="P430" s="92">
        <f t="shared" si="24"/>
        <v>-1.1455209335995642E-2</v>
      </c>
      <c r="Q430" s="7" t="s">
        <v>28</v>
      </c>
      <c r="R430" s="4">
        <v>25100</v>
      </c>
      <c r="S430" s="102"/>
      <c r="T430" s="102"/>
      <c r="U430" s="7" t="s">
        <v>90</v>
      </c>
      <c r="V430" s="4">
        <v>65</v>
      </c>
      <c r="W430" s="5">
        <v>220.5</v>
      </c>
      <c r="X430" s="5">
        <v>11.2</v>
      </c>
      <c r="Y430" s="8">
        <v>-9.74E-2</v>
      </c>
      <c r="Z430" s="8">
        <v>0.84260000000000002</v>
      </c>
      <c r="AA430" s="5">
        <v>209.3</v>
      </c>
      <c r="AB430" s="6">
        <v>8.3249142848051422E-3</v>
      </c>
      <c r="AC430" s="4">
        <v>0</v>
      </c>
      <c r="AD430" s="6">
        <v>0</v>
      </c>
      <c r="AE430" s="5">
        <v>59388.15</v>
      </c>
      <c r="AF430" s="5">
        <v>58109.2</v>
      </c>
      <c r="AG430" s="5">
        <v>-1278.95</v>
      </c>
      <c r="AH430" s="5">
        <v>-2.1535000000000002</v>
      </c>
      <c r="AI430" s="4">
        <v>7</v>
      </c>
      <c r="AJ430" s="5">
        <v>-0.11666700000000001</v>
      </c>
      <c r="AK430" s="5">
        <v>-1348.2362000000001</v>
      </c>
      <c r="AL430" s="5">
        <v>-2.2702</v>
      </c>
      <c r="AM430" s="8">
        <v>-3.6387</v>
      </c>
      <c r="AN430" s="8">
        <v>8.3699999999999997E-2</v>
      </c>
      <c r="AO430" s="9">
        <v>-1013.2862</v>
      </c>
      <c r="AP430" s="9">
        <v>-0.93789999999999996</v>
      </c>
      <c r="AQ430" s="5">
        <v>105.86960000000001</v>
      </c>
      <c r="AR430" s="5">
        <v>106.8719</v>
      </c>
      <c r="AS430" s="5">
        <v>-1.0024</v>
      </c>
      <c r="AT430" s="5">
        <v>-0.93789999999999996</v>
      </c>
      <c r="AU430" s="8">
        <v>-9.8199999999999996E-2</v>
      </c>
      <c r="AV430" s="8">
        <v>-1.3069</v>
      </c>
      <c r="AW430" s="8">
        <v>-1.3069</v>
      </c>
      <c r="AX430" s="5">
        <v>105.4752</v>
      </c>
      <c r="AY430" s="5">
        <v>-1.3069</v>
      </c>
      <c r="AZ430" s="7" t="s">
        <v>91</v>
      </c>
    </row>
    <row r="431" spans="1:52" ht="18" customHeight="1" x14ac:dyDescent="0.25">
      <c r="A431" s="10">
        <v>215</v>
      </c>
      <c r="B431" s="10">
        <v>2</v>
      </c>
      <c r="C431" s="10">
        <v>215</v>
      </c>
      <c r="D431" s="86">
        <v>45819</v>
      </c>
      <c r="E431" s="86">
        <v>45826</v>
      </c>
      <c r="F431" s="86">
        <v>45834</v>
      </c>
      <c r="G431" s="11">
        <v>25141.4</v>
      </c>
      <c r="H431" s="11">
        <v>24812.05</v>
      </c>
      <c r="I431" s="12"/>
      <c r="J431" s="12"/>
      <c r="K431" s="91">
        <f t="array" ref="K431">MAX(IF((D431&lt;[1]Nifty_D!$B$2:$B$6600)*(E431&gt;=[1]Nifty_D!$B$2:$B$6600),[1]Nifty_D!$F$2:$F$6600,""))</f>
        <v>24946.5</v>
      </c>
      <c r="L431" s="92">
        <f t="shared" si="22"/>
        <v>-7.752153818005425E-3</v>
      </c>
      <c r="M431" s="91">
        <f t="shared" si="23"/>
        <v>13322.6</v>
      </c>
      <c r="N431" s="93">
        <f t="array" ref="N431">INDEX([1]Nifty_D!$B$2:$B$6600,MATCH(E431,[1]Nifty_D!$B$2:$B$6600,0)-1)</f>
        <v>45825</v>
      </c>
      <c r="O431" s="89">
        <f>VLOOKUP(N431,[1]Nifty_D!$B$2:$F$6600,5,0)</f>
        <v>24853.4</v>
      </c>
      <c r="P431" s="92">
        <f t="shared" si="24"/>
        <v>-1.1455209335995642E-2</v>
      </c>
      <c r="Q431" s="12" t="s">
        <v>40</v>
      </c>
      <c r="R431" s="10">
        <v>25000</v>
      </c>
      <c r="S431" s="103">
        <f>MROUND(G431,500)</f>
        <v>25000</v>
      </c>
      <c r="T431" s="103">
        <f>S431-R431</f>
        <v>0</v>
      </c>
      <c r="U431" s="12" t="s">
        <v>92</v>
      </c>
      <c r="V431" s="10">
        <v>65</v>
      </c>
      <c r="W431" s="11">
        <v>175.2</v>
      </c>
      <c r="X431" s="11">
        <v>300.85000000000002</v>
      </c>
      <c r="Y431" s="13">
        <v>-8.4500000000000006E-2</v>
      </c>
      <c r="Z431" s="13">
        <v>1.4892000000000001</v>
      </c>
      <c r="AA431" s="10">
        <v>0</v>
      </c>
      <c r="AB431" s="14">
        <v>0</v>
      </c>
      <c r="AC431" s="11">
        <v>125.65</v>
      </c>
      <c r="AD431" s="14">
        <v>4.9977328231522507E-3</v>
      </c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 t="s">
        <v>91</v>
      </c>
    </row>
    <row r="432" spans="1:52" ht="18" hidden="1" customHeight="1" x14ac:dyDescent="0.25">
      <c r="A432" s="4">
        <v>216</v>
      </c>
      <c r="B432" s="4">
        <v>1</v>
      </c>
      <c r="C432" s="4">
        <v>216</v>
      </c>
      <c r="D432" s="85">
        <v>45826</v>
      </c>
      <c r="E432" s="85">
        <v>45828</v>
      </c>
      <c r="F432" s="85">
        <v>45834</v>
      </c>
      <c r="G432" s="5">
        <v>24812.05</v>
      </c>
      <c r="H432" s="5">
        <v>25112.400000000001</v>
      </c>
      <c r="I432" s="5">
        <v>300.35000000000002</v>
      </c>
      <c r="J432" s="6">
        <v>1.210500543082897E-2</v>
      </c>
      <c r="K432" s="91">
        <f t="array" ref="K432">MAX(IF((D432&lt;[1]Nifty_D!$B$2:$B$6600)*(E432&gt;=[1]Nifty_D!$B$2:$B$6600),[1]Nifty_D!$F$2:$F$6600,""))</f>
        <v>25112.400000000001</v>
      </c>
      <c r="L432" s="92">
        <f t="shared" si="22"/>
        <v>1.2105005430829152E-2</v>
      </c>
      <c r="M432" s="91">
        <f t="shared" si="23"/>
        <v>13488.500000000002</v>
      </c>
      <c r="N432" s="93">
        <f t="array" ref="N432">INDEX([1]Nifty_D!$B$2:$B$6600,MATCH(E432,[1]Nifty_D!$B$2:$B$6600,0)-1)</f>
        <v>45827</v>
      </c>
      <c r="O432" s="89">
        <f>VLOOKUP(N432,[1]Nifty_D!$B$2:$F$6600,5,0)</f>
        <v>24793.25</v>
      </c>
      <c r="P432" s="92">
        <f t="shared" si="24"/>
        <v>-7.5769636124378703E-4</v>
      </c>
      <c r="Q432" s="7" t="s">
        <v>28</v>
      </c>
      <c r="R432" s="4">
        <v>24800</v>
      </c>
      <c r="S432" s="102"/>
      <c r="T432" s="102"/>
      <c r="U432" s="7" t="s">
        <v>90</v>
      </c>
      <c r="V432" s="4">
        <v>65</v>
      </c>
      <c r="W432" s="5">
        <v>219.2</v>
      </c>
      <c r="X432" s="5">
        <v>380.65</v>
      </c>
      <c r="Y432" s="8">
        <v>-0.74460000000000004</v>
      </c>
      <c r="Z432" s="8">
        <v>0.19750000000000001</v>
      </c>
      <c r="AA432" s="5">
        <v>-161.44999999999999</v>
      </c>
      <c r="AB432" s="6">
        <v>-6.5069190171710917E-3</v>
      </c>
      <c r="AC432" s="4">
        <v>0</v>
      </c>
      <c r="AD432" s="6">
        <v>0</v>
      </c>
      <c r="AE432" s="5">
        <v>58109.2</v>
      </c>
      <c r="AF432" s="5">
        <v>57995.5</v>
      </c>
      <c r="AG432" s="5">
        <v>-113.7</v>
      </c>
      <c r="AH432" s="5">
        <v>-0.19570000000000001</v>
      </c>
      <c r="AI432" s="4">
        <v>2</v>
      </c>
      <c r="AJ432" s="5">
        <v>-3.3333000000000002E-2</v>
      </c>
      <c r="AK432" s="5">
        <v>-133.06970000000001</v>
      </c>
      <c r="AL432" s="5">
        <v>-0.22900000000000001</v>
      </c>
      <c r="AM432" s="8">
        <v>-1.8434999999999999</v>
      </c>
      <c r="AN432" s="8">
        <v>9.3200000000000005E-2</v>
      </c>
      <c r="AO432" s="9">
        <v>-481.31970000000001</v>
      </c>
      <c r="AP432" s="9">
        <v>-1.6326000000000001</v>
      </c>
      <c r="AQ432" s="5">
        <v>104.1412</v>
      </c>
      <c r="AR432" s="5">
        <v>106.8719</v>
      </c>
      <c r="AS432" s="5">
        <v>-2.7307999999999999</v>
      </c>
      <c r="AT432" s="5">
        <v>-2.5552000000000001</v>
      </c>
      <c r="AU432" s="8">
        <v>-1.4327000000000001</v>
      </c>
      <c r="AV432" s="8">
        <v>-1.4922</v>
      </c>
      <c r="AW432" s="8">
        <v>-1.6326000000000001</v>
      </c>
      <c r="AX432" s="5">
        <v>104.1412</v>
      </c>
      <c r="AY432" s="5">
        <v>-2.5552000000000001</v>
      </c>
      <c r="AZ432" s="7" t="s">
        <v>95</v>
      </c>
    </row>
    <row r="433" spans="1:52" ht="18" customHeight="1" x14ac:dyDescent="0.25">
      <c r="A433" s="10">
        <v>216</v>
      </c>
      <c r="B433" s="10">
        <v>2</v>
      </c>
      <c r="C433" s="10">
        <v>216</v>
      </c>
      <c r="D433" s="86">
        <v>45826</v>
      </c>
      <c r="E433" s="86">
        <v>45828</v>
      </c>
      <c r="F433" s="86">
        <v>45834</v>
      </c>
      <c r="G433" s="11">
        <v>24812.05</v>
      </c>
      <c r="H433" s="11">
        <v>25112.400000000001</v>
      </c>
      <c r="I433" s="12"/>
      <c r="J433" s="12"/>
      <c r="K433" s="91">
        <f t="array" ref="K433">MAX(IF((D433&lt;[1]Nifty_D!$B$2:$B$6600)*(E433&gt;=[1]Nifty_D!$B$2:$B$6600),[1]Nifty_D!$F$2:$F$6600,""))</f>
        <v>25112.400000000001</v>
      </c>
      <c r="L433" s="92">
        <f t="shared" si="22"/>
        <v>1.2105005430829152E-2</v>
      </c>
      <c r="M433" s="91">
        <f t="shared" si="23"/>
        <v>13488.500000000002</v>
      </c>
      <c r="N433" s="93">
        <f t="array" ref="N433">INDEX([1]Nifty_D!$B$2:$B$6600,MATCH(E433,[1]Nifty_D!$B$2:$B$6600,0)-1)</f>
        <v>45827</v>
      </c>
      <c r="O433" s="89">
        <f>VLOOKUP(N433,[1]Nifty_D!$B$2:$F$6600,5,0)</f>
        <v>24793.25</v>
      </c>
      <c r="P433" s="92">
        <f t="shared" si="24"/>
        <v>-7.5769636124378703E-4</v>
      </c>
      <c r="Q433" s="12" t="s">
        <v>40</v>
      </c>
      <c r="R433" s="10">
        <v>25000</v>
      </c>
      <c r="S433" s="103">
        <f>MROUND(G433,500)</f>
        <v>25000</v>
      </c>
      <c r="T433" s="103">
        <f>S433-R433</f>
        <v>0</v>
      </c>
      <c r="U433" s="12" t="s">
        <v>92</v>
      </c>
      <c r="V433" s="10">
        <v>65</v>
      </c>
      <c r="W433" s="11">
        <v>300.85000000000002</v>
      </c>
      <c r="X433" s="11">
        <v>114.05</v>
      </c>
      <c r="Y433" s="13">
        <v>-0.78129999999999999</v>
      </c>
      <c r="Z433" s="13">
        <v>0.15379999999999999</v>
      </c>
      <c r="AA433" s="10">
        <v>0</v>
      </c>
      <c r="AB433" s="14">
        <v>0</v>
      </c>
      <c r="AC433" s="11">
        <v>-186.8</v>
      </c>
      <c r="AD433" s="14">
        <v>-7.5286000149121096E-3</v>
      </c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 t="s">
        <v>95</v>
      </c>
    </row>
    <row r="434" spans="1:52" ht="18" hidden="1" customHeight="1" x14ac:dyDescent="0.25">
      <c r="A434" s="4">
        <v>217</v>
      </c>
      <c r="B434" s="4">
        <v>1</v>
      </c>
      <c r="C434" s="4">
        <v>217</v>
      </c>
      <c r="D434" s="85">
        <v>45828</v>
      </c>
      <c r="E434" s="85">
        <v>45833</v>
      </c>
      <c r="F434" s="85">
        <v>45834</v>
      </c>
      <c r="G434" s="5">
        <v>25112.400000000001</v>
      </c>
      <c r="H434" s="5">
        <v>25244.75</v>
      </c>
      <c r="I434" s="5">
        <v>132.35</v>
      </c>
      <c r="J434" s="6">
        <v>5.2703047100237316E-3</v>
      </c>
      <c r="K434" s="91">
        <f t="array" ref="K434">MAX(IF((D434&lt;[1]Nifty_D!$B$2:$B$6600)*(E434&gt;=[1]Nifty_D!$B$2:$B$6600),[1]Nifty_D!$F$2:$F$6600,""))</f>
        <v>25244.75</v>
      </c>
      <c r="L434" s="92">
        <f t="shared" si="22"/>
        <v>5.2703047100237654E-3</v>
      </c>
      <c r="M434" s="91">
        <f t="shared" si="23"/>
        <v>13620.85</v>
      </c>
      <c r="N434" s="93">
        <f t="array" ref="N434">INDEX([1]Nifty_D!$B$2:$B$6600,MATCH(E434,[1]Nifty_D!$B$2:$B$6600,0)-1)</f>
        <v>45832</v>
      </c>
      <c r="O434" s="89">
        <f>VLOOKUP(N434,[1]Nifty_D!$B$2:$F$6600,5,0)</f>
        <v>25044.35</v>
      </c>
      <c r="P434" s="92">
        <f t="shared" si="24"/>
        <v>-2.7098166642774979E-3</v>
      </c>
      <c r="Q434" s="7" t="s">
        <v>28</v>
      </c>
      <c r="R434" s="4">
        <v>25100</v>
      </c>
      <c r="S434" s="102"/>
      <c r="T434" s="102"/>
      <c r="U434" s="7" t="s">
        <v>90</v>
      </c>
      <c r="V434" s="4">
        <v>65</v>
      </c>
      <c r="W434" s="5">
        <v>165.55</v>
      </c>
      <c r="X434" s="5">
        <v>176.35</v>
      </c>
      <c r="Y434" s="8">
        <v>-0.51549999999999996</v>
      </c>
      <c r="Z434" s="8">
        <v>0.47389999999999999</v>
      </c>
      <c r="AA434" s="5">
        <v>-10.8</v>
      </c>
      <c r="AB434" s="6">
        <v>-4.3006642136952261E-4</v>
      </c>
      <c r="AC434" s="4">
        <v>0</v>
      </c>
      <c r="AD434" s="6">
        <v>0</v>
      </c>
      <c r="AE434" s="5">
        <v>57995.5</v>
      </c>
      <c r="AF434" s="5">
        <v>58881.7</v>
      </c>
      <c r="AG434" s="5">
        <v>886.2</v>
      </c>
      <c r="AH434" s="5">
        <v>1.528</v>
      </c>
      <c r="AI434" s="4">
        <v>5</v>
      </c>
      <c r="AJ434" s="5">
        <v>-8.3333000000000004E-2</v>
      </c>
      <c r="AK434" s="5">
        <v>837.87040000000002</v>
      </c>
      <c r="AL434" s="5">
        <v>1.4447000000000001</v>
      </c>
      <c r="AM434" s="8">
        <v>-0.8397</v>
      </c>
      <c r="AN434" s="8">
        <v>1.5865</v>
      </c>
      <c r="AO434" s="15">
        <v>730.7704</v>
      </c>
      <c r="AP434" s="15">
        <v>1.0182</v>
      </c>
      <c r="AQ434" s="5">
        <v>105.2015</v>
      </c>
      <c r="AR434" s="5">
        <v>106.8719</v>
      </c>
      <c r="AS434" s="5">
        <v>-1.6704000000000001</v>
      </c>
      <c r="AT434" s="5">
        <v>-1.5629999999999999</v>
      </c>
      <c r="AU434" s="8">
        <v>0.67379999999999995</v>
      </c>
      <c r="AV434" s="8">
        <v>0.1835</v>
      </c>
      <c r="AW434" s="8">
        <v>0.1835</v>
      </c>
      <c r="AX434" s="5">
        <v>104.3323</v>
      </c>
      <c r="AY434" s="5">
        <v>-2.3763999999999998</v>
      </c>
      <c r="AZ434" s="7" t="s">
        <v>91</v>
      </c>
    </row>
    <row r="435" spans="1:52" ht="18" customHeight="1" x14ac:dyDescent="0.25">
      <c r="A435" s="10">
        <v>217</v>
      </c>
      <c r="B435" s="10">
        <v>2</v>
      </c>
      <c r="C435" s="10">
        <v>217</v>
      </c>
      <c r="D435" s="86">
        <v>45828</v>
      </c>
      <c r="E435" s="86">
        <v>45833</v>
      </c>
      <c r="F435" s="86">
        <v>45834</v>
      </c>
      <c r="G435" s="11">
        <v>25112.400000000001</v>
      </c>
      <c r="H435" s="11">
        <v>25244.75</v>
      </c>
      <c r="I435" s="12"/>
      <c r="J435" s="12"/>
      <c r="K435" s="91">
        <f t="array" ref="K435">MAX(IF((D435&lt;[1]Nifty_D!$B$2:$B$6600)*(E435&gt;=[1]Nifty_D!$B$2:$B$6600),[1]Nifty_D!$F$2:$F$6600,""))</f>
        <v>25244.75</v>
      </c>
      <c r="L435" s="92">
        <f t="shared" si="22"/>
        <v>5.2703047100237654E-3</v>
      </c>
      <c r="M435" s="91">
        <f t="shared" si="23"/>
        <v>13620.85</v>
      </c>
      <c r="N435" s="93">
        <f t="array" ref="N435">INDEX([1]Nifty_D!$B$2:$B$6600,MATCH(E435,[1]Nifty_D!$B$2:$B$6600,0)-1)</f>
        <v>45832</v>
      </c>
      <c r="O435" s="89">
        <f>VLOOKUP(N435,[1]Nifty_D!$B$2:$F$6600,5,0)</f>
        <v>25044.35</v>
      </c>
      <c r="P435" s="92">
        <f t="shared" si="24"/>
        <v>-2.7098166642774979E-3</v>
      </c>
      <c r="Q435" s="12" t="s">
        <v>40</v>
      </c>
      <c r="R435" s="10">
        <v>25000</v>
      </c>
      <c r="S435" s="103">
        <f>MROUND(G435,500)</f>
        <v>25000</v>
      </c>
      <c r="T435" s="103">
        <f>S435-R435</f>
        <v>0</v>
      </c>
      <c r="U435" s="12" t="s">
        <v>92</v>
      </c>
      <c r="V435" s="10">
        <v>65</v>
      </c>
      <c r="W435" s="11">
        <v>114.05</v>
      </c>
      <c r="X435" s="11">
        <v>17.75</v>
      </c>
      <c r="Y435" s="13">
        <v>-0.3972</v>
      </c>
      <c r="Z435" s="13">
        <v>0.54930000000000001</v>
      </c>
      <c r="AA435" s="10">
        <v>0</v>
      </c>
      <c r="AB435" s="14">
        <v>0</v>
      </c>
      <c r="AC435" s="11">
        <v>-96.3</v>
      </c>
      <c r="AD435" s="14">
        <v>-3.8347589238782432E-3</v>
      </c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 t="s">
        <v>91</v>
      </c>
    </row>
    <row r="436" spans="1:52" ht="18" hidden="1" customHeight="1" x14ac:dyDescent="0.25">
      <c r="A436" s="4">
        <v>218</v>
      </c>
      <c r="B436" s="4">
        <v>1</v>
      </c>
      <c r="C436" s="4">
        <v>218</v>
      </c>
      <c r="D436" s="85">
        <v>45833</v>
      </c>
      <c r="E436" s="85">
        <v>45834</v>
      </c>
      <c r="F436" s="85">
        <v>45841</v>
      </c>
      <c r="G436" s="5">
        <v>25244.75</v>
      </c>
      <c r="H436" s="4">
        <v>25549</v>
      </c>
      <c r="I436" s="5">
        <v>304.25</v>
      </c>
      <c r="J436" s="6">
        <v>1.205201081412967E-2</v>
      </c>
      <c r="K436" s="91">
        <f t="array" ref="K436">MAX(IF((D436&lt;[1]Nifty_D!$B$2:$B$6600)*(E436&gt;=[1]Nifty_D!$B$2:$B$6600),[1]Nifty_D!$F$2:$F$6600,""))</f>
        <v>25549</v>
      </c>
      <c r="L436" s="92">
        <f t="shared" si="22"/>
        <v>1.2052010814129765E-2</v>
      </c>
      <c r="M436" s="91">
        <f t="shared" si="23"/>
        <v>13925.1</v>
      </c>
      <c r="N436" s="93">
        <f t="array" ref="N436">INDEX([1]Nifty_D!$B$2:$B$6600,MATCH(E436,[1]Nifty_D!$B$2:$B$6600,0)-1)</f>
        <v>45833</v>
      </c>
      <c r="O436" s="89">
        <f>VLOOKUP(N436,[1]Nifty_D!$B$2:$F$6600,5,0)</f>
        <v>25244.75</v>
      </c>
      <c r="P436" s="92">
        <f t="shared" si="24"/>
        <v>0</v>
      </c>
      <c r="Q436" s="7" t="s">
        <v>28</v>
      </c>
      <c r="R436" s="4">
        <v>25200</v>
      </c>
      <c r="S436" s="102"/>
      <c r="T436" s="102"/>
      <c r="U436" s="7" t="s">
        <v>90</v>
      </c>
      <c r="V436" s="4">
        <v>65</v>
      </c>
      <c r="W436" s="5">
        <v>212.2</v>
      </c>
      <c r="X436" s="5">
        <v>390.95</v>
      </c>
      <c r="Y436" s="8">
        <v>-0.80989999999999995</v>
      </c>
      <c r="Z436" s="8">
        <v>5.62E-2</v>
      </c>
      <c r="AA436" s="5">
        <v>-178.75</v>
      </c>
      <c r="AB436" s="6">
        <v>-7.0806801414155423E-3</v>
      </c>
      <c r="AC436" s="4">
        <v>0</v>
      </c>
      <c r="AD436" s="6">
        <v>0</v>
      </c>
      <c r="AE436" s="5">
        <v>58881.7</v>
      </c>
      <c r="AF436" s="5">
        <v>59227.4</v>
      </c>
      <c r="AG436" s="5">
        <v>345.7</v>
      </c>
      <c r="AH436" s="5">
        <v>0.58709999999999996</v>
      </c>
      <c r="AI436" s="4">
        <v>1</v>
      </c>
      <c r="AJ436" s="5">
        <v>-1.6667000000000001E-2</v>
      </c>
      <c r="AK436" s="5">
        <v>335.88639999999998</v>
      </c>
      <c r="AL436" s="5">
        <v>0.57040000000000002</v>
      </c>
      <c r="AM436" s="8">
        <v>-0.26529999999999998</v>
      </c>
      <c r="AN436" s="8">
        <v>0.61729999999999996</v>
      </c>
      <c r="AO436" s="15">
        <v>72.586399999999998</v>
      </c>
      <c r="AP436" s="15">
        <v>-0.47260000000000002</v>
      </c>
      <c r="AQ436" s="5">
        <v>104.7043</v>
      </c>
      <c r="AR436" s="5">
        <v>106.8719</v>
      </c>
      <c r="AS436" s="5">
        <v>-2.1676000000000002</v>
      </c>
      <c r="AT436" s="5">
        <v>-2.0282</v>
      </c>
      <c r="AU436" s="8">
        <v>-0.53539999999999999</v>
      </c>
      <c r="AV436" s="8">
        <v>-0.223</v>
      </c>
      <c r="AW436" s="8">
        <v>-0.53539999999999999</v>
      </c>
      <c r="AX436" s="5">
        <v>104.6383</v>
      </c>
      <c r="AY436" s="5">
        <v>-2.09</v>
      </c>
      <c r="AZ436" s="7" t="s">
        <v>97</v>
      </c>
    </row>
    <row r="437" spans="1:52" ht="18" customHeight="1" x14ac:dyDescent="0.25">
      <c r="A437" s="10">
        <v>218</v>
      </c>
      <c r="B437" s="10">
        <v>2</v>
      </c>
      <c r="C437" s="10">
        <v>218</v>
      </c>
      <c r="D437" s="86">
        <v>45833</v>
      </c>
      <c r="E437" s="86">
        <v>45834</v>
      </c>
      <c r="F437" s="86">
        <v>45869</v>
      </c>
      <c r="G437" s="11">
        <v>25244.75</v>
      </c>
      <c r="H437" s="10">
        <v>25549</v>
      </c>
      <c r="I437" s="12"/>
      <c r="J437" s="12"/>
      <c r="K437" s="91">
        <f t="array" ref="K437">MAX(IF((D437&lt;[1]Nifty_D!$B$2:$B$6600)*(E437&gt;=[1]Nifty_D!$B$2:$B$6600),[1]Nifty_D!$F$2:$F$6600,""))</f>
        <v>25549</v>
      </c>
      <c r="L437" s="92">
        <f t="shared" si="22"/>
        <v>1.2052010814129765E-2</v>
      </c>
      <c r="M437" s="91">
        <f t="shared" si="23"/>
        <v>13925.1</v>
      </c>
      <c r="N437" s="93">
        <f t="array" ref="N437">INDEX([1]Nifty_D!$B$2:$B$6600,MATCH(E437,[1]Nifty_D!$B$2:$B$6600,0)-1)</f>
        <v>45833</v>
      </c>
      <c r="O437" s="89">
        <f>VLOOKUP(N437,[1]Nifty_D!$B$2:$F$6600,5,0)</f>
        <v>25244.75</v>
      </c>
      <c r="P437" s="92">
        <f t="shared" si="24"/>
        <v>0</v>
      </c>
      <c r="Q437" s="12" t="s">
        <v>40</v>
      </c>
      <c r="R437" s="10">
        <v>25000</v>
      </c>
      <c r="S437" s="103">
        <f>MROUND(G437,500)</f>
        <v>25000</v>
      </c>
      <c r="T437" s="103">
        <f>S437-R437</f>
        <v>0</v>
      </c>
      <c r="U437" s="12" t="s">
        <v>92</v>
      </c>
      <c r="V437" s="10">
        <v>65</v>
      </c>
      <c r="W437" s="11">
        <v>249.2</v>
      </c>
      <c r="X437" s="11">
        <v>164.65</v>
      </c>
      <c r="Y437" s="13">
        <v>-0.34279999999999999</v>
      </c>
      <c r="Z437" s="13">
        <v>-1.3899999999999999E-2</v>
      </c>
      <c r="AA437" s="10">
        <v>0</v>
      </c>
      <c r="AB437" s="14">
        <v>0</v>
      </c>
      <c r="AC437" s="11">
        <v>-84.55</v>
      </c>
      <c r="AD437" s="14">
        <v>-3.3492112221352949E-3</v>
      </c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 t="s">
        <v>97</v>
      </c>
    </row>
    <row r="438" spans="1:52" ht="18" hidden="1" customHeight="1" x14ac:dyDescent="0.25">
      <c r="A438" s="4">
        <v>219</v>
      </c>
      <c r="B438" s="4">
        <v>1</v>
      </c>
      <c r="C438" s="4">
        <v>219</v>
      </c>
      <c r="D438" s="85">
        <v>45834</v>
      </c>
      <c r="E438" s="85">
        <v>45840</v>
      </c>
      <c r="F438" s="85">
        <v>45841</v>
      </c>
      <c r="G438" s="4">
        <v>25549</v>
      </c>
      <c r="H438" s="5">
        <v>25453.4</v>
      </c>
      <c r="I438" s="5">
        <v>-95.6</v>
      </c>
      <c r="J438" s="6">
        <v>-3.7418294258092289E-3</v>
      </c>
      <c r="K438" s="91">
        <f t="array" ref="K438">MAX(IF((D438&lt;[1]Nifty_D!$B$2:$B$6600)*(E438&gt;=[1]Nifty_D!$B$2:$B$6600),[1]Nifty_D!$F$2:$F$6600,""))</f>
        <v>25637.8</v>
      </c>
      <c r="L438" s="92">
        <f t="shared" si="22"/>
        <v>3.4756741946846414E-3</v>
      </c>
      <c r="M438" s="91">
        <f t="shared" si="23"/>
        <v>14013.9</v>
      </c>
      <c r="N438" s="93">
        <f t="array" ref="N438">INDEX([1]Nifty_D!$B$2:$B$6600,MATCH(E438,[1]Nifty_D!$B$2:$B$6600,0)-1)</f>
        <v>45839</v>
      </c>
      <c r="O438" s="89">
        <f>VLOOKUP(N438,[1]Nifty_D!$B$2:$F$6600,5,0)</f>
        <v>25541.8</v>
      </c>
      <c r="P438" s="92">
        <f t="shared" si="24"/>
        <v>-2.8181142119065861E-4</v>
      </c>
      <c r="Q438" s="7" t="s">
        <v>28</v>
      </c>
      <c r="R438" s="4">
        <v>25500</v>
      </c>
      <c r="S438" s="102"/>
      <c r="T438" s="102"/>
      <c r="U438" s="7" t="s">
        <v>90</v>
      </c>
      <c r="V438" s="4">
        <v>65</v>
      </c>
      <c r="W438" s="5">
        <v>183.55</v>
      </c>
      <c r="X438" s="5">
        <v>49.7</v>
      </c>
      <c r="Y438" s="8">
        <v>-0.30309999999999998</v>
      </c>
      <c r="Z438" s="8">
        <v>0.59940000000000004</v>
      </c>
      <c r="AA438" s="5">
        <v>133.85</v>
      </c>
      <c r="AB438" s="6">
        <v>5.2389526008845746E-3</v>
      </c>
      <c r="AC438" s="4">
        <v>0</v>
      </c>
      <c r="AD438" s="6">
        <v>0</v>
      </c>
      <c r="AE438" s="5">
        <v>59227.4</v>
      </c>
      <c r="AF438" s="5">
        <v>59667.25</v>
      </c>
      <c r="AG438" s="5">
        <v>439.85</v>
      </c>
      <c r="AH438" s="5">
        <v>0.74260000000000004</v>
      </c>
      <c r="AI438" s="4">
        <v>6</v>
      </c>
      <c r="AJ438" s="5">
        <v>-0.1</v>
      </c>
      <c r="AK438" s="5">
        <v>380.62259999999998</v>
      </c>
      <c r="AL438" s="5">
        <v>0.64259999999999995</v>
      </c>
      <c r="AM438" s="8">
        <v>0.1265</v>
      </c>
      <c r="AN438" s="8">
        <v>1.0716000000000001</v>
      </c>
      <c r="AO438" s="15">
        <v>508.02260000000001</v>
      </c>
      <c r="AP438" s="15">
        <v>1.1412</v>
      </c>
      <c r="AQ438" s="5">
        <v>105.89919999999999</v>
      </c>
      <c r="AR438" s="5">
        <v>106.8719</v>
      </c>
      <c r="AS438" s="5">
        <v>-0.97270000000000001</v>
      </c>
      <c r="AT438" s="5">
        <v>-0.91020000000000001</v>
      </c>
      <c r="AU438" s="8">
        <v>0.45190000000000002</v>
      </c>
      <c r="AV438" s="8">
        <v>0.83430000000000004</v>
      </c>
      <c r="AW438" s="8">
        <v>0.45190000000000002</v>
      </c>
      <c r="AX438" s="5">
        <v>105.17749999999999</v>
      </c>
      <c r="AY438" s="5">
        <v>-1.5854999999999999</v>
      </c>
      <c r="AZ438" s="7" t="s">
        <v>91</v>
      </c>
    </row>
    <row r="439" spans="1:52" ht="18" customHeight="1" x14ac:dyDescent="0.25">
      <c r="A439" s="10">
        <v>219</v>
      </c>
      <c r="B439" s="10">
        <v>2</v>
      </c>
      <c r="C439" s="10">
        <v>219</v>
      </c>
      <c r="D439" s="86">
        <v>45834</v>
      </c>
      <c r="E439" s="86">
        <v>45840</v>
      </c>
      <c r="F439" s="86">
        <v>45869</v>
      </c>
      <c r="G439" s="10">
        <v>25549</v>
      </c>
      <c r="H439" s="11">
        <v>25453.4</v>
      </c>
      <c r="I439" s="12"/>
      <c r="J439" s="12"/>
      <c r="K439" s="91">
        <f t="array" ref="K439">MAX(IF((D439&lt;[1]Nifty_D!$B$2:$B$6600)*(E439&gt;=[1]Nifty_D!$B$2:$B$6600),[1]Nifty_D!$F$2:$F$6600,""))</f>
        <v>25637.8</v>
      </c>
      <c r="L439" s="92">
        <f t="shared" si="22"/>
        <v>3.4756741946846414E-3</v>
      </c>
      <c r="M439" s="91">
        <f t="shared" si="23"/>
        <v>14013.9</v>
      </c>
      <c r="N439" s="93">
        <f t="array" ref="N439">INDEX([1]Nifty_D!$B$2:$B$6600,MATCH(E439,[1]Nifty_D!$B$2:$B$6600,0)-1)</f>
        <v>45839</v>
      </c>
      <c r="O439" s="89">
        <f>VLOOKUP(N439,[1]Nifty_D!$B$2:$F$6600,5,0)</f>
        <v>25541.8</v>
      </c>
      <c r="P439" s="92">
        <f t="shared" si="24"/>
        <v>-2.8181142119065861E-4</v>
      </c>
      <c r="Q439" s="12" t="s">
        <v>40</v>
      </c>
      <c r="R439" s="10">
        <v>25500</v>
      </c>
      <c r="S439" s="103">
        <f>MROUND(G439,500)</f>
        <v>25500</v>
      </c>
      <c r="T439" s="103">
        <f>S439-R439</f>
        <v>0</v>
      </c>
      <c r="U439" s="12" t="s">
        <v>92</v>
      </c>
      <c r="V439" s="10">
        <v>65</v>
      </c>
      <c r="W439" s="11">
        <v>320.8</v>
      </c>
      <c r="X439" s="11">
        <v>314.35000000000002</v>
      </c>
      <c r="Y439" s="13">
        <v>-0.31659999999999999</v>
      </c>
      <c r="Z439" s="13">
        <v>0.1084</v>
      </c>
      <c r="AA439" s="10">
        <v>0</v>
      </c>
      <c r="AB439" s="14">
        <v>0</v>
      </c>
      <c r="AC439" s="11">
        <v>-6.45</v>
      </c>
      <c r="AD439" s="14">
        <v>-2.5245606481662692E-4</v>
      </c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 t="s">
        <v>91</v>
      </c>
    </row>
    <row r="440" spans="1:52" ht="18" hidden="1" customHeight="1" x14ac:dyDescent="0.25">
      <c r="A440" s="4">
        <v>220</v>
      </c>
      <c r="B440" s="4">
        <v>1</v>
      </c>
      <c r="C440" s="4">
        <v>220</v>
      </c>
      <c r="D440" s="85">
        <v>45840</v>
      </c>
      <c r="E440" s="85">
        <v>45847</v>
      </c>
      <c r="F440" s="85">
        <v>45848</v>
      </c>
      <c r="G440" s="5">
        <v>25453.4</v>
      </c>
      <c r="H440" s="5">
        <v>25476.1</v>
      </c>
      <c r="I440" s="5">
        <v>22.7</v>
      </c>
      <c r="J440" s="6">
        <v>8.9182584644880445E-4</v>
      </c>
      <c r="K440" s="91">
        <f t="array" ref="K440">MAX(IF((D440&lt;[1]Nifty_D!$B$2:$B$6600)*(E440&gt;=[1]Nifty_D!$B$2:$B$6600),[1]Nifty_D!$F$2:$F$6600,""))</f>
        <v>25522.5</v>
      </c>
      <c r="L440" s="92">
        <f t="shared" si="22"/>
        <v>2.7147650215688657E-3</v>
      </c>
      <c r="M440" s="91">
        <f t="shared" si="23"/>
        <v>13898.6</v>
      </c>
      <c r="N440" s="93">
        <f t="array" ref="N440">INDEX([1]Nifty_D!$B$2:$B$6600,MATCH(E440,[1]Nifty_D!$B$2:$B$6600,0)-1)</f>
        <v>45846</v>
      </c>
      <c r="O440" s="89">
        <f>VLOOKUP(N440,[1]Nifty_D!$B$2:$F$6600,5,0)</f>
        <v>25522.5</v>
      </c>
      <c r="P440" s="92">
        <f t="shared" si="24"/>
        <v>2.7147650215688657E-3</v>
      </c>
      <c r="Q440" s="7" t="s">
        <v>28</v>
      </c>
      <c r="R440" s="4">
        <v>25500</v>
      </c>
      <c r="S440" s="102"/>
      <c r="T440" s="102"/>
      <c r="U440" s="7" t="s">
        <v>90</v>
      </c>
      <c r="V440" s="4">
        <v>65</v>
      </c>
      <c r="W440" s="5">
        <v>161.44999999999999</v>
      </c>
      <c r="X440" s="5">
        <v>62.2</v>
      </c>
      <c r="Y440" s="8">
        <v>-0.23</v>
      </c>
      <c r="Z440" s="8">
        <v>0.43369999999999997</v>
      </c>
      <c r="AA440" s="5">
        <v>99.25</v>
      </c>
      <c r="AB440" s="6">
        <v>3.8992826105746191E-3</v>
      </c>
      <c r="AC440" s="4">
        <v>0</v>
      </c>
      <c r="AD440" s="6">
        <v>0</v>
      </c>
      <c r="AE440" s="5">
        <v>59667.25</v>
      </c>
      <c r="AF440" s="5">
        <v>59339.6</v>
      </c>
      <c r="AG440" s="5">
        <v>-327.64999999999998</v>
      </c>
      <c r="AH440" s="5">
        <v>-0.54910000000000003</v>
      </c>
      <c r="AI440" s="4">
        <v>7</v>
      </c>
      <c r="AJ440" s="5">
        <v>-0.11666700000000001</v>
      </c>
      <c r="AK440" s="5">
        <v>-397.26179999999999</v>
      </c>
      <c r="AL440" s="5">
        <v>-0.66579999999999995</v>
      </c>
      <c r="AM440" s="8">
        <v>-1.2577</v>
      </c>
      <c r="AN440" s="8">
        <v>0.46639999999999998</v>
      </c>
      <c r="AO440" s="9">
        <v>-365.06180000000001</v>
      </c>
      <c r="AP440" s="9">
        <v>-0.5393</v>
      </c>
      <c r="AQ440" s="5">
        <v>105.32810000000001</v>
      </c>
      <c r="AR440" s="5">
        <v>106.8719</v>
      </c>
      <c r="AS440" s="5">
        <v>-1.5438000000000001</v>
      </c>
      <c r="AT440" s="5">
        <v>-1.4446000000000001</v>
      </c>
      <c r="AU440" s="8">
        <v>-0.15590000000000001</v>
      </c>
      <c r="AV440" s="8">
        <v>-0.58950000000000002</v>
      </c>
      <c r="AW440" s="8">
        <v>-0.58950000000000002</v>
      </c>
      <c r="AX440" s="5">
        <v>105.27500000000001</v>
      </c>
      <c r="AY440" s="5">
        <v>-1.4943</v>
      </c>
      <c r="AZ440" s="7" t="s">
        <v>91</v>
      </c>
    </row>
    <row r="441" spans="1:52" ht="18" customHeight="1" x14ac:dyDescent="0.25">
      <c r="A441" s="10">
        <v>220</v>
      </c>
      <c r="B441" s="10">
        <v>2</v>
      </c>
      <c r="C441" s="10">
        <v>220</v>
      </c>
      <c r="D441" s="86">
        <v>45840</v>
      </c>
      <c r="E441" s="86">
        <v>45847</v>
      </c>
      <c r="F441" s="86">
        <v>45869</v>
      </c>
      <c r="G441" s="11">
        <v>25453.4</v>
      </c>
      <c r="H441" s="11">
        <v>25476.1</v>
      </c>
      <c r="I441" s="12"/>
      <c r="J441" s="12"/>
      <c r="K441" s="91">
        <f t="array" ref="K441">MAX(IF((D441&lt;[1]Nifty_D!$B$2:$B$6600)*(E441&gt;=[1]Nifty_D!$B$2:$B$6600),[1]Nifty_D!$F$2:$F$6600,""))</f>
        <v>25522.5</v>
      </c>
      <c r="L441" s="92">
        <f t="shared" si="22"/>
        <v>2.7147650215688657E-3</v>
      </c>
      <c r="M441" s="91">
        <f t="shared" si="23"/>
        <v>13898.6</v>
      </c>
      <c r="N441" s="93">
        <f t="array" ref="N441">INDEX([1]Nifty_D!$B$2:$B$6600,MATCH(E441,[1]Nifty_D!$B$2:$B$6600,0)-1)</f>
        <v>45846</v>
      </c>
      <c r="O441" s="89">
        <f>VLOOKUP(N441,[1]Nifty_D!$B$2:$F$6600,5,0)</f>
        <v>25522.5</v>
      </c>
      <c r="P441" s="92">
        <f t="shared" si="24"/>
        <v>2.7147650215688657E-3</v>
      </c>
      <c r="Q441" s="12" t="s">
        <v>40</v>
      </c>
      <c r="R441" s="10">
        <v>25500</v>
      </c>
      <c r="S441" s="103">
        <f>MROUND(G441,500)</f>
        <v>25500</v>
      </c>
      <c r="T441" s="103">
        <f>S441-R441</f>
        <v>0</v>
      </c>
      <c r="U441" s="12" t="s">
        <v>92</v>
      </c>
      <c r="V441" s="10">
        <v>65</v>
      </c>
      <c r="W441" s="11">
        <v>314.35000000000002</v>
      </c>
      <c r="X441" s="11">
        <v>247.3</v>
      </c>
      <c r="Y441" s="13">
        <v>-0.39229999999999998</v>
      </c>
      <c r="Z441" s="13">
        <v>0.23449999999999999</v>
      </c>
      <c r="AA441" s="10">
        <v>0</v>
      </c>
      <c r="AB441" s="14">
        <v>0</v>
      </c>
      <c r="AC441" s="11">
        <v>-67.05</v>
      </c>
      <c r="AD441" s="14">
        <v>-2.634225683012878E-3</v>
      </c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 t="s">
        <v>91</v>
      </c>
    </row>
    <row r="442" spans="1:52" ht="18" hidden="1" customHeight="1" x14ac:dyDescent="0.25">
      <c r="A442" s="4">
        <v>221</v>
      </c>
      <c r="B442" s="4">
        <v>1</v>
      </c>
      <c r="C442" s="4">
        <v>221</v>
      </c>
      <c r="D442" s="85">
        <v>45847</v>
      </c>
      <c r="E442" s="85">
        <v>45854</v>
      </c>
      <c r="F442" s="85">
        <v>45855</v>
      </c>
      <c r="G442" s="5">
        <v>25476.1</v>
      </c>
      <c r="H442" s="5">
        <v>25212.05</v>
      </c>
      <c r="I442" s="5">
        <v>-264.05</v>
      </c>
      <c r="J442" s="6">
        <v>-1.0364616248169849E-2</v>
      </c>
      <c r="K442" s="91">
        <f t="array" ref="K442">MAX(IF((D442&lt;[1]Nifty_D!$B$2:$B$6600)*(E442&gt;=[1]Nifty_D!$B$2:$B$6600),[1]Nifty_D!$F$2:$F$6600,""))</f>
        <v>25355.25</v>
      </c>
      <c r="L442" s="92">
        <f t="shared" si="22"/>
        <v>-4.7436617064621212E-3</v>
      </c>
      <c r="M442" s="91">
        <f t="shared" si="23"/>
        <v>13731.35</v>
      </c>
      <c r="N442" s="93">
        <f t="array" ref="N442">INDEX([1]Nifty_D!$B$2:$B$6600,MATCH(E442,[1]Nifty_D!$B$2:$B$6600,0)-1)</f>
        <v>45853</v>
      </c>
      <c r="O442" s="89">
        <f>VLOOKUP(N442,[1]Nifty_D!$B$2:$F$6600,5,0)</f>
        <v>25195.8</v>
      </c>
      <c r="P442" s="92">
        <f t="shared" si="24"/>
        <v>-1.1002468980730984E-2</v>
      </c>
      <c r="Q442" s="7" t="s">
        <v>28</v>
      </c>
      <c r="R442" s="4">
        <v>25500</v>
      </c>
      <c r="S442" s="102"/>
      <c r="T442" s="102"/>
      <c r="U442" s="7" t="s">
        <v>90</v>
      </c>
      <c r="V442" s="4">
        <v>65</v>
      </c>
      <c r="W442" s="5">
        <v>166.65</v>
      </c>
      <c r="X442" s="5">
        <v>5.3</v>
      </c>
      <c r="Y442" s="8">
        <v>-8.3400000000000002E-2</v>
      </c>
      <c r="Z442" s="8">
        <v>0.63859999999999995</v>
      </c>
      <c r="AA442" s="5">
        <v>161.35</v>
      </c>
      <c r="AB442" s="6">
        <v>6.3333869783836613E-3</v>
      </c>
      <c r="AC442" s="4">
        <v>0</v>
      </c>
      <c r="AD442" s="6">
        <v>0</v>
      </c>
      <c r="AE442" s="5">
        <v>59339.6</v>
      </c>
      <c r="AF442" s="5">
        <v>59620.65</v>
      </c>
      <c r="AG442" s="5">
        <v>281.05</v>
      </c>
      <c r="AH442" s="5">
        <v>0.47360000000000002</v>
      </c>
      <c r="AI442" s="4">
        <v>7</v>
      </c>
      <c r="AJ442" s="5">
        <v>-0.11666700000000001</v>
      </c>
      <c r="AK442" s="5">
        <v>211.82050000000001</v>
      </c>
      <c r="AL442" s="5">
        <v>0.35699999999999998</v>
      </c>
      <c r="AM442" s="8">
        <v>-1.5087999999999999</v>
      </c>
      <c r="AN442" s="8">
        <v>0.63770000000000004</v>
      </c>
      <c r="AO442" s="15">
        <v>473.6705</v>
      </c>
      <c r="AP442" s="15">
        <v>1.3848</v>
      </c>
      <c r="AQ442" s="5">
        <v>106.7867</v>
      </c>
      <c r="AR442" s="5">
        <v>106.8719</v>
      </c>
      <c r="AS442" s="5">
        <v>-8.5199999999999998E-2</v>
      </c>
      <c r="AT442" s="5">
        <v>-7.9799999999999996E-2</v>
      </c>
      <c r="AU442" s="8">
        <v>0.52110000000000001</v>
      </c>
      <c r="AV442" s="8">
        <v>0.15290000000000001</v>
      </c>
      <c r="AW442" s="8">
        <v>0.15290000000000001</v>
      </c>
      <c r="AX442" s="5">
        <v>105.4892</v>
      </c>
      <c r="AY442" s="5">
        <v>-1.2939000000000001</v>
      </c>
      <c r="AZ442" s="7" t="s">
        <v>91</v>
      </c>
    </row>
    <row r="443" spans="1:52" ht="18" customHeight="1" x14ac:dyDescent="0.25">
      <c r="A443" s="10">
        <v>221</v>
      </c>
      <c r="B443" s="10">
        <v>2</v>
      </c>
      <c r="C443" s="10">
        <v>221</v>
      </c>
      <c r="D443" s="86">
        <v>45847</v>
      </c>
      <c r="E443" s="86">
        <v>45854</v>
      </c>
      <c r="F443" s="86">
        <v>45869</v>
      </c>
      <c r="G443" s="11">
        <v>25476.1</v>
      </c>
      <c r="H443" s="11">
        <v>25212.05</v>
      </c>
      <c r="I443" s="12"/>
      <c r="J443" s="12"/>
      <c r="K443" s="91">
        <f t="array" ref="K443">MAX(IF((D443&lt;[1]Nifty_D!$B$2:$B$6600)*(E443&gt;=[1]Nifty_D!$B$2:$B$6600),[1]Nifty_D!$F$2:$F$6600,""))</f>
        <v>25355.25</v>
      </c>
      <c r="L443" s="92">
        <f t="shared" si="22"/>
        <v>-4.7436617064621212E-3</v>
      </c>
      <c r="M443" s="91">
        <f t="shared" si="23"/>
        <v>13731.35</v>
      </c>
      <c r="N443" s="93">
        <f t="array" ref="N443">INDEX([1]Nifty_D!$B$2:$B$6600,MATCH(E443,[1]Nifty_D!$B$2:$B$6600,0)-1)</f>
        <v>45853</v>
      </c>
      <c r="O443" s="89">
        <f>VLOOKUP(N443,[1]Nifty_D!$B$2:$F$6600,5,0)</f>
        <v>25195.8</v>
      </c>
      <c r="P443" s="92">
        <f t="shared" si="24"/>
        <v>-1.1002468980730984E-2</v>
      </c>
      <c r="Q443" s="12" t="s">
        <v>40</v>
      </c>
      <c r="R443" s="10">
        <v>25500</v>
      </c>
      <c r="S443" s="103">
        <f>MROUND(G443,500)</f>
        <v>25500</v>
      </c>
      <c r="T443" s="103">
        <f>S443-R443</f>
        <v>0</v>
      </c>
      <c r="U443" s="12" t="s">
        <v>92</v>
      </c>
      <c r="V443" s="10">
        <v>65</v>
      </c>
      <c r="W443" s="11">
        <v>247.3</v>
      </c>
      <c r="X443" s="11">
        <v>347.8</v>
      </c>
      <c r="Y443" s="13">
        <v>-3.32E-2</v>
      </c>
      <c r="Z443" s="13">
        <v>1.0230999999999999</v>
      </c>
      <c r="AA443" s="10">
        <v>0</v>
      </c>
      <c r="AB443" s="14">
        <v>0</v>
      </c>
      <c r="AC443" s="11">
        <v>100.5</v>
      </c>
      <c r="AD443" s="14">
        <v>3.9448738229163807E-3</v>
      </c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 t="s">
        <v>91</v>
      </c>
    </row>
    <row r="444" spans="1:52" ht="18" hidden="1" customHeight="1" x14ac:dyDescent="0.25">
      <c r="A444" s="4">
        <v>222</v>
      </c>
      <c r="B444" s="4">
        <v>1</v>
      </c>
      <c r="C444" s="4">
        <v>222</v>
      </c>
      <c r="D444" s="85">
        <v>45854</v>
      </c>
      <c r="E444" s="85">
        <v>45861</v>
      </c>
      <c r="F444" s="85">
        <v>45862</v>
      </c>
      <c r="G444" s="5">
        <v>25212.05</v>
      </c>
      <c r="H444" s="5">
        <v>25219.9</v>
      </c>
      <c r="I444" s="5">
        <v>7.85</v>
      </c>
      <c r="J444" s="6">
        <v>3.1135905251655462E-4</v>
      </c>
      <c r="K444" s="91">
        <f t="array" ref="K444">MAX(IF((D444&lt;[1]Nifty_D!$B$2:$B$6600)*(E444&gt;=[1]Nifty_D!$B$2:$B$6600),[1]Nifty_D!$F$2:$F$6600,""))</f>
        <v>25219.9</v>
      </c>
      <c r="L444" s="92">
        <f t="shared" si="22"/>
        <v>3.1135905251655771E-4</v>
      </c>
      <c r="M444" s="91">
        <f t="shared" si="23"/>
        <v>13596.000000000002</v>
      </c>
      <c r="N444" s="93">
        <f t="array" ref="N444">INDEX([1]Nifty_D!$B$2:$B$6600,MATCH(E444,[1]Nifty_D!$B$2:$B$6600,0)-1)</f>
        <v>45860</v>
      </c>
      <c r="O444" s="89">
        <f>VLOOKUP(N444,[1]Nifty_D!$B$2:$F$6600,5,0)</f>
        <v>25060.9</v>
      </c>
      <c r="P444" s="92">
        <f t="shared" si="24"/>
        <v>-5.9951491449524719E-3</v>
      </c>
      <c r="Q444" s="7" t="s">
        <v>28</v>
      </c>
      <c r="R444" s="4">
        <v>25200</v>
      </c>
      <c r="S444" s="102"/>
      <c r="T444" s="102"/>
      <c r="U444" s="7" t="s">
        <v>90</v>
      </c>
      <c r="V444" s="4">
        <v>65</v>
      </c>
      <c r="W444" s="5">
        <v>158.15</v>
      </c>
      <c r="X444" s="5">
        <v>63.6</v>
      </c>
      <c r="Y444" s="8">
        <v>-3.5900000000000001E-2</v>
      </c>
      <c r="Z444" s="8">
        <v>0.52669999999999995</v>
      </c>
      <c r="AA444" s="5">
        <v>94.55</v>
      </c>
      <c r="AB444" s="6">
        <v>3.7501908809478009E-3</v>
      </c>
      <c r="AC444" s="4">
        <v>0</v>
      </c>
      <c r="AD444" s="6">
        <v>0</v>
      </c>
      <c r="AE444" s="5">
        <v>59620.65</v>
      </c>
      <c r="AF444" s="5">
        <v>59307.1</v>
      </c>
      <c r="AG444" s="5">
        <v>-313.55</v>
      </c>
      <c r="AH444" s="5">
        <v>-0.52590000000000003</v>
      </c>
      <c r="AI444" s="4">
        <v>7</v>
      </c>
      <c r="AJ444" s="5">
        <v>-0.11666700000000001</v>
      </c>
      <c r="AK444" s="5">
        <v>-383.10739999999998</v>
      </c>
      <c r="AL444" s="5">
        <v>-0.64259999999999995</v>
      </c>
      <c r="AM444" s="8">
        <v>-1.4683999999999999</v>
      </c>
      <c r="AN444" s="8">
        <v>0.26879999999999998</v>
      </c>
      <c r="AO444" s="9">
        <v>-348.00740000000002</v>
      </c>
      <c r="AP444" s="9">
        <v>-0.50339999999999996</v>
      </c>
      <c r="AQ444" s="5">
        <v>106.2491</v>
      </c>
      <c r="AR444" s="5">
        <v>106.8719</v>
      </c>
      <c r="AS444" s="5">
        <v>-0.62280000000000002</v>
      </c>
      <c r="AT444" s="5">
        <v>-0.58279999999999998</v>
      </c>
      <c r="AU444" s="8">
        <v>-2.53E-2</v>
      </c>
      <c r="AV444" s="8">
        <v>6.3799999999999996E-2</v>
      </c>
      <c r="AW444" s="8">
        <v>-0.50339999999999996</v>
      </c>
      <c r="AX444" s="5">
        <v>106.2491</v>
      </c>
      <c r="AY444" s="5">
        <v>-0.58279999999999998</v>
      </c>
      <c r="AZ444" s="7" t="s">
        <v>91</v>
      </c>
    </row>
    <row r="445" spans="1:52" ht="18" customHeight="1" x14ac:dyDescent="0.25">
      <c r="A445" s="10">
        <v>222</v>
      </c>
      <c r="B445" s="10">
        <v>2</v>
      </c>
      <c r="C445" s="10">
        <v>222</v>
      </c>
      <c r="D445" s="86">
        <v>45854</v>
      </c>
      <c r="E445" s="86">
        <v>45861</v>
      </c>
      <c r="F445" s="86">
        <v>45869</v>
      </c>
      <c r="G445" s="11">
        <v>25212.05</v>
      </c>
      <c r="H445" s="11">
        <v>25219.9</v>
      </c>
      <c r="I445" s="12"/>
      <c r="J445" s="12"/>
      <c r="K445" s="91">
        <f t="array" ref="K445">MAX(IF((D445&lt;[1]Nifty_D!$B$2:$B$6600)*(E445&gt;=[1]Nifty_D!$B$2:$B$6600),[1]Nifty_D!$F$2:$F$6600,""))</f>
        <v>25219.9</v>
      </c>
      <c r="L445" s="92">
        <f t="shared" si="22"/>
        <v>3.1135905251655771E-4</v>
      </c>
      <c r="M445" s="91">
        <f t="shared" si="23"/>
        <v>13596.000000000002</v>
      </c>
      <c r="N445" s="93">
        <f t="array" ref="N445">INDEX([1]Nifty_D!$B$2:$B$6600,MATCH(E445,[1]Nifty_D!$B$2:$B$6600,0)-1)</f>
        <v>45860</v>
      </c>
      <c r="O445" s="89">
        <f>VLOOKUP(N445,[1]Nifty_D!$B$2:$F$6600,5,0)</f>
        <v>25060.9</v>
      </c>
      <c r="P445" s="92">
        <f t="shared" si="24"/>
        <v>-5.9951491449524719E-3</v>
      </c>
      <c r="Q445" s="12" t="s">
        <v>40</v>
      </c>
      <c r="R445" s="10">
        <v>25500</v>
      </c>
      <c r="S445" s="103">
        <f>MROUND(G445,500)</f>
        <v>25000</v>
      </c>
      <c r="T445" s="103">
        <f>S445-R445</f>
        <v>-500</v>
      </c>
      <c r="U445" s="12" t="s">
        <v>92</v>
      </c>
      <c r="V445" s="10">
        <v>65</v>
      </c>
      <c r="W445" s="11">
        <v>347.8</v>
      </c>
      <c r="X445" s="11">
        <v>288.35000000000002</v>
      </c>
      <c r="Y445" s="13">
        <v>-0.25819999999999999</v>
      </c>
      <c r="Z445" s="13">
        <v>1.0055000000000001</v>
      </c>
      <c r="AA445" s="10">
        <v>0</v>
      </c>
      <c r="AB445" s="14">
        <v>0</v>
      </c>
      <c r="AC445" s="11">
        <v>-59.45</v>
      </c>
      <c r="AD445" s="14">
        <v>-2.3579994486763269E-3</v>
      </c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 t="s">
        <v>91</v>
      </c>
    </row>
    <row r="446" spans="1:52" ht="18" hidden="1" customHeight="1" x14ac:dyDescent="0.25">
      <c r="A446" s="4">
        <v>223</v>
      </c>
      <c r="B446" s="4">
        <v>1</v>
      </c>
      <c r="C446" s="4">
        <v>223</v>
      </c>
      <c r="D446" s="85">
        <v>45861</v>
      </c>
      <c r="E446" s="85">
        <v>45868</v>
      </c>
      <c r="F446" s="85">
        <v>45869</v>
      </c>
      <c r="G446" s="5">
        <v>25219.9</v>
      </c>
      <c r="H446" s="5">
        <v>24855.05</v>
      </c>
      <c r="I446" s="5">
        <v>-364.85</v>
      </c>
      <c r="J446" s="6">
        <v>-1.446675046292809E-2</v>
      </c>
      <c r="K446" s="91">
        <f t="array" ref="K446">MAX(IF((D446&lt;[1]Nifty_D!$B$2:$B$6600)*(E446&gt;=[1]Nifty_D!$B$2:$B$6600),[1]Nifty_D!$F$2:$F$6600,""))</f>
        <v>25062.1</v>
      </c>
      <c r="L446" s="92">
        <f t="shared" si="22"/>
        <v>-6.2569637468825601E-3</v>
      </c>
      <c r="M446" s="91">
        <f t="shared" si="23"/>
        <v>13438.199999999999</v>
      </c>
      <c r="N446" s="93">
        <f t="array" ref="N446">INDEX([1]Nifty_D!$B$2:$B$6600,MATCH(E446,[1]Nifty_D!$B$2:$B$6600,0)-1)</f>
        <v>45867</v>
      </c>
      <c r="O446" s="89">
        <f>VLOOKUP(N446,[1]Nifty_D!$B$2:$F$6600,5,0)</f>
        <v>24821.1</v>
      </c>
      <c r="P446" s="92">
        <f t="shared" si="24"/>
        <v>-1.5812909646747308E-2</v>
      </c>
      <c r="Q446" s="7" t="s">
        <v>28</v>
      </c>
      <c r="R446" s="4">
        <v>25200</v>
      </c>
      <c r="S446" s="102"/>
      <c r="T446" s="102"/>
      <c r="U446" s="7" t="s">
        <v>90</v>
      </c>
      <c r="V446" s="4">
        <v>65</v>
      </c>
      <c r="W446" s="5">
        <v>160.19999999999999</v>
      </c>
      <c r="X446" s="5">
        <v>4.5</v>
      </c>
      <c r="Y446" s="8">
        <v>-4.36E-2</v>
      </c>
      <c r="Z446" s="8">
        <v>0.61990000000000001</v>
      </c>
      <c r="AA446" s="5">
        <v>155.69999999999999</v>
      </c>
      <c r="AB446" s="6">
        <v>6.1736961685018568E-3</v>
      </c>
      <c r="AC446" s="4">
        <v>0</v>
      </c>
      <c r="AD446" s="6">
        <v>0</v>
      </c>
      <c r="AE446" s="5">
        <v>59307.1</v>
      </c>
      <c r="AF446" s="5">
        <v>57942.25</v>
      </c>
      <c r="AG446" s="5">
        <v>-1364.85</v>
      </c>
      <c r="AH446" s="5">
        <v>-2.3012999999999999</v>
      </c>
      <c r="AI446" s="4">
        <v>7</v>
      </c>
      <c r="AJ446" s="5">
        <v>-0.11666700000000001</v>
      </c>
      <c r="AK446" s="5">
        <v>-1434.0416</v>
      </c>
      <c r="AL446" s="5">
        <v>-2.4180000000000001</v>
      </c>
      <c r="AM446" s="8">
        <v>-3.3952</v>
      </c>
      <c r="AN446" s="8">
        <v>-0.01</v>
      </c>
      <c r="AO446" s="9">
        <v>-935.44159999999999</v>
      </c>
      <c r="AP446" s="9">
        <v>-0.441</v>
      </c>
      <c r="AQ446" s="5">
        <v>105.78060000000001</v>
      </c>
      <c r="AR446" s="5">
        <v>106.8719</v>
      </c>
      <c r="AS446" s="5">
        <v>-1.0913999999999999</v>
      </c>
      <c r="AT446" s="5">
        <v>-1.0212000000000001</v>
      </c>
      <c r="AU446" s="8">
        <v>-0.10929999999999999</v>
      </c>
      <c r="AV446" s="8">
        <v>-0.48070000000000002</v>
      </c>
      <c r="AW446" s="8">
        <v>-0.48070000000000002</v>
      </c>
      <c r="AX446" s="5">
        <v>105.7384</v>
      </c>
      <c r="AY446" s="5">
        <v>-1.0607</v>
      </c>
      <c r="AZ446" s="7" t="s">
        <v>91</v>
      </c>
    </row>
    <row r="447" spans="1:52" ht="18" customHeight="1" x14ac:dyDescent="0.25">
      <c r="A447" s="10">
        <v>223</v>
      </c>
      <c r="B447" s="10">
        <v>2</v>
      </c>
      <c r="C447" s="10">
        <v>223</v>
      </c>
      <c r="D447" s="86">
        <v>45861</v>
      </c>
      <c r="E447" s="86">
        <v>45868</v>
      </c>
      <c r="F447" s="86">
        <v>45869</v>
      </c>
      <c r="G447" s="11">
        <v>25219.9</v>
      </c>
      <c r="H447" s="11">
        <v>24855.05</v>
      </c>
      <c r="I447" s="12"/>
      <c r="J447" s="12"/>
      <c r="K447" s="91">
        <f t="array" ref="K447">MAX(IF((D447&lt;[1]Nifty_D!$B$2:$B$6600)*(E447&gt;=[1]Nifty_D!$B$2:$B$6600),[1]Nifty_D!$F$2:$F$6600,""))</f>
        <v>25062.1</v>
      </c>
      <c r="L447" s="92">
        <f t="shared" si="22"/>
        <v>-6.2569637468825601E-3</v>
      </c>
      <c r="M447" s="91">
        <f t="shared" si="23"/>
        <v>13438.199999999999</v>
      </c>
      <c r="N447" s="93">
        <f t="array" ref="N447">INDEX([1]Nifty_D!$B$2:$B$6600,MATCH(E447,[1]Nifty_D!$B$2:$B$6600,0)-1)</f>
        <v>45867</v>
      </c>
      <c r="O447" s="89">
        <f>VLOOKUP(N447,[1]Nifty_D!$B$2:$F$6600,5,0)</f>
        <v>24821.1</v>
      </c>
      <c r="P447" s="92">
        <f t="shared" si="24"/>
        <v>-1.5812909646747308E-2</v>
      </c>
      <c r="Q447" s="12" t="s">
        <v>40</v>
      </c>
      <c r="R447" s="10">
        <v>25500</v>
      </c>
      <c r="S447" s="103">
        <f>MROUND(G447,500)</f>
        <v>25000</v>
      </c>
      <c r="T447" s="103">
        <f>S447-R447</f>
        <v>-500</v>
      </c>
      <c r="U447" s="12" t="s">
        <v>92</v>
      </c>
      <c r="V447" s="10">
        <v>65</v>
      </c>
      <c r="W447" s="11">
        <v>288.35000000000002</v>
      </c>
      <c r="X447" s="11">
        <v>631.25</v>
      </c>
      <c r="Y447" s="13">
        <v>-5.57E-2</v>
      </c>
      <c r="Z447" s="13">
        <v>2.2946</v>
      </c>
      <c r="AA447" s="10">
        <v>0</v>
      </c>
      <c r="AB447" s="14">
        <v>0</v>
      </c>
      <c r="AC447" s="11">
        <v>342.9</v>
      </c>
      <c r="AD447" s="14">
        <v>1.359640601271218E-2</v>
      </c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 t="s">
        <v>91</v>
      </c>
    </row>
    <row r="448" spans="1:52" ht="18" hidden="1" customHeight="1" x14ac:dyDescent="0.25">
      <c r="A448" s="4">
        <v>224</v>
      </c>
      <c r="B448" s="4">
        <v>1</v>
      </c>
      <c r="C448" s="4">
        <v>224</v>
      </c>
      <c r="D448" s="85">
        <v>45868</v>
      </c>
      <c r="E448" s="85">
        <v>45875</v>
      </c>
      <c r="F448" s="85">
        <v>45876</v>
      </c>
      <c r="G448" s="5">
        <v>24855.05</v>
      </c>
      <c r="H448" s="5">
        <v>24574.2</v>
      </c>
      <c r="I448" s="5">
        <v>-280.85000000000002</v>
      </c>
      <c r="J448" s="6">
        <v>-1.1299514585567119E-2</v>
      </c>
      <c r="K448" s="91">
        <f t="array" ref="K448">MAX(IF((D448&lt;[1]Nifty_D!$B$2:$B$6600)*(E448&gt;=[1]Nifty_D!$B$2:$B$6600),[1]Nifty_D!$F$2:$F$6600,""))</f>
        <v>24768.35</v>
      </c>
      <c r="L448" s="92">
        <f t="shared" si="22"/>
        <v>-3.4882247269669708E-3</v>
      </c>
      <c r="M448" s="91">
        <f t="shared" si="23"/>
        <v>13144.449999999999</v>
      </c>
      <c r="N448" s="93">
        <f t="array" ref="N448">INDEX([1]Nifty_D!$B$2:$B$6600,MATCH(E448,[1]Nifty_D!$B$2:$B$6600,0)-1)</f>
        <v>45874</v>
      </c>
      <c r="O448" s="89">
        <f>VLOOKUP(N448,[1]Nifty_D!$B$2:$F$6600,5,0)</f>
        <v>24649.55</v>
      </c>
      <c r="P448" s="92">
        <f t="shared" si="24"/>
        <v>-8.2679375016344592E-3</v>
      </c>
      <c r="Q448" s="7" t="s">
        <v>28</v>
      </c>
      <c r="R448" s="4">
        <v>24900</v>
      </c>
      <c r="S448" s="102"/>
      <c r="T448" s="102"/>
      <c r="U448" s="7" t="s">
        <v>90</v>
      </c>
      <c r="V448" s="4">
        <v>65</v>
      </c>
      <c r="W448" s="5">
        <v>147.80000000000001</v>
      </c>
      <c r="X448" s="5">
        <v>5.7</v>
      </c>
      <c r="Y448" s="8">
        <v>-0.23250000000000001</v>
      </c>
      <c r="Z448" s="8">
        <v>0.57589999999999997</v>
      </c>
      <c r="AA448" s="5">
        <v>142.1</v>
      </c>
      <c r="AB448" s="6">
        <v>5.7171480242445699E-3</v>
      </c>
      <c r="AC448" s="4">
        <v>0</v>
      </c>
      <c r="AD448" s="6">
        <v>0</v>
      </c>
      <c r="AE448" s="5">
        <v>57942.25</v>
      </c>
      <c r="AF448" s="5">
        <v>56749.75</v>
      </c>
      <c r="AG448" s="5">
        <v>-1192.5</v>
      </c>
      <c r="AH448" s="5">
        <v>-2.0581</v>
      </c>
      <c r="AI448" s="4">
        <v>7</v>
      </c>
      <c r="AJ448" s="5">
        <v>-0.11666700000000001</v>
      </c>
      <c r="AK448" s="5">
        <v>-1260.0993000000001</v>
      </c>
      <c r="AL448" s="5">
        <v>-2.1747999999999998</v>
      </c>
      <c r="AM448" s="8">
        <v>-2.6307999999999998</v>
      </c>
      <c r="AN448" s="8">
        <v>-0.309</v>
      </c>
      <c r="AO448" s="9">
        <v>-955.89930000000004</v>
      </c>
      <c r="AP448" s="9">
        <v>-0.95089999999999997</v>
      </c>
      <c r="AQ448" s="5">
        <v>104.7747</v>
      </c>
      <c r="AR448" s="5">
        <v>106.8719</v>
      </c>
      <c r="AS448" s="5">
        <v>-2.0972</v>
      </c>
      <c r="AT448" s="5">
        <v>-1.9623999999999999</v>
      </c>
      <c r="AU448" s="8">
        <v>-0.70630000000000004</v>
      </c>
      <c r="AV448" s="8">
        <v>-1.1756</v>
      </c>
      <c r="AW448" s="8">
        <v>-1.1756</v>
      </c>
      <c r="AX448" s="5">
        <v>104.53700000000001</v>
      </c>
      <c r="AY448" s="5">
        <v>-2.1848000000000001</v>
      </c>
      <c r="AZ448" s="7" t="s">
        <v>91</v>
      </c>
    </row>
    <row r="449" spans="1:52" ht="18" customHeight="1" x14ac:dyDescent="0.25">
      <c r="A449" s="10">
        <v>224</v>
      </c>
      <c r="B449" s="10">
        <v>2</v>
      </c>
      <c r="C449" s="10">
        <v>224</v>
      </c>
      <c r="D449" s="86">
        <v>45868</v>
      </c>
      <c r="E449" s="86">
        <v>45875</v>
      </c>
      <c r="F449" s="86">
        <v>45897</v>
      </c>
      <c r="G449" s="11">
        <v>24855.05</v>
      </c>
      <c r="H449" s="11">
        <v>24574.2</v>
      </c>
      <c r="I449" s="12"/>
      <c r="J449" s="12"/>
      <c r="K449" s="91">
        <f t="array" ref="K449">MAX(IF((D449&lt;[1]Nifty_D!$B$2:$B$6600)*(E449&gt;=[1]Nifty_D!$B$2:$B$6600),[1]Nifty_D!$F$2:$F$6600,""))</f>
        <v>24768.35</v>
      </c>
      <c r="L449" s="92">
        <f t="shared" si="22"/>
        <v>-3.4882247269669708E-3</v>
      </c>
      <c r="M449" s="91">
        <f t="shared" si="23"/>
        <v>13144.449999999999</v>
      </c>
      <c r="N449" s="93">
        <f t="array" ref="N449">INDEX([1]Nifty_D!$B$2:$B$6600,MATCH(E449,[1]Nifty_D!$B$2:$B$6600,0)-1)</f>
        <v>45874</v>
      </c>
      <c r="O449" s="89">
        <f>VLOOKUP(N449,[1]Nifty_D!$B$2:$F$6600,5,0)</f>
        <v>24649.55</v>
      </c>
      <c r="P449" s="92">
        <f t="shared" si="24"/>
        <v>-8.2679375016344592E-3</v>
      </c>
      <c r="Q449" s="12" t="s">
        <v>40</v>
      </c>
      <c r="R449" s="10">
        <v>25000</v>
      </c>
      <c r="S449" s="103">
        <f>MROUND(G449,500)</f>
        <v>25000</v>
      </c>
      <c r="T449" s="103">
        <f>S449-R449</f>
        <v>0</v>
      </c>
      <c r="U449" s="12" t="s">
        <v>92</v>
      </c>
      <c r="V449" s="10">
        <v>65</v>
      </c>
      <c r="W449" s="11">
        <v>309.39999999999998</v>
      </c>
      <c r="X449" s="11">
        <v>471.5</v>
      </c>
      <c r="Y449" s="13">
        <v>-0.1648</v>
      </c>
      <c r="Z449" s="13">
        <v>0.87929999999999997</v>
      </c>
      <c r="AA449" s="10">
        <v>0</v>
      </c>
      <c r="AB449" s="14">
        <v>0</v>
      </c>
      <c r="AC449" s="11">
        <v>162.1</v>
      </c>
      <c r="AD449" s="14">
        <v>6.521813474525298E-3</v>
      </c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 t="s">
        <v>91</v>
      </c>
    </row>
    <row r="450" spans="1:52" ht="18" hidden="1" customHeight="1" x14ac:dyDescent="0.25">
      <c r="A450" s="4">
        <v>225</v>
      </c>
      <c r="B450" s="4">
        <v>1</v>
      </c>
      <c r="C450" s="4">
        <v>225</v>
      </c>
      <c r="D450" s="85">
        <v>45875</v>
      </c>
      <c r="E450" s="85">
        <v>45882</v>
      </c>
      <c r="F450" s="85">
        <v>45883</v>
      </c>
      <c r="G450" s="5">
        <v>24574.2</v>
      </c>
      <c r="H450" s="5">
        <v>24619.35</v>
      </c>
      <c r="I450" s="5">
        <v>45.15</v>
      </c>
      <c r="J450" s="6">
        <v>1.8372927704665869E-3</v>
      </c>
      <c r="K450" s="91">
        <f t="array" ref="K450">MAX(IF((D450&lt;[1]Nifty_D!$B$2:$B$6600)*(E450&gt;=[1]Nifty_D!$B$2:$B$6600),[1]Nifty_D!$F$2:$F$6600,""))</f>
        <v>24619.35</v>
      </c>
      <c r="L450" s="92">
        <f t="shared" si="22"/>
        <v>1.8372927704664033E-3</v>
      </c>
      <c r="M450" s="91">
        <f t="shared" si="23"/>
        <v>12995.449999999999</v>
      </c>
      <c r="N450" s="93">
        <f t="array" ref="N450">INDEX([1]Nifty_D!$B$2:$B$6600,MATCH(E450,[1]Nifty_D!$B$2:$B$6600,0)-1)</f>
        <v>45881</v>
      </c>
      <c r="O450" s="89">
        <f>VLOOKUP(N450,[1]Nifty_D!$B$2:$F$6600,5,0)</f>
        <v>24487.4</v>
      </c>
      <c r="P450" s="92">
        <f t="shared" si="24"/>
        <v>-3.5321597447729447E-3</v>
      </c>
      <c r="Q450" s="7" t="s">
        <v>28</v>
      </c>
      <c r="R450" s="4">
        <v>24600</v>
      </c>
      <c r="S450" s="102"/>
      <c r="T450" s="102"/>
      <c r="U450" s="7" t="s">
        <v>90</v>
      </c>
      <c r="V450" s="4">
        <v>65</v>
      </c>
      <c r="W450" s="5">
        <v>154.85</v>
      </c>
      <c r="X450" s="5">
        <v>83.55</v>
      </c>
      <c r="Y450" s="8">
        <v>-9.9900000000000003E-2</v>
      </c>
      <c r="Z450" s="8">
        <v>0.4657</v>
      </c>
      <c r="AA450" s="5">
        <v>71.3</v>
      </c>
      <c r="AB450" s="6">
        <v>2.9014169332063711E-3</v>
      </c>
      <c r="AC450" s="4">
        <v>0</v>
      </c>
      <c r="AD450" s="6">
        <v>0</v>
      </c>
      <c r="AE450" s="5">
        <v>56749.75</v>
      </c>
      <c r="AF450" s="5">
        <v>56681.5</v>
      </c>
      <c r="AG450" s="5">
        <v>-68.25</v>
      </c>
      <c r="AH450" s="5">
        <v>-0.1203</v>
      </c>
      <c r="AI450" s="4">
        <v>7</v>
      </c>
      <c r="AJ450" s="5">
        <v>-0.11666700000000001</v>
      </c>
      <c r="AK450" s="5">
        <v>-134.458</v>
      </c>
      <c r="AL450" s="5">
        <v>-0.2369</v>
      </c>
      <c r="AM450" s="8">
        <v>-1.768</v>
      </c>
      <c r="AN450" s="8">
        <v>0.57699999999999996</v>
      </c>
      <c r="AO450" s="9">
        <v>-163.90799999999999</v>
      </c>
      <c r="AP450" s="9">
        <v>-0.35670000000000002</v>
      </c>
      <c r="AQ450" s="5">
        <v>104.401</v>
      </c>
      <c r="AR450" s="5">
        <v>106.8719</v>
      </c>
      <c r="AS450" s="5">
        <v>-2.4710000000000001</v>
      </c>
      <c r="AT450" s="5">
        <v>-2.3121</v>
      </c>
      <c r="AU450" s="8">
        <v>-2.24E-2</v>
      </c>
      <c r="AV450" s="8">
        <v>-0.59299999999999997</v>
      </c>
      <c r="AW450" s="8">
        <v>-0.59299999999999997</v>
      </c>
      <c r="AX450" s="5">
        <v>104.1534</v>
      </c>
      <c r="AY450" s="5">
        <v>-2.5436999999999999</v>
      </c>
      <c r="AZ450" s="7" t="s">
        <v>91</v>
      </c>
    </row>
    <row r="451" spans="1:52" ht="18" customHeight="1" x14ac:dyDescent="0.25">
      <c r="A451" s="10">
        <v>225</v>
      </c>
      <c r="B451" s="10">
        <v>2</v>
      </c>
      <c r="C451" s="10">
        <v>225</v>
      </c>
      <c r="D451" s="86">
        <v>45875</v>
      </c>
      <c r="E451" s="86">
        <v>45882</v>
      </c>
      <c r="F451" s="86">
        <v>45897</v>
      </c>
      <c r="G451" s="11">
        <v>24574.2</v>
      </c>
      <c r="H451" s="11">
        <v>24619.35</v>
      </c>
      <c r="I451" s="12"/>
      <c r="J451" s="12"/>
      <c r="K451" s="91">
        <f t="array" ref="K451">MAX(IF((D451&lt;[1]Nifty_D!$B$2:$B$6600)*(E451&gt;=[1]Nifty_D!$B$2:$B$6600),[1]Nifty_D!$F$2:$F$6600,""))</f>
        <v>24619.35</v>
      </c>
      <c r="L451" s="92">
        <f t="shared" si="22"/>
        <v>1.8372927704664033E-3</v>
      </c>
      <c r="M451" s="91">
        <f t="shared" si="23"/>
        <v>12995.449999999999</v>
      </c>
      <c r="N451" s="93">
        <f t="array" ref="N451">INDEX([1]Nifty_D!$B$2:$B$6600,MATCH(E451,[1]Nifty_D!$B$2:$B$6600,0)-1)</f>
        <v>45881</v>
      </c>
      <c r="O451" s="89">
        <f>VLOOKUP(N451,[1]Nifty_D!$B$2:$F$6600,5,0)</f>
        <v>24487.4</v>
      </c>
      <c r="P451" s="92">
        <f t="shared" si="24"/>
        <v>-3.5321597447729447E-3</v>
      </c>
      <c r="Q451" s="12" t="s">
        <v>40</v>
      </c>
      <c r="R451" s="10">
        <v>25000</v>
      </c>
      <c r="S451" s="103">
        <f>MROUND(G451,500)</f>
        <v>24500</v>
      </c>
      <c r="T451" s="103">
        <f>S451-R451</f>
        <v>-500</v>
      </c>
      <c r="U451" s="12" t="s">
        <v>92</v>
      </c>
      <c r="V451" s="10">
        <v>65</v>
      </c>
      <c r="W451" s="11">
        <v>471.5</v>
      </c>
      <c r="X451" s="11">
        <v>370.75</v>
      </c>
      <c r="Y451" s="13">
        <v>-0.4995</v>
      </c>
      <c r="Z451" s="13">
        <v>0.70930000000000004</v>
      </c>
      <c r="AA451" s="10">
        <v>0</v>
      </c>
      <c r="AB451" s="14">
        <v>0</v>
      </c>
      <c r="AC451" s="11">
        <v>-100.75</v>
      </c>
      <c r="AD451" s="14">
        <v>-4.0998282751829153E-3</v>
      </c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 t="s">
        <v>91</v>
      </c>
    </row>
    <row r="452" spans="1:52" ht="18" hidden="1" customHeight="1" x14ac:dyDescent="0.25">
      <c r="A452" s="4">
        <v>226</v>
      </c>
      <c r="B452" s="4">
        <v>1</v>
      </c>
      <c r="C452" s="4">
        <v>226</v>
      </c>
      <c r="D452" s="85">
        <v>45882</v>
      </c>
      <c r="E452" s="85">
        <v>45887</v>
      </c>
      <c r="F452" s="85">
        <v>45890</v>
      </c>
      <c r="G452" s="5">
        <v>24619.35</v>
      </c>
      <c r="H452" s="5">
        <v>24876.95</v>
      </c>
      <c r="I452" s="5">
        <v>257.60000000000002</v>
      </c>
      <c r="J452" s="6">
        <v>1.046331442544178E-2</v>
      </c>
      <c r="K452" s="91">
        <f t="array" ref="K452">MAX(IF((D452&lt;[1]Nifty_D!$B$2:$B$6600)*(E452&gt;=[1]Nifty_D!$B$2:$B$6600),[1]Nifty_D!$F$2:$F$6600,""))</f>
        <v>24876.95</v>
      </c>
      <c r="L452" s="92">
        <f t="shared" si="22"/>
        <v>1.0463314425441794E-2</v>
      </c>
      <c r="M452" s="91">
        <f t="shared" si="23"/>
        <v>13253.050000000001</v>
      </c>
      <c r="N452" s="93">
        <f t="array" ref="N452">INDEX([1]Nifty_D!$B$2:$B$6600,MATCH(E452,[1]Nifty_D!$B$2:$B$6600,0)-1)</f>
        <v>45883</v>
      </c>
      <c r="O452" s="89">
        <f>VLOOKUP(N452,[1]Nifty_D!$B$2:$F$6600,5,0)</f>
        <v>24631.3</v>
      </c>
      <c r="P452" s="92">
        <f t="shared" si="24"/>
        <v>4.8539055661511732E-4</v>
      </c>
      <c r="Q452" s="7" t="s">
        <v>28</v>
      </c>
      <c r="R452" s="4">
        <v>24600</v>
      </c>
      <c r="S452" s="102"/>
      <c r="T452" s="102"/>
      <c r="U452" s="7" t="s">
        <v>90</v>
      </c>
      <c r="V452" s="4">
        <v>65</v>
      </c>
      <c r="W452" s="5">
        <v>191.65</v>
      </c>
      <c r="X452" s="4">
        <v>358</v>
      </c>
      <c r="Y452" s="8">
        <v>-1.1428</v>
      </c>
      <c r="Z452" s="8">
        <v>0.13439999999999999</v>
      </c>
      <c r="AA452" s="5">
        <v>-166.35</v>
      </c>
      <c r="AB452" s="6">
        <v>-6.7568802588208058E-3</v>
      </c>
      <c r="AC452" s="4">
        <v>0</v>
      </c>
      <c r="AD452" s="6">
        <v>0</v>
      </c>
      <c r="AE452" s="5">
        <v>56681.5</v>
      </c>
      <c r="AF452" s="5">
        <v>57113.15</v>
      </c>
      <c r="AG452" s="5">
        <v>431.65</v>
      </c>
      <c r="AH452" s="5">
        <v>0.76149999999999995</v>
      </c>
      <c r="AI452" s="4">
        <v>5</v>
      </c>
      <c r="AJ452" s="5">
        <v>-8.3333000000000004E-2</v>
      </c>
      <c r="AK452" s="5">
        <v>384.41539999999998</v>
      </c>
      <c r="AL452" s="5">
        <v>0.67820000000000003</v>
      </c>
      <c r="AM452" s="8">
        <v>-0.56469999999999998</v>
      </c>
      <c r="AN452" s="8">
        <v>1.2741</v>
      </c>
      <c r="AO452" s="15">
        <v>36.165399999999998</v>
      </c>
      <c r="AP452" s="15">
        <v>-0.73629999999999995</v>
      </c>
      <c r="AQ452" s="5">
        <v>103.6323</v>
      </c>
      <c r="AR452" s="5">
        <v>106.8719</v>
      </c>
      <c r="AS452" s="5">
        <v>-3.2397</v>
      </c>
      <c r="AT452" s="5">
        <v>-3.0314000000000001</v>
      </c>
      <c r="AU452" s="8">
        <v>-0.73060000000000003</v>
      </c>
      <c r="AV452" s="8">
        <v>-0.26679999999999998</v>
      </c>
      <c r="AW452" s="8">
        <v>-0.73629999999999995</v>
      </c>
      <c r="AX452" s="5">
        <v>103.6323</v>
      </c>
      <c r="AY452" s="5">
        <v>-3.0314000000000001</v>
      </c>
      <c r="AZ452" s="7" t="s">
        <v>95</v>
      </c>
    </row>
    <row r="453" spans="1:52" ht="18" customHeight="1" x14ac:dyDescent="0.25">
      <c r="A453" s="10">
        <v>226</v>
      </c>
      <c r="B453" s="10">
        <v>2</v>
      </c>
      <c r="C453" s="10">
        <v>226</v>
      </c>
      <c r="D453" s="86">
        <v>45882</v>
      </c>
      <c r="E453" s="86">
        <v>45887</v>
      </c>
      <c r="F453" s="86">
        <v>45897</v>
      </c>
      <c r="G453" s="11">
        <v>24619.35</v>
      </c>
      <c r="H453" s="11">
        <v>24876.95</v>
      </c>
      <c r="I453" s="12"/>
      <c r="J453" s="12"/>
      <c r="K453" s="91">
        <f t="array" ref="K453">MAX(IF((D453&lt;[1]Nifty_D!$B$2:$B$6600)*(E453&gt;=[1]Nifty_D!$B$2:$B$6600),[1]Nifty_D!$F$2:$F$6600,""))</f>
        <v>24876.95</v>
      </c>
      <c r="L453" s="92">
        <f t="shared" si="22"/>
        <v>1.0463314425441794E-2</v>
      </c>
      <c r="M453" s="91">
        <f t="shared" si="23"/>
        <v>13253.050000000001</v>
      </c>
      <c r="N453" s="93">
        <f t="array" ref="N453">INDEX([1]Nifty_D!$B$2:$B$6600,MATCH(E453,[1]Nifty_D!$B$2:$B$6600,0)-1)</f>
        <v>45883</v>
      </c>
      <c r="O453" s="89">
        <f>VLOOKUP(N453,[1]Nifty_D!$B$2:$F$6600,5,0)</f>
        <v>24631.3</v>
      </c>
      <c r="P453" s="92">
        <f t="shared" si="24"/>
        <v>4.8539055661511732E-4</v>
      </c>
      <c r="Q453" s="12" t="s">
        <v>40</v>
      </c>
      <c r="R453" s="10">
        <v>25000</v>
      </c>
      <c r="S453" s="103">
        <f>MROUND(G453,500)</f>
        <v>24500</v>
      </c>
      <c r="T453" s="103">
        <f>S453-R453</f>
        <v>-500</v>
      </c>
      <c r="U453" s="12" t="s">
        <v>92</v>
      </c>
      <c r="V453" s="10">
        <v>65</v>
      </c>
      <c r="W453" s="11">
        <v>370.75</v>
      </c>
      <c r="X453" s="11">
        <v>188.85</v>
      </c>
      <c r="Y453" s="13">
        <v>-0.8619</v>
      </c>
      <c r="Z453" s="13">
        <v>0.16350000000000001</v>
      </c>
      <c r="AA453" s="10">
        <v>0</v>
      </c>
      <c r="AB453" s="14">
        <v>0</v>
      </c>
      <c r="AC453" s="11">
        <v>-181.9</v>
      </c>
      <c r="AD453" s="14">
        <v>-7.3884972592696404E-3</v>
      </c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 t="s">
        <v>95</v>
      </c>
    </row>
    <row r="454" spans="1:52" ht="18" hidden="1" customHeight="1" x14ac:dyDescent="0.25">
      <c r="A454" s="4">
        <v>227</v>
      </c>
      <c r="B454" s="4">
        <v>1</v>
      </c>
      <c r="C454" s="4">
        <v>227</v>
      </c>
      <c r="D454" s="85">
        <v>45887</v>
      </c>
      <c r="E454" s="85">
        <v>45889</v>
      </c>
      <c r="F454" s="85">
        <v>45890</v>
      </c>
      <c r="G454" s="5">
        <v>24876.95</v>
      </c>
      <c r="H454" s="5">
        <v>25050.55</v>
      </c>
      <c r="I454" s="5">
        <v>173.6</v>
      </c>
      <c r="J454" s="6">
        <v>6.9783474260309234E-3</v>
      </c>
      <c r="K454" s="91">
        <f t="array" ref="K454">MAX(IF((D454&lt;[1]Nifty_D!$B$2:$B$6600)*(E454&gt;=[1]Nifty_D!$B$2:$B$6600),[1]Nifty_D!$F$2:$F$6600,""))</f>
        <v>25050.55</v>
      </c>
      <c r="L454" s="92">
        <f t="shared" si="22"/>
        <v>6.9783474260307621E-3</v>
      </c>
      <c r="M454" s="91">
        <f t="shared" si="23"/>
        <v>13426.65</v>
      </c>
      <c r="N454" s="93">
        <f t="array" ref="N454">INDEX([1]Nifty_D!$B$2:$B$6600,MATCH(E454,[1]Nifty_D!$B$2:$B$6600,0)-1)</f>
        <v>45888</v>
      </c>
      <c r="O454" s="89">
        <f>VLOOKUP(N454,[1]Nifty_D!$B$2:$F$6600,5,0)</f>
        <v>24980.65</v>
      </c>
      <c r="P454" s="92">
        <f t="shared" si="24"/>
        <v>4.1685174428538474E-3</v>
      </c>
      <c r="Q454" s="7" t="s">
        <v>28</v>
      </c>
      <c r="R454" s="4">
        <v>24900</v>
      </c>
      <c r="S454" s="102"/>
      <c r="T454" s="102"/>
      <c r="U454" s="7" t="s">
        <v>90</v>
      </c>
      <c r="V454" s="4">
        <v>65</v>
      </c>
      <c r="W454" s="5">
        <v>128.65</v>
      </c>
      <c r="X454" s="5">
        <v>168.5</v>
      </c>
      <c r="Y454" s="8">
        <v>-0.24179999999999999</v>
      </c>
      <c r="Z454" s="8">
        <v>0.1726</v>
      </c>
      <c r="AA454" s="5">
        <v>-39.85</v>
      </c>
      <c r="AB454" s="6">
        <v>-1.6018844753878591E-3</v>
      </c>
      <c r="AC454" s="4">
        <v>0</v>
      </c>
      <c r="AD454" s="6">
        <v>0</v>
      </c>
      <c r="AE454" s="5">
        <v>57113.15</v>
      </c>
      <c r="AF454" s="5">
        <v>57930.5</v>
      </c>
      <c r="AG454" s="5">
        <v>817.35</v>
      </c>
      <c r="AH454" s="5">
        <v>1.4311</v>
      </c>
      <c r="AI454" s="4">
        <v>2</v>
      </c>
      <c r="AJ454" s="5">
        <v>-3.3333000000000002E-2</v>
      </c>
      <c r="AK454" s="5">
        <v>798.31230000000005</v>
      </c>
      <c r="AL454" s="5">
        <v>1.3977999999999999</v>
      </c>
      <c r="AM454" s="8">
        <v>-0.3493</v>
      </c>
      <c r="AN454" s="8">
        <v>1.5356000000000001</v>
      </c>
      <c r="AO454" s="15">
        <v>673.16229999999996</v>
      </c>
      <c r="AP454" s="15">
        <v>0.89470000000000005</v>
      </c>
      <c r="AQ454" s="5">
        <v>104.5595</v>
      </c>
      <c r="AR454" s="5">
        <v>106.8719</v>
      </c>
      <c r="AS454" s="5">
        <v>-2.3125</v>
      </c>
      <c r="AT454" s="5">
        <v>-2.1638000000000002</v>
      </c>
      <c r="AU454" s="8">
        <v>0.91490000000000005</v>
      </c>
      <c r="AV454" s="8">
        <v>-0.108</v>
      </c>
      <c r="AW454" s="8">
        <v>-0.108</v>
      </c>
      <c r="AX454" s="5">
        <v>103.5204</v>
      </c>
      <c r="AY454" s="5">
        <v>-3.1360999999999999</v>
      </c>
      <c r="AZ454" s="7" t="s">
        <v>91</v>
      </c>
    </row>
    <row r="455" spans="1:52" ht="18" customHeight="1" x14ac:dyDescent="0.25">
      <c r="A455" s="10">
        <v>227</v>
      </c>
      <c r="B455" s="10">
        <v>2</v>
      </c>
      <c r="C455" s="10">
        <v>227</v>
      </c>
      <c r="D455" s="86">
        <v>45887</v>
      </c>
      <c r="E455" s="86">
        <v>45889</v>
      </c>
      <c r="F455" s="86">
        <v>45897</v>
      </c>
      <c r="G455" s="11">
        <v>24876.95</v>
      </c>
      <c r="H455" s="11">
        <v>25050.55</v>
      </c>
      <c r="I455" s="12"/>
      <c r="J455" s="12"/>
      <c r="K455" s="91">
        <f t="array" ref="K455">MAX(IF((D455&lt;[1]Nifty_D!$B$2:$B$6600)*(E455&gt;=[1]Nifty_D!$B$2:$B$6600),[1]Nifty_D!$F$2:$F$6600,""))</f>
        <v>25050.55</v>
      </c>
      <c r="L455" s="92">
        <f t="shared" si="22"/>
        <v>6.9783474260307621E-3</v>
      </c>
      <c r="M455" s="91">
        <f t="shared" si="23"/>
        <v>13426.65</v>
      </c>
      <c r="N455" s="93">
        <f t="array" ref="N455">INDEX([1]Nifty_D!$B$2:$B$6600,MATCH(E455,[1]Nifty_D!$B$2:$B$6600,0)-1)</f>
        <v>45888</v>
      </c>
      <c r="O455" s="89">
        <f>VLOOKUP(N455,[1]Nifty_D!$B$2:$F$6600,5,0)</f>
        <v>24980.65</v>
      </c>
      <c r="P455" s="92">
        <f t="shared" si="24"/>
        <v>4.1685174428538474E-3</v>
      </c>
      <c r="Q455" s="12" t="s">
        <v>40</v>
      </c>
      <c r="R455" s="10">
        <v>25000</v>
      </c>
      <c r="S455" s="103">
        <f>MROUND(G455,500)</f>
        <v>25000</v>
      </c>
      <c r="T455" s="103">
        <f>S455-R455</f>
        <v>0</v>
      </c>
      <c r="U455" s="12" t="s">
        <v>92</v>
      </c>
      <c r="V455" s="10">
        <v>65</v>
      </c>
      <c r="W455" s="11">
        <v>188.85</v>
      </c>
      <c r="X455" s="11">
        <v>103.55</v>
      </c>
      <c r="Y455" s="13">
        <v>-0.37890000000000001</v>
      </c>
      <c r="Z455" s="13">
        <v>6.8699999999999997E-2</v>
      </c>
      <c r="AA455" s="10">
        <v>0</v>
      </c>
      <c r="AB455" s="14">
        <v>0</v>
      </c>
      <c r="AC455" s="11">
        <v>-85.3</v>
      </c>
      <c r="AD455" s="14">
        <v>-3.428876932260586E-3</v>
      </c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 t="s">
        <v>91</v>
      </c>
    </row>
    <row r="456" spans="1:52" ht="18" hidden="1" customHeight="1" x14ac:dyDescent="0.25">
      <c r="A456" s="4">
        <v>228</v>
      </c>
      <c r="B456" s="4">
        <v>1</v>
      </c>
      <c r="C456" s="4">
        <v>228</v>
      </c>
      <c r="D456" s="85">
        <v>45889</v>
      </c>
      <c r="E456" s="85">
        <v>45895</v>
      </c>
      <c r="F456" s="85">
        <v>45897</v>
      </c>
      <c r="G456" s="5">
        <v>25050.55</v>
      </c>
      <c r="H456" s="5">
        <v>24712.05</v>
      </c>
      <c r="I456" s="5">
        <v>-338.5</v>
      </c>
      <c r="J456" s="6">
        <v>-1.351267736636521E-2</v>
      </c>
      <c r="K456" s="91">
        <f t="array" ref="K456">MAX(IF((D456&lt;[1]Nifty_D!$B$2:$B$6600)*(E456&gt;=[1]Nifty_D!$B$2:$B$6600),[1]Nifty_D!$F$2:$F$6600,""))</f>
        <v>25083.75</v>
      </c>
      <c r="L456" s="92">
        <f t="shared" ref="L456:L519" si="25">K456/G456-1</f>
        <v>1.3253202025504951E-3</v>
      </c>
      <c r="M456" s="91">
        <f t="shared" ref="M456:M519" si="26">K456-$G$2</f>
        <v>13459.85</v>
      </c>
      <c r="N456" s="93">
        <f t="array" ref="N456">INDEX([1]Nifty_D!$B$2:$B$6600,MATCH(E456,[1]Nifty_D!$B$2:$B$6600,0)-1)</f>
        <v>45894</v>
      </c>
      <c r="O456" s="89">
        <f>VLOOKUP(N456,[1]Nifty_D!$B$2:$F$6600,5,0)</f>
        <v>24967.75</v>
      </c>
      <c r="P456" s="92">
        <f t="shared" ref="P456:P519" si="27">O456/G456-1</f>
        <v>-3.3053166497342135E-3</v>
      </c>
      <c r="Q456" s="7" t="s">
        <v>28</v>
      </c>
      <c r="R456" s="4">
        <v>25100</v>
      </c>
      <c r="S456" s="102"/>
      <c r="T456" s="102"/>
      <c r="U456" s="7" t="s">
        <v>90</v>
      </c>
      <c r="V456" s="4">
        <v>65</v>
      </c>
      <c r="W456" s="5">
        <v>133.94999999999999</v>
      </c>
      <c r="X456" s="5">
        <v>7.3</v>
      </c>
      <c r="Y456" s="8">
        <v>-0.15970000000000001</v>
      </c>
      <c r="Z456" s="8">
        <v>0.51280000000000003</v>
      </c>
      <c r="AA456" s="5">
        <v>126.65</v>
      </c>
      <c r="AB456" s="6">
        <v>5.0557772184642658E-3</v>
      </c>
      <c r="AC456" s="4">
        <v>0</v>
      </c>
      <c r="AD456" s="6">
        <v>0</v>
      </c>
      <c r="AE456" s="5">
        <v>57930.5</v>
      </c>
      <c r="AF456" s="5">
        <v>56766.2</v>
      </c>
      <c r="AG456" s="5">
        <v>-1164.3</v>
      </c>
      <c r="AH456" s="5">
        <v>-2.0097999999999998</v>
      </c>
      <c r="AI456" s="4">
        <v>6</v>
      </c>
      <c r="AJ456" s="5">
        <v>-0.1</v>
      </c>
      <c r="AK456" s="5">
        <v>-1222.2304999999999</v>
      </c>
      <c r="AL456" s="5">
        <v>-2.1097999999999999</v>
      </c>
      <c r="AM456" s="8">
        <v>-2.2721</v>
      </c>
      <c r="AN456" s="8">
        <v>0.45579999999999998</v>
      </c>
      <c r="AO456" s="9">
        <v>-920.38049999999998</v>
      </c>
      <c r="AP456" s="9">
        <v>-0.90480000000000005</v>
      </c>
      <c r="AQ456" s="5">
        <v>103.6134</v>
      </c>
      <c r="AR456" s="5">
        <v>106.8719</v>
      </c>
      <c r="AS456" s="5">
        <v>-3.2585000000000002</v>
      </c>
      <c r="AT456" s="5">
        <v>-3.0489999999999999</v>
      </c>
      <c r="AU456" s="8">
        <v>0.1091</v>
      </c>
      <c r="AV456" s="8">
        <v>-0.97509999999999997</v>
      </c>
      <c r="AW456" s="8">
        <v>-0.97509999999999997</v>
      </c>
      <c r="AX456" s="5">
        <v>103.5399</v>
      </c>
      <c r="AY456" s="5">
        <v>-3.1177999999999999</v>
      </c>
      <c r="AZ456" s="7" t="s">
        <v>91</v>
      </c>
    </row>
    <row r="457" spans="1:52" ht="18" customHeight="1" x14ac:dyDescent="0.25">
      <c r="A457" s="10">
        <v>228</v>
      </c>
      <c r="B457" s="10">
        <v>2</v>
      </c>
      <c r="C457" s="10">
        <v>228</v>
      </c>
      <c r="D457" s="86">
        <v>45889</v>
      </c>
      <c r="E457" s="86">
        <v>45895</v>
      </c>
      <c r="F457" s="86">
        <v>45897</v>
      </c>
      <c r="G457" s="11">
        <v>25050.55</v>
      </c>
      <c r="H457" s="11">
        <v>24712.05</v>
      </c>
      <c r="I457" s="12"/>
      <c r="J457" s="12"/>
      <c r="K457" s="91">
        <f t="array" ref="K457">MAX(IF((D457&lt;[1]Nifty_D!$B$2:$B$6600)*(E457&gt;=[1]Nifty_D!$B$2:$B$6600),[1]Nifty_D!$F$2:$F$6600,""))</f>
        <v>25083.75</v>
      </c>
      <c r="L457" s="92">
        <f t="shared" si="25"/>
        <v>1.3253202025504951E-3</v>
      </c>
      <c r="M457" s="91">
        <f t="shared" si="26"/>
        <v>13459.85</v>
      </c>
      <c r="N457" s="93">
        <f t="array" ref="N457">INDEX([1]Nifty_D!$B$2:$B$6600,MATCH(E457,[1]Nifty_D!$B$2:$B$6600,0)-1)</f>
        <v>45894</v>
      </c>
      <c r="O457" s="89">
        <f>VLOOKUP(N457,[1]Nifty_D!$B$2:$F$6600,5,0)</f>
        <v>24967.75</v>
      </c>
      <c r="P457" s="92">
        <f t="shared" si="27"/>
        <v>-3.3053166497342135E-3</v>
      </c>
      <c r="Q457" s="12" t="s">
        <v>40</v>
      </c>
      <c r="R457" s="10">
        <v>25000</v>
      </c>
      <c r="S457" s="103">
        <f>MROUND(G457,500)</f>
        <v>25000</v>
      </c>
      <c r="T457" s="103">
        <f>S457-R457</f>
        <v>0</v>
      </c>
      <c r="U457" s="12" t="s">
        <v>92</v>
      </c>
      <c r="V457" s="10">
        <v>65</v>
      </c>
      <c r="W457" s="11">
        <v>103.55</v>
      </c>
      <c r="X457" s="11">
        <v>278.75</v>
      </c>
      <c r="Y457" s="13">
        <v>-0.187</v>
      </c>
      <c r="Z457" s="13">
        <v>0.78420000000000001</v>
      </c>
      <c r="AA457" s="10">
        <v>0</v>
      </c>
      <c r="AB457" s="14">
        <v>0</v>
      </c>
      <c r="AC457" s="11">
        <v>175.2</v>
      </c>
      <c r="AD457" s="14">
        <v>6.9938584182782414E-3</v>
      </c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 t="s">
        <v>91</v>
      </c>
    </row>
    <row r="458" spans="1:52" ht="18" hidden="1" customHeight="1" x14ac:dyDescent="0.25">
      <c r="A458" s="4">
        <v>229</v>
      </c>
      <c r="B458" s="4">
        <v>1</v>
      </c>
      <c r="C458" s="4">
        <v>229</v>
      </c>
      <c r="D458" s="85">
        <v>45895</v>
      </c>
      <c r="E458" s="85">
        <v>45901</v>
      </c>
      <c r="F458" s="85">
        <v>45902</v>
      </c>
      <c r="G458" s="5">
        <v>24712.05</v>
      </c>
      <c r="H458" s="5">
        <v>24625.05</v>
      </c>
      <c r="I458" s="4">
        <v>-87</v>
      </c>
      <c r="J458" s="6">
        <v>-3.520549691344911E-3</v>
      </c>
      <c r="K458" s="91">
        <f t="array" ref="K458">MAX(IF((D458&lt;[1]Nifty_D!$B$2:$B$6600)*(E458&gt;=[1]Nifty_D!$B$2:$B$6600),[1]Nifty_D!$F$2:$F$6600,""))</f>
        <v>24625.05</v>
      </c>
      <c r="L458" s="92">
        <f t="shared" si="25"/>
        <v>-3.5205496913449652E-3</v>
      </c>
      <c r="M458" s="91">
        <f t="shared" si="26"/>
        <v>13001.15</v>
      </c>
      <c r="N458" s="93">
        <f t="array" ref="N458">INDEX([1]Nifty_D!$B$2:$B$6600,MATCH(E458,[1]Nifty_D!$B$2:$B$6600,0)-1)</f>
        <v>45898</v>
      </c>
      <c r="O458" s="89">
        <f>VLOOKUP(N458,[1]Nifty_D!$B$2:$F$6600,5,0)</f>
        <v>24426.85</v>
      </c>
      <c r="P458" s="92">
        <f t="shared" si="27"/>
        <v>-1.1540928413466323E-2</v>
      </c>
      <c r="Q458" s="7" t="s">
        <v>28</v>
      </c>
      <c r="R458" s="4">
        <v>24700</v>
      </c>
      <c r="S458" s="102"/>
      <c r="T458" s="102"/>
      <c r="U458" s="7" t="s">
        <v>90</v>
      </c>
      <c r="V458" s="4">
        <v>65</v>
      </c>
      <c r="W458" s="5">
        <v>166.1</v>
      </c>
      <c r="X458" s="5">
        <v>28.05</v>
      </c>
      <c r="Y458" s="8">
        <v>5.7099999999999998E-2</v>
      </c>
      <c r="Z458" s="8">
        <v>0.62439999999999996</v>
      </c>
      <c r="AA458" s="5">
        <v>138.05000000000001</v>
      </c>
      <c r="AB458" s="6">
        <v>5.5863435044846551E-3</v>
      </c>
      <c r="AC458" s="4">
        <v>0</v>
      </c>
      <c r="AD458" s="6">
        <v>0</v>
      </c>
      <c r="AE458" s="5">
        <v>56766.2</v>
      </c>
      <c r="AF458" s="5">
        <v>56825.5</v>
      </c>
      <c r="AG458" s="5">
        <v>59.3</v>
      </c>
      <c r="AH458" s="5">
        <v>0.1045</v>
      </c>
      <c r="AI458" s="4">
        <v>6</v>
      </c>
      <c r="AJ458" s="5">
        <v>-0.1</v>
      </c>
      <c r="AK458" s="5">
        <v>2.5337999999999998</v>
      </c>
      <c r="AL458" s="5">
        <v>4.4999999999999997E-3</v>
      </c>
      <c r="AM458" s="8">
        <v>-1.9971000000000001</v>
      </c>
      <c r="AN458" s="8">
        <v>6.3E-2</v>
      </c>
      <c r="AO458" s="15">
        <v>131.28380000000001</v>
      </c>
      <c r="AP458" s="15">
        <v>0.52549999999999997</v>
      </c>
      <c r="AQ458" s="5">
        <v>104.1579</v>
      </c>
      <c r="AR458" s="5">
        <v>106.8719</v>
      </c>
      <c r="AS458" s="5">
        <v>-2.714</v>
      </c>
      <c r="AT458" s="5">
        <v>-2.5394999999999999</v>
      </c>
      <c r="AU458" s="8">
        <v>6.6699999999999995E-2</v>
      </c>
      <c r="AV458" s="8">
        <v>-0.9879</v>
      </c>
      <c r="AW458" s="8">
        <v>-0.9879</v>
      </c>
      <c r="AX458" s="5">
        <v>102.5898</v>
      </c>
      <c r="AY458" s="5">
        <v>-4.0068000000000001</v>
      </c>
      <c r="AZ458" s="7" t="s">
        <v>91</v>
      </c>
    </row>
    <row r="459" spans="1:52" ht="18" customHeight="1" x14ac:dyDescent="0.25">
      <c r="A459" s="10">
        <v>229</v>
      </c>
      <c r="B459" s="10">
        <v>2</v>
      </c>
      <c r="C459" s="10">
        <v>229</v>
      </c>
      <c r="D459" s="86">
        <v>45895</v>
      </c>
      <c r="E459" s="86">
        <v>45901</v>
      </c>
      <c r="F459" s="86">
        <v>45930</v>
      </c>
      <c r="G459" s="11">
        <v>24712.05</v>
      </c>
      <c r="H459" s="11">
        <v>24625.05</v>
      </c>
      <c r="I459" s="12"/>
      <c r="J459" s="12"/>
      <c r="K459" s="91">
        <f t="array" ref="K459">MAX(IF((D459&lt;[1]Nifty_D!$B$2:$B$6600)*(E459&gt;=[1]Nifty_D!$B$2:$B$6600),[1]Nifty_D!$F$2:$F$6600,""))</f>
        <v>24625.05</v>
      </c>
      <c r="L459" s="92">
        <f t="shared" si="25"/>
        <v>-3.5205496913449652E-3</v>
      </c>
      <c r="M459" s="91">
        <f t="shared" si="26"/>
        <v>13001.15</v>
      </c>
      <c r="N459" s="93">
        <f t="array" ref="N459">INDEX([1]Nifty_D!$B$2:$B$6600,MATCH(E459,[1]Nifty_D!$B$2:$B$6600,0)-1)</f>
        <v>45898</v>
      </c>
      <c r="O459" s="89">
        <f>VLOOKUP(N459,[1]Nifty_D!$B$2:$F$6600,5,0)</f>
        <v>24426.85</v>
      </c>
      <c r="P459" s="92">
        <f t="shared" si="27"/>
        <v>-1.1540928413466323E-2</v>
      </c>
      <c r="Q459" s="12" t="s">
        <v>40</v>
      </c>
      <c r="R459" s="10">
        <v>24500</v>
      </c>
      <c r="S459" s="103">
        <f>MROUND(G459,500)</f>
        <v>24500</v>
      </c>
      <c r="T459" s="103">
        <f>S459-R459</f>
        <v>0</v>
      </c>
      <c r="U459" s="12" t="s">
        <v>92</v>
      </c>
      <c r="V459" s="10">
        <v>65</v>
      </c>
      <c r="W459" s="11">
        <v>193.9</v>
      </c>
      <c r="X459" s="11">
        <v>184.6</v>
      </c>
      <c r="Y459" s="13">
        <v>-5.3400000000000003E-2</v>
      </c>
      <c r="Z459" s="13">
        <v>0.38479999999999998</v>
      </c>
      <c r="AA459" s="10">
        <v>0</v>
      </c>
      <c r="AB459" s="14">
        <v>0</v>
      </c>
      <c r="AC459" s="11">
        <v>-9.3000000000000007</v>
      </c>
      <c r="AD459" s="14">
        <v>-3.7633462217824911E-4</v>
      </c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 t="s">
        <v>91</v>
      </c>
    </row>
    <row r="460" spans="1:52" ht="18" hidden="1" customHeight="1" x14ac:dyDescent="0.25">
      <c r="A460" s="4">
        <v>230</v>
      </c>
      <c r="B460" s="4">
        <v>1</v>
      </c>
      <c r="C460" s="4">
        <v>230</v>
      </c>
      <c r="D460" s="85">
        <v>45901</v>
      </c>
      <c r="E460" s="85">
        <v>45908</v>
      </c>
      <c r="F460" s="85">
        <v>45909</v>
      </c>
      <c r="G460" s="5">
        <v>24625.05</v>
      </c>
      <c r="H460" s="5">
        <v>24773.15</v>
      </c>
      <c r="I460" s="5">
        <v>148.1</v>
      </c>
      <c r="J460" s="6">
        <v>6.0142009863939361E-3</v>
      </c>
      <c r="K460" s="91">
        <f t="array" ref="K460">MAX(IF((D460&lt;[1]Nifty_D!$B$2:$B$6600)*(E460&gt;=[1]Nifty_D!$B$2:$B$6600),[1]Nifty_D!$F$2:$F$6600,""))</f>
        <v>24773.15</v>
      </c>
      <c r="L460" s="92">
        <f t="shared" si="25"/>
        <v>6.0142009863939361E-3</v>
      </c>
      <c r="M460" s="91">
        <f t="shared" si="26"/>
        <v>13149.250000000002</v>
      </c>
      <c r="N460" s="93">
        <f t="array" ref="N460">INDEX([1]Nifty_D!$B$2:$B$6600,MATCH(E460,[1]Nifty_D!$B$2:$B$6600,0)-1)</f>
        <v>45905</v>
      </c>
      <c r="O460" s="89">
        <f>VLOOKUP(N460,[1]Nifty_D!$B$2:$F$6600,5,0)</f>
        <v>24741</v>
      </c>
      <c r="P460" s="92">
        <f t="shared" si="27"/>
        <v>4.7086198809749291E-3</v>
      </c>
      <c r="Q460" s="7" t="s">
        <v>28</v>
      </c>
      <c r="R460" s="4">
        <v>24600</v>
      </c>
      <c r="S460" s="102"/>
      <c r="T460" s="102"/>
      <c r="U460" s="7" t="s">
        <v>90</v>
      </c>
      <c r="V460" s="4">
        <v>65</v>
      </c>
      <c r="W460" s="5">
        <v>181.35</v>
      </c>
      <c r="X460" s="5">
        <v>215.25</v>
      </c>
      <c r="Y460" s="8">
        <v>-0.81079999999999997</v>
      </c>
      <c r="Z460" s="8">
        <v>0.31409999999999999</v>
      </c>
      <c r="AA460" s="5">
        <v>-33.9</v>
      </c>
      <c r="AB460" s="6">
        <v>-1.3766469509706579E-3</v>
      </c>
      <c r="AC460" s="4">
        <v>0</v>
      </c>
      <c r="AD460" s="6">
        <v>0</v>
      </c>
      <c r="AE460" s="5">
        <v>56825.5</v>
      </c>
      <c r="AF460" s="5">
        <v>57361.15</v>
      </c>
      <c r="AG460" s="5">
        <v>535.65</v>
      </c>
      <c r="AH460" s="5">
        <v>0.94259999999999999</v>
      </c>
      <c r="AI460" s="4">
        <v>7</v>
      </c>
      <c r="AJ460" s="5">
        <v>-0.11666700000000001</v>
      </c>
      <c r="AK460" s="5">
        <v>469.35359999999997</v>
      </c>
      <c r="AL460" s="5">
        <v>0.82599999999999996</v>
      </c>
      <c r="AM460" s="8">
        <v>-0.3427</v>
      </c>
      <c r="AN460" s="8">
        <v>1.9641999999999999</v>
      </c>
      <c r="AO460" s="15">
        <v>355.75360000000001</v>
      </c>
      <c r="AP460" s="15">
        <v>0.36470000000000002</v>
      </c>
      <c r="AQ460" s="5">
        <v>104.5378</v>
      </c>
      <c r="AR460" s="5">
        <v>106.8719</v>
      </c>
      <c r="AS460" s="5">
        <v>-2.3342000000000001</v>
      </c>
      <c r="AT460" s="5">
        <v>-2.1840999999999999</v>
      </c>
      <c r="AU460" s="8">
        <v>0.73070000000000002</v>
      </c>
      <c r="AV460" s="8">
        <v>0.13869999999999999</v>
      </c>
      <c r="AW460" s="8">
        <v>0.13869999999999999</v>
      </c>
      <c r="AX460" s="5">
        <v>104.30240000000001</v>
      </c>
      <c r="AY460" s="5">
        <v>-2.4043000000000001</v>
      </c>
      <c r="AZ460" s="7" t="s">
        <v>91</v>
      </c>
    </row>
    <row r="461" spans="1:52" ht="18" customHeight="1" x14ac:dyDescent="0.25">
      <c r="A461" s="10">
        <v>230</v>
      </c>
      <c r="B461" s="10">
        <v>2</v>
      </c>
      <c r="C461" s="10">
        <v>230</v>
      </c>
      <c r="D461" s="86">
        <v>45901</v>
      </c>
      <c r="E461" s="86">
        <v>45908</v>
      </c>
      <c r="F461" s="86">
        <v>45930</v>
      </c>
      <c r="G461" s="11">
        <v>24625.05</v>
      </c>
      <c r="H461" s="11">
        <v>24773.15</v>
      </c>
      <c r="I461" s="12"/>
      <c r="J461" s="12"/>
      <c r="K461" s="91">
        <f t="array" ref="K461">MAX(IF((D461&lt;[1]Nifty_D!$B$2:$B$6600)*(E461&gt;=[1]Nifty_D!$B$2:$B$6600),[1]Nifty_D!$F$2:$F$6600,""))</f>
        <v>24773.15</v>
      </c>
      <c r="L461" s="92">
        <f t="shared" si="25"/>
        <v>6.0142009863939361E-3</v>
      </c>
      <c r="M461" s="91">
        <f t="shared" si="26"/>
        <v>13149.250000000002</v>
      </c>
      <c r="N461" s="93">
        <f t="array" ref="N461">INDEX([1]Nifty_D!$B$2:$B$6600,MATCH(E461,[1]Nifty_D!$B$2:$B$6600,0)-1)</f>
        <v>45905</v>
      </c>
      <c r="O461" s="89">
        <f>VLOOKUP(N461,[1]Nifty_D!$B$2:$F$6600,5,0)</f>
        <v>24741</v>
      </c>
      <c r="P461" s="92">
        <f t="shared" si="27"/>
        <v>4.7086198809749291E-3</v>
      </c>
      <c r="Q461" s="12" t="s">
        <v>40</v>
      </c>
      <c r="R461" s="10">
        <v>24500</v>
      </c>
      <c r="S461" s="103">
        <f>MROUND(G461,500)</f>
        <v>24500</v>
      </c>
      <c r="T461" s="103">
        <f>S461-R461</f>
        <v>0</v>
      </c>
      <c r="U461" s="12" t="s">
        <v>92</v>
      </c>
      <c r="V461" s="10">
        <v>65</v>
      </c>
      <c r="W461" s="11">
        <v>184.6</v>
      </c>
      <c r="X461" s="11">
        <v>104.9</v>
      </c>
      <c r="Y461" s="13">
        <v>-0.42270000000000002</v>
      </c>
      <c r="Z461" s="13">
        <v>0.1673</v>
      </c>
      <c r="AA461" s="10">
        <v>0</v>
      </c>
      <c r="AB461" s="14">
        <v>0</v>
      </c>
      <c r="AC461" s="11">
        <v>-79.7</v>
      </c>
      <c r="AD461" s="14">
        <v>-3.2365416516920778E-3</v>
      </c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 t="s">
        <v>91</v>
      </c>
    </row>
    <row r="462" spans="1:52" ht="18" hidden="1" customHeight="1" x14ac:dyDescent="0.25">
      <c r="A462" s="4">
        <v>231</v>
      </c>
      <c r="B462" s="4">
        <v>1</v>
      </c>
      <c r="C462" s="4">
        <v>231</v>
      </c>
      <c r="D462" s="85">
        <v>45908</v>
      </c>
      <c r="E462" s="85">
        <v>45910</v>
      </c>
      <c r="F462" s="85">
        <v>45916</v>
      </c>
      <c r="G462" s="5">
        <v>24773.15</v>
      </c>
      <c r="H462" s="5">
        <v>24973.1</v>
      </c>
      <c r="I462" s="5">
        <v>199.95</v>
      </c>
      <c r="J462" s="6">
        <v>8.0712384173994827E-3</v>
      </c>
      <c r="K462" s="91">
        <f t="array" ref="K462">MAX(IF((D462&lt;[1]Nifty_D!$B$2:$B$6600)*(E462&gt;=[1]Nifty_D!$B$2:$B$6600),[1]Nifty_D!$F$2:$F$6600,""))</f>
        <v>24973.1</v>
      </c>
      <c r="L462" s="92">
        <f t="shared" si="25"/>
        <v>8.0712384173993179E-3</v>
      </c>
      <c r="M462" s="91">
        <f t="shared" si="26"/>
        <v>13349.199999999999</v>
      </c>
      <c r="N462" s="93">
        <f t="array" ref="N462">INDEX([1]Nifty_D!$B$2:$B$6600,MATCH(E462,[1]Nifty_D!$B$2:$B$6600,0)-1)</f>
        <v>45909</v>
      </c>
      <c r="O462" s="89">
        <f>VLOOKUP(N462,[1]Nifty_D!$B$2:$F$6600,5,0)</f>
        <v>24868.6</v>
      </c>
      <c r="P462" s="92">
        <f t="shared" si="27"/>
        <v>3.8529617751474898E-3</v>
      </c>
      <c r="Q462" s="7" t="s">
        <v>28</v>
      </c>
      <c r="R462" s="4">
        <v>24800</v>
      </c>
      <c r="S462" s="102"/>
      <c r="T462" s="102"/>
      <c r="U462" s="7" t="s">
        <v>90</v>
      </c>
      <c r="V462" s="4">
        <v>65</v>
      </c>
      <c r="W462" s="5">
        <v>159.44999999999999</v>
      </c>
      <c r="X462" s="5">
        <v>256.39999999999998</v>
      </c>
      <c r="Y462" s="8">
        <v>-0.62629999999999997</v>
      </c>
      <c r="Z462" s="8">
        <v>-2.2000000000000001E-3</v>
      </c>
      <c r="AA462" s="5">
        <v>-96.95</v>
      </c>
      <c r="AB462" s="6">
        <v>-3.9135112006345582E-3</v>
      </c>
      <c r="AC462" s="4">
        <v>0</v>
      </c>
      <c r="AD462" s="6">
        <v>0</v>
      </c>
      <c r="AE462" s="5">
        <v>57361.15</v>
      </c>
      <c r="AF462" s="5">
        <v>57999.55</v>
      </c>
      <c r="AG462" s="5">
        <v>638.4</v>
      </c>
      <c r="AH462" s="5">
        <v>1.1129</v>
      </c>
      <c r="AI462" s="4">
        <v>2</v>
      </c>
      <c r="AJ462" s="5">
        <v>-3.3333000000000002E-2</v>
      </c>
      <c r="AK462" s="5">
        <v>619.27959999999996</v>
      </c>
      <c r="AL462" s="5">
        <v>1.0795999999999999</v>
      </c>
      <c r="AM462" s="8">
        <v>-0.2437</v>
      </c>
      <c r="AN462" s="8">
        <v>1.2003999999999999</v>
      </c>
      <c r="AO462" s="15">
        <v>476.27960000000002</v>
      </c>
      <c r="AP462" s="15">
        <v>0.50239999999999996</v>
      </c>
      <c r="AQ462" s="5">
        <v>105.063</v>
      </c>
      <c r="AR462" s="5">
        <v>106.8719</v>
      </c>
      <c r="AS462" s="5">
        <v>-1.8089999999999999</v>
      </c>
      <c r="AT462" s="5">
        <v>-1.6927000000000001</v>
      </c>
      <c r="AU462" s="8">
        <v>0.38030000000000003</v>
      </c>
      <c r="AV462" s="8">
        <v>-0.26250000000000001</v>
      </c>
      <c r="AW462" s="8">
        <v>-0.26250000000000001</v>
      </c>
      <c r="AX462" s="5">
        <v>104.2634</v>
      </c>
      <c r="AY462" s="5">
        <v>-2.4407999999999999</v>
      </c>
      <c r="AZ462" s="7" t="s">
        <v>96</v>
      </c>
    </row>
    <row r="463" spans="1:52" ht="18" customHeight="1" x14ac:dyDescent="0.25">
      <c r="A463" s="10">
        <v>231</v>
      </c>
      <c r="B463" s="10">
        <v>2</v>
      </c>
      <c r="C463" s="10">
        <v>231</v>
      </c>
      <c r="D463" s="86">
        <v>45908</v>
      </c>
      <c r="E463" s="86">
        <v>45910</v>
      </c>
      <c r="F463" s="86">
        <v>45930</v>
      </c>
      <c r="G463" s="11">
        <v>24773.15</v>
      </c>
      <c r="H463" s="11">
        <v>24973.1</v>
      </c>
      <c r="I463" s="12"/>
      <c r="J463" s="12"/>
      <c r="K463" s="91">
        <f t="array" ref="K463">MAX(IF((D463&lt;[1]Nifty_D!$B$2:$B$6600)*(E463&gt;=[1]Nifty_D!$B$2:$B$6600),[1]Nifty_D!$F$2:$F$6600,""))</f>
        <v>24973.1</v>
      </c>
      <c r="L463" s="92">
        <f t="shared" si="25"/>
        <v>8.0712384173993179E-3</v>
      </c>
      <c r="M463" s="91">
        <f t="shared" si="26"/>
        <v>13349.199999999999</v>
      </c>
      <c r="N463" s="93">
        <f t="array" ref="N463">INDEX([1]Nifty_D!$B$2:$B$6600,MATCH(E463,[1]Nifty_D!$B$2:$B$6600,0)-1)</f>
        <v>45909</v>
      </c>
      <c r="O463" s="89">
        <f>VLOOKUP(N463,[1]Nifty_D!$B$2:$F$6600,5,0)</f>
        <v>24868.6</v>
      </c>
      <c r="P463" s="92">
        <f t="shared" si="27"/>
        <v>3.8529617751474898E-3</v>
      </c>
      <c r="Q463" s="12" t="s">
        <v>40</v>
      </c>
      <c r="R463" s="10">
        <v>24500</v>
      </c>
      <c r="S463" s="103">
        <f>MROUND(G463,500)</f>
        <v>25000</v>
      </c>
      <c r="T463" s="103">
        <f>S463-R463</f>
        <v>500</v>
      </c>
      <c r="U463" s="12" t="s">
        <v>92</v>
      </c>
      <c r="V463" s="10">
        <v>65</v>
      </c>
      <c r="W463" s="11">
        <v>104.9</v>
      </c>
      <c r="X463" s="11">
        <v>58.85</v>
      </c>
      <c r="Y463" s="13">
        <v>-0.1938</v>
      </c>
      <c r="Z463" s="13">
        <v>-1.66E-2</v>
      </c>
      <c r="AA463" s="10">
        <v>0</v>
      </c>
      <c r="AB463" s="14">
        <v>0</v>
      </c>
      <c r="AC463" s="11">
        <v>-46.05</v>
      </c>
      <c r="AD463" s="14">
        <v>-1.858867362446842E-3</v>
      </c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 t="s">
        <v>96</v>
      </c>
    </row>
    <row r="464" spans="1:52" ht="18" hidden="1" customHeight="1" x14ac:dyDescent="0.25">
      <c r="A464" s="4">
        <v>232</v>
      </c>
      <c r="B464" s="4">
        <v>1</v>
      </c>
      <c r="C464" s="4">
        <v>232</v>
      </c>
      <c r="D464" s="85">
        <v>45910</v>
      </c>
      <c r="E464" s="85">
        <v>45915</v>
      </c>
      <c r="F464" s="85">
        <v>45916</v>
      </c>
      <c r="G464" s="5">
        <v>24973.1</v>
      </c>
      <c r="H464" s="5">
        <v>25069.200000000001</v>
      </c>
      <c r="I464" s="5">
        <v>96.1</v>
      </c>
      <c r="J464" s="6">
        <v>3.84814059928483E-3</v>
      </c>
      <c r="K464" s="91">
        <f t="array" ref="K464">MAX(IF((D464&lt;[1]Nifty_D!$B$2:$B$6600)*(E464&gt;=[1]Nifty_D!$B$2:$B$6600),[1]Nifty_D!$F$2:$F$6600,""))</f>
        <v>25114</v>
      </c>
      <c r="L464" s="92">
        <f t="shared" si="25"/>
        <v>5.6420708682543008E-3</v>
      </c>
      <c r="M464" s="91">
        <f t="shared" si="26"/>
        <v>13490.1</v>
      </c>
      <c r="N464" s="93">
        <f t="array" ref="N464">INDEX([1]Nifty_D!$B$2:$B$6600,MATCH(E464,[1]Nifty_D!$B$2:$B$6600,0)-1)</f>
        <v>45912</v>
      </c>
      <c r="O464" s="89">
        <f>VLOOKUP(N464,[1]Nifty_D!$B$2:$F$6600,5,0)</f>
        <v>25114</v>
      </c>
      <c r="P464" s="92">
        <f t="shared" si="27"/>
        <v>5.6420708682543008E-3</v>
      </c>
      <c r="Q464" s="7" t="s">
        <v>28</v>
      </c>
      <c r="R464" s="4">
        <v>25000</v>
      </c>
      <c r="S464" s="102"/>
      <c r="T464" s="102"/>
      <c r="U464" s="7" t="s">
        <v>90</v>
      </c>
      <c r="V464" s="4">
        <v>65</v>
      </c>
      <c r="W464" s="5">
        <v>118.15</v>
      </c>
      <c r="X464" s="5">
        <v>119.3</v>
      </c>
      <c r="Y464" s="8">
        <v>-0.2681</v>
      </c>
      <c r="Z464" s="8">
        <v>8.9300000000000004E-2</v>
      </c>
      <c r="AA464" s="5">
        <v>-1.1499999999999999</v>
      </c>
      <c r="AB464" s="6">
        <v>-4.6049549315063013E-5</v>
      </c>
      <c r="AC464" s="4">
        <v>0</v>
      </c>
      <c r="AD464" s="6">
        <v>0</v>
      </c>
      <c r="AE464" s="5">
        <v>57999.55</v>
      </c>
      <c r="AF464" s="5">
        <v>58486.1</v>
      </c>
      <c r="AG464" s="5">
        <v>486.55</v>
      </c>
      <c r="AH464" s="5">
        <v>0.83889999999999998</v>
      </c>
      <c r="AI464" s="4">
        <v>5</v>
      </c>
      <c r="AJ464" s="5">
        <v>-8.3333000000000004E-2</v>
      </c>
      <c r="AK464" s="5">
        <v>438.21699999999998</v>
      </c>
      <c r="AL464" s="5">
        <v>0.75560000000000005</v>
      </c>
      <c r="AM464" s="8">
        <v>-0.1542</v>
      </c>
      <c r="AN464" s="8">
        <v>0.86099999999999999</v>
      </c>
      <c r="AO464" s="15">
        <v>370.11700000000002</v>
      </c>
      <c r="AP464" s="15">
        <v>0.4829</v>
      </c>
      <c r="AQ464" s="5">
        <v>105.5703</v>
      </c>
      <c r="AR464" s="5">
        <v>106.8719</v>
      </c>
      <c r="AS464" s="5">
        <v>-1.3016000000000001</v>
      </c>
      <c r="AT464" s="5">
        <v>-1.2179</v>
      </c>
      <c r="AU464" s="8">
        <v>0.29859999999999998</v>
      </c>
      <c r="AV464" s="8">
        <v>-2.1700000000000001E-2</v>
      </c>
      <c r="AW464" s="8">
        <v>-2.1700000000000001E-2</v>
      </c>
      <c r="AX464" s="5">
        <v>105.0402</v>
      </c>
      <c r="AY464" s="5">
        <v>-1.714</v>
      </c>
      <c r="AZ464" s="7" t="s">
        <v>91</v>
      </c>
    </row>
    <row r="465" spans="1:52" ht="18" customHeight="1" x14ac:dyDescent="0.25">
      <c r="A465" s="10">
        <v>232</v>
      </c>
      <c r="B465" s="10">
        <v>2</v>
      </c>
      <c r="C465" s="10">
        <v>232</v>
      </c>
      <c r="D465" s="86">
        <v>45910</v>
      </c>
      <c r="E465" s="86">
        <v>45915</v>
      </c>
      <c r="F465" s="86">
        <v>45930</v>
      </c>
      <c r="G465" s="11">
        <v>24973.1</v>
      </c>
      <c r="H465" s="11">
        <v>25069.200000000001</v>
      </c>
      <c r="I465" s="12"/>
      <c r="J465" s="12"/>
      <c r="K465" s="91">
        <f t="array" ref="K465">MAX(IF((D465&lt;[1]Nifty_D!$B$2:$B$6600)*(E465&gt;=[1]Nifty_D!$B$2:$B$6600),[1]Nifty_D!$F$2:$F$6600,""))</f>
        <v>25114</v>
      </c>
      <c r="L465" s="92">
        <f t="shared" si="25"/>
        <v>5.6420708682543008E-3</v>
      </c>
      <c r="M465" s="91">
        <f t="shared" si="26"/>
        <v>13490.1</v>
      </c>
      <c r="N465" s="93">
        <f t="array" ref="N465">INDEX([1]Nifty_D!$B$2:$B$6600,MATCH(E465,[1]Nifty_D!$B$2:$B$6600,0)-1)</f>
        <v>45912</v>
      </c>
      <c r="O465" s="89">
        <f>VLOOKUP(N465,[1]Nifty_D!$B$2:$F$6600,5,0)</f>
        <v>25114</v>
      </c>
      <c r="P465" s="92">
        <f t="shared" si="27"/>
        <v>5.6420708682543008E-3</v>
      </c>
      <c r="Q465" s="12" t="s">
        <v>40</v>
      </c>
      <c r="R465" s="10">
        <v>25000</v>
      </c>
      <c r="S465" s="103">
        <f>MROUND(G465,500)</f>
        <v>25000</v>
      </c>
      <c r="T465" s="103">
        <f>S465-R465</f>
        <v>0</v>
      </c>
      <c r="U465" s="12" t="s">
        <v>92</v>
      </c>
      <c r="V465" s="10">
        <v>65</v>
      </c>
      <c r="W465" s="11">
        <v>183.95</v>
      </c>
      <c r="X465" s="10">
        <v>117</v>
      </c>
      <c r="Y465" s="13">
        <v>-0.29430000000000001</v>
      </c>
      <c r="Z465" s="13">
        <v>4.3200000000000002E-2</v>
      </c>
      <c r="AA465" s="10">
        <v>0</v>
      </c>
      <c r="AB465" s="14">
        <v>0</v>
      </c>
      <c r="AC465" s="11">
        <v>-66.95</v>
      </c>
      <c r="AD465" s="14">
        <v>-2.680884631863886E-3</v>
      </c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 t="s">
        <v>91</v>
      </c>
    </row>
    <row r="466" spans="1:52" ht="18" hidden="1" customHeight="1" x14ac:dyDescent="0.25">
      <c r="A466" s="4">
        <v>233</v>
      </c>
      <c r="B466" s="4">
        <v>1</v>
      </c>
      <c r="C466" s="4">
        <v>233</v>
      </c>
      <c r="D466" s="85">
        <v>45915</v>
      </c>
      <c r="E466" s="85">
        <v>45916</v>
      </c>
      <c r="F466" s="85">
        <v>45923</v>
      </c>
      <c r="G466" s="5">
        <v>25069.200000000001</v>
      </c>
      <c r="H466" s="5">
        <v>25239.1</v>
      </c>
      <c r="I466" s="5">
        <v>169.9</v>
      </c>
      <c r="J466" s="6">
        <v>6.7772405980246666E-3</v>
      </c>
      <c r="K466" s="91">
        <f t="array" ref="K466">MAX(IF((D466&lt;[1]Nifty_D!$B$2:$B$6600)*(E466&gt;=[1]Nifty_D!$B$2:$B$6600),[1]Nifty_D!$F$2:$F$6600,""))</f>
        <v>25239.1</v>
      </c>
      <c r="L466" s="92">
        <f t="shared" si="25"/>
        <v>6.7772405980246475E-3</v>
      </c>
      <c r="M466" s="91">
        <f t="shared" si="26"/>
        <v>13615.199999999999</v>
      </c>
      <c r="N466" s="93">
        <f t="array" ref="N466">INDEX([1]Nifty_D!$B$2:$B$6600,MATCH(E466,[1]Nifty_D!$B$2:$B$6600,0)-1)</f>
        <v>45915</v>
      </c>
      <c r="O466" s="89">
        <f>VLOOKUP(N466,[1]Nifty_D!$B$2:$F$6600,5,0)</f>
        <v>25069.200000000001</v>
      </c>
      <c r="P466" s="92">
        <f t="shared" si="27"/>
        <v>0</v>
      </c>
      <c r="Q466" s="7" t="s">
        <v>28</v>
      </c>
      <c r="R466" s="4">
        <v>25100</v>
      </c>
      <c r="S466" s="102"/>
      <c r="T466" s="102"/>
      <c r="U466" s="7" t="s">
        <v>90</v>
      </c>
      <c r="V466" s="4">
        <v>65</v>
      </c>
      <c r="W466" s="5">
        <v>151.75</v>
      </c>
      <c r="X466" s="5">
        <v>249.7</v>
      </c>
      <c r="Y466" s="8">
        <v>-0.46329999999999999</v>
      </c>
      <c r="Z466" s="8">
        <v>4.4900000000000002E-2</v>
      </c>
      <c r="AA466" s="5">
        <v>-97.95</v>
      </c>
      <c r="AB466" s="6">
        <v>-3.9071849121631334E-3</v>
      </c>
      <c r="AC466" s="4">
        <v>0</v>
      </c>
      <c r="AD466" s="6">
        <v>0</v>
      </c>
      <c r="AE466" s="5">
        <v>58486.1</v>
      </c>
      <c r="AF466" s="5">
        <v>58799.55</v>
      </c>
      <c r="AG466" s="5">
        <v>313.45</v>
      </c>
      <c r="AH466" s="5">
        <v>0.53590000000000004</v>
      </c>
      <c r="AI466" s="4">
        <v>1</v>
      </c>
      <c r="AJ466" s="5">
        <v>-1.6667000000000001E-2</v>
      </c>
      <c r="AK466" s="5">
        <v>303.70229999999998</v>
      </c>
      <c r="AL466" s="5">
        <v>0.51929999999999998</v>
      </c>
      <c r="AM466" s="8">
        <v>-0.11609999999999999</v>
      </c>
      <c r="AN466" s="8">
        <v>0.58530000000000004</v>
      </c>
      <c r="AO466" s="15">
        <v>157.3023</v>
      </c>
      <c r="AP466" s="15">
        <v>-6.4699999999999994E-2</v>
      </c>
      <c r="AQ466" s="5">
        <v>105.502</v>
      </c>
      <c r="AR466" s="5">
        <v>106.8719</v>
      </c>
      <c r="AS466" s="5">
        <v>-1.3698999999999999</v>
      </c>
      <c r="AT466" s="5">
        <v>-1.2818000000000001</v>
      </c>
      <c r="AU466" s="8">
        <v>-8.9399999999999993E-2</v>
      </c>
      <c r="AV466" s="8">
        <v>-6.1600000000000002E-2</v>
      </c>
      <c r="AW466" s="8">
        <v>-8.9399999999999993E-2</v>
      </c>
      <c r="AX466" s="5">
        <v>105.4759</v>
      </c>
      <c r="AY466" s="5">
        <v>-1.3062</v>
      </c>
      <c r="AZ466" s="7" t="s">
        <v>96</v>
      </c>
    </row>
    <row r="467" spans="1:52" ht="18" customHeight="1" x14ac:dyDescent="0.25">
      <c r="A467" s="10">
        <v>233</v>
      </c>
      <c r="B467" s="10">
        <v>2</v>
      </c>
      <c r="C467" s="10">
        <v>233</v>
      </c>
      <c r="D467" s="86">
        <v>45915</v>
      </c>
      <c r="E467" s="86">
        <v>45916</v>
      </c>
      <c r="F467" s="86">
        <v>45930</v>
      </c>
      <c r="G467" s="11">
        <v>25069.200000000001</v>
      </c>
      <c r="H467" s="11">
        <v>25239.1</v>
      </c>
      <c r="I467" s="12"/>
      <c r="J467" s="12"/>
      <c r="K467" s="91">
        <f t="array" ref="K467">MAX(IF((D467&lt;[1]Nifty_D!$B$2:$B$6600)*(E467&gt;=[1]Nifty_D!$B$2:$B$6600),[1]Nifty_D!$F$2:$F$6600,""))</f>
        <v>25239.1</v>
      </c>
      <c r="L467" s="92">
        <f t="shared" si="25"/>
        <v>6.7772405980246475E-3</v>
      </c>
      <c r="M467" s="91">
        <f t="shared" si="26"/>
        <v>13615.199999999999</v>
      </c>
      <c r="N467" s="93">
        <f t="array" ref="N467">INDEX([1]Nifty_D!$B$2:$B$6600,MATCH(E467,[1]Nifty_D!$B$2:$B$6600,0)-1)</f>
        <v>45915</v>
      </c>
      <c r="O467" s="89">
        <f>VLOOKUP(N467,[1]Nifty_D!$B$2:$F$6600,5,0)</f>
        <v>25069.200000000001</v>
      </c>
      <c r="P467" s="92">
        <f t="shared" si="27"/>
        <v>0</v>
      </c>
      <c r="Q467" s="12" t="s">
        <v>40</v>
      </c>
      <c r="R467" s="10">
        <v>25000</v>
      </c>
      <c r="S467" s="103">
        <f>MROUND(G467,500)</f>
        <v>25000</v>
      </c>
      <c r="T467" s="103">
        <f>S467-R467</f>
        <v>0</v>
      </c>
      <c r="U467" s="12" t="s">
        <v>92</v>
      </c>
      <c r="V467" s="10">
        <v>65</v>
      </c>
      <c r="W467" s="10">
        <v>117</v>
      </c>
      <c r="X467" s="11">
        <v>68.55</v>
      </c>
      <c r="Y467" s="13">
        <v>-0.2114</v>
      </c>
      <c r="Z467" s="13">
        <v>9.5999999999999992E-3</v>
      </c>
      <c r="AA467" s="10">
        <v>0</v>
      </c>
      <c r="AB467" s="14">
        <v>0</v>
      </c>
      <c r="AC467" s="11">
        <v>-48.45</v>
      </c>
      <c r="AD467" s="14">
        <v>-1.932650423627399E-3</v>
      </c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 t="s">
        <v>96</v>
      </c>
    </row>
    <row r="468" spans="1:52" ht="18" hidden="1" customHeight="1" x14ac:dyDescent="0.25">
      <c r="A468" s="4">
        <v>234</v>
      </c>
      <c r="B468" s="4">
        <v>1</v>
      </c>
      <c r="C468" s="4">
        <v>234</v>
      </c>
      <c r="D468" s="85">
        <v>45916</v>
      </c>
      <c r="E468" s="85">
        <v>45922</v>
      </c>
      <c r="F468" s="85">
        <v>45923</v>
      </c>
      <c r="G468" s="5">
        <v>25239.1</v>
      </c>
      <c r="H468" s="5">
        <v>25202.35</v>
      </c>
      <c r="I468" s="5">
        <v>-36.75</v>
      </c>
      <c r="J468" s="6">
        <v>-1.456074107238372E-3</v>
      </c>
      <c r="K468" s="91">
        <f t="array" ref="K468">MAX(IF((D468&lt;[1]Nifty_D!$B$2:$B$6600)*(E468&gt;=[1]Nifty_D!$B$2:$B$6600),[1]Nifty_D!$F$2:$F$6600,""))</f>
        <v>25423.599999999999</v>
      </c>
      <c r="L468" s="92">
        <f t="shared" si="25"/>
        <v>7.3100863342987488E-3</v>
      </c>
      <c r="M468" s="91">
        <f t="shared" si="26"/>
        <v>13799.699999999999</v>
      </c>
      <c r="N468" s="93">
        <f t="array" ref="N468">INDEX([1]Nifty_D!$B$2:$B$6600,MATCH(E468,[1]Nifty_D!$B$2:$B$6600,0)-1)</f>
        <v>45919</v>
      </c>
      <c r="O468" s="89">
        <f>VLOOKUP(N468,[1]Nifty_D!$B$2:$F$6600,5,0)</f>
        <v>25327.05</v>
      </c>
      <c r="P468" s="92">
        <f t="shared" si="27"/>
        <v>3.4846725913364462E-3</v>
      </c>
      <c r="Q468" s="7" t="s">
        <v>28</v>
      </c>
      <c r="R468" s="4">
        <v>25200</v>
      </c>
      <c r="S468" s="102"/>
      <c r="T468" s="102"/>
      <c r="U468" s="7" t="s">
        <v>90</v>
      </c>
      <c r="V468" s="4">
        <v>65</v>
      </c>
      <c r="W468" s="5">
        <v>179.1</v>
      </c>
      <c r="X468" s="5">
        <v>70.95</v>
      </c>
      <c r="Y468" s="8">
        <v>-0.47899999999999998</v>
      </c>
      <c r="Z468" s="8">
        <v>0.47349999999999998</v>
      </c>
      <c r="AA468" s="5">
        <v>108.15</v>
      </c>
      <c r="AB468" s="6">
        <v>4.2850180870157824E-3</v>
      </c>
      <c r="AC468" s="4">
        <v>0</v>
      </c>
      <c r="AD468" s="6">
        <v>0</v>
      </c>
      <c r="AE468" s="5">
        <v>58799.55</v>
      </c>
      <c r="AF468" s="5">
        <v>58699.5</v>
      </c>
      <c r="AG468" s="5">
        <v>-100.05</v>
      </c>
      <c r="AH468" s="5">
        <v>-0.17019999999999999</v>
      </c>
      <c r="AI468" s="4">
        <v>6</v>
      </c>
      <c r="AJ468" s="5">
        <v>-0.1</v>
      </c>
      <c r="AK468" s="5">
        <v>-158.84960000000001</v>
      </c>
      <c r="AL468" s="5">
        <v>-0.2702</v>
      </c>
      <c r="AM468" s="8">
        <v>-0.52910000000000001</v>
      </c>
      <c r="AN468" s="8">
        <v>0.71099999999999997</v>
      </c>
      <c r="AO468" s="9">
        <v>-70.949600000000004</v>
      </c>
      <c r="AP468" s="9">
        <v>7.8100000000000003E-2</v>
      </c>
      <c r="AQ468" s="5">
        <v>105.5844</v>
      </c>
      <c r="AR468" s="5">
        <v>106.8719</v>
      </c>
      <c r="AS468" s="5">
        <v>-1.2875000000000001</v>
      </c>
      <c r="AT468" s="5">
        <v>-1.2047000000000001</v>
      </c>
      <c r="AU468" s="8">
        <v>6.8599999999999994E-2</v>
      </c>
      <c r="AV468" s="8">
        <v>-5.7799999999999997E-2</v>
      </c>
      <c r="AW468" s="8">
        <v>-5.7799999999999997E-2</v>
      </c>
      <c r="AX468" s="5">
        <v>105.441</v>
      </c>
      <c r="AY468" s="5">
        <v>-1.3389</v>
      </c>
      <c r="AZ468" s="7" t="s">
        <v>91</v>
      </c>
    </row>
    <row r="469" spans="1:52" ht="18" customHeight="1" x14ac:dyDescent="0.25">
      <c r="A469" s="10">
        <v>234</v>
      </c>
      <c r="B469" s="10">
        <v>2</v>
      </c>
      <c r="C469" s="10">
        <v>234</v>
      </c>
      <c r="D469" s="86">
        <v>45916</v>
      </c>
      <c r="E469" s="86">
        <v>45922</v>
      </c>
      <c r="F469" s="86">
        <v>45930</v>
      </c>
      <c r="G469" s="11">
        <v>25239.1</v>
      </c>
      <c r="H469" s="11">
        <v>25202.35</v>
      </c>
      <c r="I469" s="12"/>
      <c r="J469" s="12"/>
      <c r="K469" s="91">
        <f t="array" ref="K469">MAX(IF((D469&lt;[1]Nifty_D!$B$2:$B$6600)*(E469&gt;=[1]Nifty_D!$B$2:$B$6600),[1]Nifty_D!$F$2:$F$6600,""))</f>
        <v>25423.599999999999</v>
      </c>
      <c r="L469" s="92">
        <f t="shared" si="25"/>
        <v>7.3100863342987488E-3</v>
      </c>
      <c r="M469" s="91">
        <f t="shared" si="26"/>
        <v>13799.699999999999</v>
      </c>
      <c r="N469" s="93">
        <f t="array" ref="N469">INDEX([1]Nifty_D!$B$2:$B$6600,MATCH(E469,[1]Nifty_D!$B$2:$B$6600,0)-1)</f>
        <v>45919</v>
      </c>
      <c r="O469" s="89">
        <f>VLOOKUP(N469,[1]Nifty_D!$B$2:$F$6600,5,0)</f>
        <v>25327.05</v>
      </c>
      <c r="P469" s="92">
        <f t="shared" si="27"/>
        <v>3.4846725913364462E-3</v>
      </c>
      <c r="Q469" s="12" t="s">
        <v>40</v>
      </c>
      <c r="R469" s="10">
        <v>25000</v>
      </c>
      <c r="S469" s="103">
        <f>MROUND(G469,500)</f>
        <v>25000</v>
      </c>
      <c r="T469" s="103">
        <f>S469-R469</f>
        <v>0</v>
      </c>
      <c r="U469" s="12" t="s">
        <v>92</v>
      </c>
      <c r="V469" s="10">
        <v>65</v>
      </c>
      <c r="W469" s="11">
        <v>68.55</v>
      </c>
      <c r="X469" s="11">
        <v>48.3</v>
      </c>
      <c r="Y469" s="13">
        <v>-0.16339999999999999</v>
      </c>
      <c r="Z469" s="13">
        <v>-2.2000000000000001E-3</v>
      </c>
      <c r="AA469" s="10">
        <v>0</v>
      </c>
      <c r="AB469" s="14">
        <v>0</v>
      </c>
      <c r="AC469" s="11">
        <v>-20.25</v>
      </c>
      <c r="AD469" s="14">
        <v>-8.0232654888645009E-4</v>
      </c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 t="s">
        <v>91</v>
      </c>
    </row>
    <row r="470" spans="1:52" ht="18" hidden="1" customHeight="1" x14ac:dyDescent="0.25">
      <c r="A470" s="4">
        <v>235</v>
      </c>
      <c r="B470" s="4">
        <v>1</v>
      </c>
      <c r="C470" s="4">
        <v>235</v>
      </c>
      <c r="D470" s="85">
        <v>45922</v>
      </c>
      <c r="E470" s="85">
        <v>45929</v>
      </c>
      <c r="F470" s="85">
        <v>45930</v>
      </c>
      <c r="G470" s="5">
        <v>25202.35</v>
      </c>
      <c r="H470" s="5">
        <v>24634.9</v>
      </c>
      <c r="I470" s="5">
        <v>-567.45000000000005</v>
      </c>
      <c r="J470" s="6">
        <v>-2.2515757459125839E-2</v>
      </c>
      <c r="K470" s="91">
        <f t="array" ref="K470">MAX(IF((D470&lt;[1]Nifty_D!$B$2:$B$6600)*(E470&gt;=[1]Nifty_D!$B$2:$B$6600),[1]Nifty_D!$F$2:$F$6600,""))</f>
        <v>25169.5</v>
      </c>
      <c r="L470" s="92">
        <f t="shared" si="25"/>
        <v>-1.3034498766979485E-3</v>
      </c>
      <c r="M470" s="91">
        <f t="shared" si="26"/>
        <v>13545.6</v>
      </c>
      <c r="N470" s="93">
        <f t="array" ref="N470">INDEX([1]Nifty_D!$B$2:$B$6600,MATCH(E470,[1]Nifty_D!$B$2:$B$6600,0)-1)</f>
        <v>45926</v>
      </c>
      <c r="O470" s="89">
        <f>VLOOKUP(N470,[1]Nifty_D!$B$2:$F$6600,5,0)</f>
        <v>24654.7</v>
      </c>
      <c r="P470" s="92">
        <f t="shared" si="27"/>
        <v>-2.1730116437554403E-2</v>
      </c>
      <c r="Q470" s="7" t="s">
        <v>28</v>
      </c>
      <c r="R470" s="4">
        <v>25200</v>
      </c>
      <c r="S470" s="102"/>
      <c r="T470" s="102"/>
      <c r="U470" s="7" t="s">
        <v>90</v>
      </c>
      <c r="V470" s="4">
        <v>65</v>
      </c>
      <c r="W470" s="4">
        <v>180</v>
      </c>
      <c r="X470" s="5">
        <v>3.35</v>
      </c>
      <c r="Y470" s="8">
        <v>-9.5200000000000007E-2</v>
      </c>
      <c r="Z470" s="8">
        <v>0.70409999999999995</v>
      </c>
      <c r="AA470" s="5">
        <v>176.65</v>
      </c>
      <c r="AB470" s="6">
        <v>7.0092669929589903E-3</v>
      </c>
      <c r="AC470" s="4">
        <v>0</v>
      </c>
      <c r="AD470" s="6">
        <v>0</v>
      </c>
      <c r="AE470" s="5">
        <v>58699.5</v>
      </c>
      <c r="AF470" s="5">
        <v>56533.15</v>
      </c>
      <c r="AG470" s="5">
        <v>-2166.35</v>
      </c>
      <c r="AH470" s="5">
        <v>-3.6905999999999999</v>
      </c>
      <c r="AI470" s="4">
        <v>7</v>
      </c>
      <c r="AJ470" s="5">
        <v>-0.11666700000000001</v>
      </c>
      <c r="AK470" s="5">
        <v>-2234.8326999999999</v>
      </c>
      <c r="AL470" s="5">
        <v>-3.8071999999999999</v>
      </c>
      <c r="AM470" s="8">
        <v>-4.1325000000000003</v>
      </c>
      <c r="AN470" s="8">
        <v>0.2321</v>
      </c>
      <c r="AO470" s="9">
        <v>-1783.8827000000001</v>
      </c>
      <c r="AP470" s="9">
        <v>-2.0179</v>
      </c>
      <c r="AQ470" s="5">
        <v>103.4538</v>
      </c>
      <c r="AR470" s="5">
        <v>106.8719</v>
      </c>
      <c r="AS470" s="5">
        <v>-3.4180999999999999</v>
      </c>
      <c r="AT470" s="5">
        <v>-3.1983000000000001</v>
      </c>
      <c r="AU470" s="8">
        <v>7.2400000000000006E-2</v>
      </c>
      <c r="AV470" s="8">
        <v>-2.1956000000000002</v>
      </c>
      <c r="AW470" s="8">
        <v>-2.1956000000000002</v>
      </c>
      <c r="AX470" s="5">
        <v>103.2662</v>
      </c>
      <c r="AY470" s="5">
        <v>-3.3738999999999999</v>
      </c>
      <c r="AZ470" s="7" t="s">
        <v>91</v>
      </c>
    </row>
    <row r="471" spans="1:52" ht="18" customHeight="1" x14ac:dyDescent="0.25">
      <c r="A471" s="10">
        <v>235</v>
      </c>
      <c r="B471" s="10">
        <v>2</v>
      </c>
      <c r="C471" s="10">
        <v>235</v>
      </c>
      <c r="D471" s="86">
        <v>45922</v>
      </c>
      <c r="E471" s="86">
        <v>45929</v>
      </c>
      <c r="F471" s="86">
        <v>45930</v>
      </c>
      <c r="G471" s="11">
        <v>25202.35</v>
      </c>
      <c r="H471" s="11">
        <v>24634.9</v>
      </c>
      <c r="I471" s="12"/>
      <c r="J471" s="12"/>
      <c r="K471" s="91">
        <f t="array" ref="K471">MAX(IF((D471&lt;[1]Nifty_D!$B$2:$B$6600)*(E471&gt;=[1]Nifty_D!$B$2:$B$6600),[1]Nifty_D!$F$2:$F$6600,""))</f>
        <v>25169.5</v>
      </c>
      <c r="L471" s="92">
        <f t="shared" si="25"/>
        <v>-1.3034498766979485E-3</v>
      </c>
      <c r="M471" s="91">
        <f t="shared" si="26"/>
        <v>13545.6</v>
      </c>
      <c r="N471" s="93">
        <f t="array" ref="N471">INDEX([1]Nifty_D!$B$2:$B$6600,MATCH(E471,[1]Nifty_D!$B$2:$B$6600,0)-1)</f>
        <v>45926</v>
      </c>
      <c r="O471" s="89">
        <f>VLOOKUP(N471,[1]Nifty_D!$B$2:$F$6600,5,0)</f>
        <v>24654.7</v>
      </c>
      <c r="P471" s="92">
        <f t="shared" si="27"/>
        <v>-2.1730116437554403E-2</v>
      </c>
      <c r="Q471" s="12" t="s">
        <v>40</v>
      </c>
      <c r="R471" s="10">
        <v>25000</v>
      </c>
      <c r="S471" s="103">
        <f>MROUND(G471,500)</f>
        <v>25000</v>
      </c>
      <c r="T471" s="103">
        <f>S471-R471</f>
        <v>0</v>
      </c>
      <c r="U471" s="12" t="s">
        <v>92</v>
      </c>
      <c r="V471" s="10">
        <v>65</v>
      </c>
      <c r="W471" s="11">
        <v>48.3</v>
      </c>
      <c r="X471" s="11">
        <v>322.60000000000002</v>
      </c>
      <c r="Y471" s="13">
        <v>-6.4500000000000002E-2</v>
      </c>
      <c r="Z471" s="13">
        <v>1.2327999999999999</v>
      </c>
      <c r="AA471" s="10">
        <v>0</v>
      </c>
      <c r="AB471" s="14">
        <v>0</v>
      </c>
      <c r="AC471" s="11">
        <v>274.3</v>
      </c>
      <c r="AD471" s="14">
        <v>1.088390566752704E-2</v>
      </c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 t="s">
        <v>91</v>
      </c>
    </row>
    <row r="472" spans="1:52" ht="18" hidden="1" customHeight="1" x14ac:dyDescent="0.25">
      <c r="A472" s="4">
        <v>236</v>
      </c>
      <c r="B472" s="4">
        <v>1</v>
      </c>
      <c r="C472" s="4">
        <v>236</v>
      </c>
      <c r="D472" s="85">
        <v>45929</v>
      </c>
      <c r="E472" s="85">
        <v>45933</v>
      </c>
      <c r="F472" s="85">
        <v>45937</v>
      </c>
      <c r="G472" s="5">
        <v>24634.9</v>
      </c>
      <c r="H472" s="5">
        <v>24894.25</v>
      </c>
      <c r="I472" s="5">
        <v>259.35000000000002</v>
      </c>
      <c r="J472" s="6">
        <v>1.052774722040682E-2</v>
      </c>
      <c r="K472" s="91">
        <f t="array" ref="K472">MAX(IF((D472&lt;[1]Nifty_D!$B$2:$B$6600)*(E472&gt;=[1]Nifty_D!$B$2:$B$6600),[1]Nifty_D!$F$2:$F$6600,""))</f>
        <v>24894.25</v>
      </c>
      <c r="L472" s="92">
        <f t="shared" si="25"/>
        <v>1.0527747220406836E-2</v>
      </c>
      <c r="M472" s="91">
        <f t="shared" si="26"/>
        <v>13270.35</v>
      </c>
      <c r="N472" s="93">
        <f t="array" ref="N472">INDEX([1]Nifty_D!$B$2:$B$6600,MATCH(E472,[1]Nifty_D!$B$2:$B$6600,0)-1)</f>
        <v>45931</v>
      </c>
      <c r="O472" s="89">
        <f>VLOOKUP(N472,[1]Nifty_D!$B$2:$F$6600,5,0)</f>
        <v>24836.3</v>
      </c>
      <c r="P472" s="92">
        <f t="shared" si="27"/>
        <v>8.1753934458836941E-3</v>
      </c>
      <c r="Q472" s="7" t="s">
        <v>28</v>
      </c>
      <c r="R472" s="4">
        <v>24600</v>
      </c>
      <c r="S472" s="102"/>
      <c r="T472" s="102"/>
      <c r="U472" s="7" t="s">
        <v>90</v>
      </c>
      <c r="V472" s="4">
        <v>65</v>
      </c>
      <c r="W472" s="5">
        <v>224.15</v>
      </c>
      <c r="X472" s="5">
        <v>325.55</v>
      </c>
      <c r="Y472" s="8">
        <v>-0.44829999999999998</v>
      </c>
      <c r="Z472" s="8">
        <v>0.32940000000000003</v>
      </c>
      <c r="AA472" s="5">
        <v>-101.4</v>
      </c>
      <c r="AB472" s="6">
        <v>-4.1161116951966524E-3</v>
      </c>
      <c r="AC472" s="4">
        <v>0</v>
      </c>
      <c r="AD472" s="6">
        <v>0</v>
      </c>
      <c r="AE472" s="5">
        <v>56533.15</v>
      </c>
      <c r="AF472" s="5">
        <v>57503.35</v>
      </c>
      <c r="AG472" s="5">
        <v>970.2</v>
      </c>
      <c r="AH472" s="5">
        <v>1.7161999999999999</v>
      </c>
      <c r="AI472" s="4">
        <v>4</v>
      </c>
      <c r="AJ472" s="5">
        <v>-6.6667000000000004E-2</v>
      </c>
      <c r="AK472" s="5">
        <v>932.51120000000003</v>
      </c>
      <c r="AL472" s="5">
        <v>1.6495</v>
      </c>
      <c r="AM472" s="8">
        <v>-0.61299999999999999</v>
      </c>
      <c r="AN472" s="8">
        <v>1.7231000000000001</v>
      </c>
      <c r="AO472" s="15">
        <v>735.76120000000003</v>
      </c>
      <c r="AP472" s="15">
        <v>0.8508</v>
      </c>
      <c r="AQ472" s="5">
        <v>104.334</v>
      </c>
      <c r="AR472" s="5">
        <v>106.8719</v>
      </c>
      <c r="AS472" s="5">
        <v>-2.5379</v>
      </c>
      <c r="AT472" s="5">
        <v>-2.3746999999999998</v>
      </c>
      <c r="AU472" s="8">
        <v>0.87660000000000005</v>
      </c>
      <c r="AV472" s="8">
        <v>-0.15670000000000001</v>
      </c>
      <c r="AW472" s="8">
        <v>-0.15670000000000001</v>
      </c>
      <c r="AX472" s="5">
        <v>103.29170000000001</v>
      </c>
      <c r="AY472" s="5">
        <v>-3.35</v>
      </c>
      <c r="AZ472" s="7" t="s">
        <v>97</v>
      </c>
    </row>
    <row r="473" spans="1:52" ht="18" customHeight="1" x14ac:dyDescent="0.25">
      <c r="A473" s="10">
        <v>236</v>
      </c>
      <c r="B473" s="10">
        <v>2</v>
      </c>
      <c r="C473" s="10">
        <v>236</v>
      </c>
      <c r="D473" s="86">
        <v>45929</v>
      </c>
      <c r="E473" s="86">
        <v>45933</v>
      </c>
      <c r="F473" s="86">
        <v>45958</v>
      </c>
      <c r="G473" s="11">
        <v>24634.9</v>
      </c>
      <c r="H473" s="11">
        <v>24894.25</v>
      </c>
      <c r="I473" s="12"/>
      <c r="J473" s="12"/>
      <c r="K473" s="91">
        <f t="array" ref="K473">MAX(IF((D473&lt;[1]Nifty_D!$B$2:$B$6600)*(E473&gt;=[1]Nifty_D!$B$2:$B$6600),[1]Nifty_D!$F$2:$F$6600,""))</f>
        <v>24894.25</v>
      </c>
      <c r="L473" s="92">
        <f t="shared" si="25"/>
        <v>1.0527747220406836E-2</v>
      </c>
      <c r="M473" s="91">
        <f t="shared" si="26"/>
        <v>13270.35</v>
      </c>
      <c r="N473" s="93">
        <f t="array" ref="N473">INDEX([1]Nifty_D!$B$2:$B$6600,MATCH(E473,[1]Nifty_D!$B$2:$B$6600,0)-1)</f>
        <v>45931</v>
      </c>
      <c r="O473" s="89">
        <f>VLOOKUP(N473,[1]Nifty_D!$B$2:$F$6600,5,0)</f>
        <v>24836.3</v>
      </c>
      <c r="P473" s="92">
        <f t="shared" si="27"/>
        <v>8.1753934458836941E-3</v>
      </c>
      <c r="Q473" s="12" t="s">
        <v>40</v>
      </c>
      <c r="R473" s="10">
        <v>24500</v>
      </c>
      <c r="S473" s="103">
        <f>MROUND(G473,500)</f>
        <v>24500</v>
      </c>
      <c r="T473" s="103">
        <f>S473-R473</f>
        <v>0</v>
      </c>
      <c r="U473" s="12" t="s">
        <v>92</v>
      </c>
      <c r="V473" s="10">
        <v>65</v>
      </c>
      <c r="W473" s="11">
        <v>175.75</v>
      </c>
      <c r="X473" s="11">
        <v>80.400000000000006</v>
      </c>
      <c r="Y473" s="13">
        <v>-0.3982</v>
      </c>
      <c r="Z473" s="13">
        <v>0.12690000000000001</v>
      </c>
      <c r="AA473" s="10">
        <v>0</v>
      </c>
      <c r="AB473" s="14">
        <v>0</v>
      </c>
      <c r="AC473" s="11">
        <v>-95.35</v>
      </c>
      <c r="AD473" s="14">
        <v>-3.8705251492800862E-3</v>
      </c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 t="s">
        <v>97</v>
      </c>
    </row>
    <row r="474" spans="1:52" ht="18" hidden="1" customHeight="1" x14ac:dyDescent="0.25">
      <c r="A474" s="4">
        <v>237</v>
      </c>
      <c r="B474" s="4">
        <v>1</v>
      </c>
      <c r="C474" s="4">
        <v>237</v>
      </c>
      <c r="D474" s="85">
        <v>45933</v>
      </c>
      <c r="E474" s="85">
        <v>45936</v>
      </c>
      <c r="F474" s="85">
        <v>45937</v>
      </c>
      <c r="G474" s="5">
        <v>24894.25</v>
      </c>
      <c r="H474" s="5">
        <v>25077.65</v>
      </c>
      <c r="I474" s="5">
        <v>183.4</v>
      </c>
      <c r="J474" s="6">
        <v>7.3671630999126306E-3</v>
      </c>
      <c r="K474" s="91">
        <f t="array" ref="K474">MAX(IF((D474&lt;[1]Nifty_D!$B$2:$B$6600)*(E474&gt;=[1]Nifty_D!$B$2:$B$6600),[1]Nifty_D!$F$2:$F$6600,""))</f>
        <v>25077.65</v>
      </c>
      <c r="L474" s="92">
        <f t="shared" si="25"/>
        <v>7.3671630999125881E-3</v>
      </c>
      <c r="M474" s="91">
        <f t="shared" si="26"/>
        <v>13453.750000000002</v>
      </c>
      <c r="N474" s="93">
        <f t="array" ref="N474">INDEX([1]Nifty_D!$B$2:$B$6600,MATCH(E474,[1]Nifty_D!$B$2:$B$6600,0)-1)</f>
        <v>45933</v>
      </c>
      <c r="O474" s="89">
        <f>VLOOKUP(N474,[1]Nifty_D!$B$2:$F$6600,5,0)</f>
        <v>24894.25</v>
      </c>
      <c r="P474" s="92">
        <f t="shared" si="27"/>
        <v>0</v>
      </c>
      <c r="Q474" s="7" t="s">
        <v>28</v>
      </c>
      <c r="R474" s="4">
        <v>24900</v>
      </c>
      <c r="S474" s="102"/>
      <c r="T474" s="102"/>
      <c r="U474" s="7" t="s">
        <v>90</v>
      </c>
      <c r="V474" s="4">
        <v>65</v>
      </c>
      <c r="W474" s="5">
        <v>76.599999999999994</v>
      </c>
      <c r="X474" s="5">
        <v>208.1</v>
      </c>
      <c r="Y474" s="8">
        <v>-0.59950000000000003</v>
      </c>
      <c r="Z474" s="8">
        <v>8.4199999999999997E-2</v>
      </c>
      <c r="AA474" s="5">
        <v>-131.5</v>
      </c>
      <c r="AB474" s="6">
        <v>-5.2823443164586202E-3</v>
      </c>
      <c r="AC474" s="4">
        <v>0</v>
      </c>
      <c r="AD474" s="6">
        <v>0</v>
      </c>
      <c r="AE474" s="5">
        <v>57503.35</v>
      </c>
      <c r="AF474" s="5">
        <v>58015.1</v>
      </c>
      <c r="AG474" s="5">
        <v>511.75</v>
      </c>
      <c r="AH474" s="5">
        <v>0.88990000000000002</v>
      </c>
      <c r="AI474" s="4">
        <v>3</v>
      </c>
      <c r="AJ474" s="5">
        <v>-0.05</v>
      </c>
      <c r="AK474" s="5">
        <v>482.99829999999997</v>
      </c>
      <c r="AL474" s="5">
        <v>0.83989999999999998</v>
      </c>
      <c r="AM474" s="8">
        <v>-0.15570000000000001</v>
      </c>
      <c r="AN474" s="8">
        <v>0.88780000000000003</v>
      </c>
      <c r="AO474" s="15">
        <v>266.39830000000001</v>
      </c>
      <c r="AP474" s="15">
        <v>-3.0200000000000001E-2</v>
      </c>
      <c r="AQ474" s="5">
        <v>104.30249999999999</v>
      </c>
      <c r="AR474" s="5">
        <v>106.8719</v>
      </c>
      <c r="AS474" s="5">
        <v>-2.5693999999999999</v>
      </c>
      <c r="AT474" s="5">
        <v>-2.4041999999999999</v>
      </c>
      <c r="AU474" s="8">
        <v>-6.7000000000000004E-2</v>
      </c>
      <c r="AV474" s="8">
        <v>-9.1999999999999998E-3</v>
      </c>
      <c r="AW474" s="8">
        <v>-6.7000000000000004E-2</v>
      </c>
      <c r="AX474" s="5">
        <v>104.2641</v>
      </c>
      <c r="AY474" s="5">
        <v>-2.4401999999999999</v>
      </c>
      <c r="AZ474" s="7" t="s">
        <v>91</v>
      </c>
    </row>
    <row r="475" spans="1:52" ht="18" customHeight="1" x14ac:dyDescent="0.25">
      <c r="A475" s="10">
        <v>237</v>
      </c>
      <c r="B475" s="10">
        <v>2</v>
      </c>
      <c r="C475" s="10">
        <v>237</v>
      </c>
      <c r="D475" s="86">
        <v>45933</v>
      </c>
      <c r="E475" s="86">
        <v>45936</v>
      </c>
      <c r="F475" s="86">
        <v>45958</v>
      </c>
      <c r="G475" s="11">
        <v>24894.25</v>
      </c>
      <c r="H475" s="11">
        <v>25077.65</v>
      </c>
      <c r="I475" s="12"/>
      <c r="J475" s="12"/>
      <c r="K475" s="91">
        <f t="array" ref="K475">MAX(IF((D475&lt;[1]Nifty_D!$B$2:$B$6600)*(E475&gt;=[1]Nifty_D!$B$2:$B$6600),[1]Nifty_D!$F$2:$F$6600,""))</f>
        <v>25077.65</v>
      </c>
      <c r="L475" s="92">
        <f t="shared" si="25"/>
        <v>7.3671630999125881E-3</v>
      </c>
      <c r="M475" s="91">
        <f t="shared" si="26"/>
        <v>13453.750000000002</v>
      </c>
      <c r="N475" s="93">
        <f t="array" ref="N475">INDEX([1]Nifty_D!$B$2:$B$6600,MATCH(E475,[1]Nifty_D!$B$2:$B$6600,0)-1)</f>
        <v>45933</v>
      </c>
      <c r="O475" s="89">
        <f>VLOOKUP(N475,[1]Nifty_D!$B$2:$F$6600,5,0)</f>
        <v>24894.25</v>
      </c>
      <c r="P475" s="92">
        <f t="shared" si="27"/>
        <v>0</v>
      </c>
      <c r="Q475" s="12" t="s">
        <v>40</v>
      </c>
      <c r="R475" s="10">
        <v>25000</v>
      </c>
      <c r="S475" s="103">
        <f>MROUND(G475,500)</f>
        <v>25000</v>
      </c>
      <c r="T475" s="103">
        <f>S475-R475</f>
        <v>0</v>
      </c>
      <c r="U475" s="12" t="s">
        <v>92</v>
      </c>
      <c r="V475" s="10">
        <v>65</v>
      </c>
      <c r="W475" s="11">
        <v>231.65</v>
      </c>
      <c r="X475" s="11">
        <v>146.55000000000001</v>
      </c>
      <c r="Y475" s="13">
        <v>-0.3553</v>
      </c>
      <c r="Z475" s="13">
        <v>6.2300000000000001E-2</v>
      </c>
      <c r="AA475" s="10">
        <v>0</v>
      </c>
      <c r="AB475" s="14">
        <v>0</v>
      </c>
      <c r="AC475" s="11">
        <v>-85.1</v>
      </c>
      <c r="AD475" s="14">
        <v>-3.4184600861644761E-3</v>
      </c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 t="s">
        <v>91</v>
      </c>
    </row>
    <row r="476" spans="1:52" ht="18" hidden="1" customHeight="1" x14ac:dyDescent="0.25">
      <c r="A476" s="4">
        <v>238</v>
      </c>
      <c r="B476" s="4">
        <v>1</v>
      </c>
      <c r="C476" s="4">
        <v>238</v>
      </c>
      <c r="D476" s="85">
        <v>45936</v>
      </c>
      <c r="E476" s="85">
        <v>45939</v>
      </c>
      <c r="F476" s="85">
        <v>45944</v>
      </c>
      <c r="G476" s="5">
        <v>25077.65</v>
      </c>
      <c r="H476" s="5">
        <v>25181.8</v>
      </c>
      <c r="I476" s="5">
        <v>104.15</v>
      </c>
      <c r="J476" s="6">
        <v>4.1531004699403651E-3</v>
      </c>
      <c r="K476" s="91">
        <f t="array" ref="K476">MAX(IF((D476&lt;[1]Nifty_D!$B$2:$B$6600)*(E476&gt;=[1]Nifty_D!$B$2:$B$6600),[1]Nifty_D!$F$2:$F$6600,""))</f>
        <v>25181.8</v>
      </c>
      <c r="L476" s="92">
        <f t="shared" si="25"/>
        <v>4.1531004699402185E-3</v>
      </c>
      <c r="M476" s="91">
        <f t="shared" si="26"/>
        <v>13557.9</v>
      </c>
      <c r="N476" s="93">
        <f t="array" ref="N476">INDEX([1]Nifty_D!$B$2:$B$6600,MATCH(E476,[1]Nifty_D!$B$2:$B$6600,0)-1)</f>
        <v>45938</v>
      </c>
      <c r="O476" s="89">
        <f>VLOOKUP(N476,[1]Nifty_D!$B$2:$F$6600,5,0)</f>
        <v>25046.15</v>
      </c>
      <c r="P476" s="92">
        <f t="shared" si="27"/>
        <v>-1.2560985578792261E-3</v>
      </c>
      <c r="Q476" s="7" t="s">
        <v>28</v>
      </c>
      <c r="R476" s="4">
        <v>25100</v>
      </c>
      <c r="S476" s="102"/>
      <c r="T476" s="102"/>
      <c r="U476" s="7" t="s">
        <v>90</v>
      </c>
      <c r="V476" s="4">
        <v>65</v>
      </c>
      <c r="W476" s="5">
        <v>141.9</v>
      </c>
      <c r="X476" s="5">
        <v>154.9</v>
      </c>
      <c r="Y476" s="8">
        <v>-0.29949999999999999</v>
      </c>
      <c r="Z476" s="8">
        <v>0.2767</v>
      </c>
      <c r="AA476" s="4">
        <v>-13</v>
      </c>
      <c r="AB476" s="6">
        <v>-5.183898810295223E-4</v>
      </c>
      <c r="AC476" s="4">
        <v>0</v>
      </c>
      <c r="AD476" s="6">
        <v>0</v>
      </c>
      <c r="AE476" s="5">
        <v>58015.1</v>
      </c>
      <c r="AF476" s="5">
        <v>58429.85</v>
      </c>
      <c r="AG476" s="5">
        <v>414.75</v>
      </c>
      <c r="AH476" s="5">
        <v>0.71489999999999998</v>
      </c>
      <c r="AI476" s="4">
        <v>3</v>
      </c>
      <c r="AJ476" s="5">
        <v>-0.05</v>
      </c>
      <c r="AK476" s="5">
        <v>385.74250000000001</v>
      </c>
      <c r="AL476" s="5">
        <v>0.66490000000000005</v>
      </c>
      <c r="AM476" s="8">
        <v>-0.41239999999999999</v>
      </c>
      <c r="AN476" s="8">
        <v>0.71760000000000002</v>
      </c>
      <c r="AO476" s="15">
        <v>328.09249999999997</v>
      </c>
      <c r="AP476" s="15">
        <v>0.435</v>
      </c>
      <c r="AQ476" s="5">
        <v>104.75620000000001</v>
      </c>
      <c r="AR476" s="5">
        <v>106.8719</v>
      </c>
      <c r="AS476" s="5">
        <v>-2.1156999999999999</v>
      </c>
      <c r="AT476" s="5">
        <v>-1.9797</v>
      </c>
      <c r="AU476" s="8">
        <v>0.2291</v>
      </c>
      <c r="AV476" s="8">
        <v>-7.3000000000000001E-3</v>
      </c>
      <c r="AW476" s="8">
        <v>-7.3000000000000001E-3</v>
      </c>
      <c r="AX476" s="5">
        <v>104.2949</v>
      </c>
      <c r="AY476" s="5">
        <v>-2.4113000000000002</v>
      </c>
      <c r="AZ476" s="7" t="s">
        <v>96</v>
      </c>
    </row>
    <row r="477" spans="1:52" ht="18" customHeight="1" x14ac:dyDescent="0.25">
      <c r="A477" s="10">
        <v>238</v>
      </c>
      <c r="B477" s="10">
        <v>2</v>
      </c>
      <c r="C477" s="10">
        <v>238</v>
      </c>
      <c r="D477" s="86">
        <v>45936</v>
      </c>
      <c r="E477" s="86">
        <v>45939</v>
      </c>
      <c r="F477" s="86">
        <v>45958</v>
      </c>
      <c r="G477" s="11">
        <v>25077.65</v>
      </c>
      <c r="H477" s="11">
        <v>25181.8</v>
      </c>
      <c r="I477" s="12"/>
      <c r="J477" s="12"/>
      <c r="K477" s="91">
        <f t="array" ref="K477">MAX(IF((D477&lt;[1]Nifty_D!$B$2:$B$6600)*(E477&gt;=[1]Nifty_D!$B$2:$B$6600),[1]Nifty_D!$F$2:$F$6600,""))</f>
        <v>25181.8</v>
      </c>
      <c r="L477" s="92">
        <f t="shared" si="25"/>
        <v>4.1531004699402185E-3</v>
      </c>
      <c r="M477" s="91">
        <f t="shared" si="26"/>
        <v>13557.9</v>
      </c>
      <c r="N477" s="93">
        <f t="array" ref="N477">INDEX([1]Nifty_D!$B$2:$B$6600,MATCH(E477,[1]Nifty_D!$B$2:$B$6600,0)-1)</f>
        <v>45938</v>
      </c>
      <c r="O477" s="89">
        <f>VLOOKUP(N477,[1]Nifty_D!$B$2:$F$6600,5,0)</f>
        <v>25046.15</v>
      </c>
      <c r="P477" s="92">
        <f t="shared" si="27"/>
        <v>-1.2560985578792261E-3</v>
      </c>
      <c r="Q477" s="12" t="s">
        <v>40</v>
      </c>
      <c r="R477" s="10">
        <v>25000</v>
      </c>
      <c r="S477" s="103">
        <f>MROUND(G477,500)</f>
        <v>25000</v>
      </c>
      <c r="T477" s="103">
        <f>S477-R477</f>
        <v>0</v>
      </c>
      <c r="U477" s="12" t="s">
        <v>92</v>
      </c>
      <c r="V477" s="10">
        <v>65</v>
      </c>
      <c r="W477" s="11">
        <v>146.55000000000001</v>
      </c>
      <c r="X477" s="11">
        <v>101.9</v>
      </c>
      <c r="Y477" s="13">
        <v>-0.189</v>
      </c>
      <c r="Z477" s="13">
        <v>0.12839999999999999</v>
      </c>
      <c r="AA477" s="10">
        <v>0</v>
      </c>
      <c r="AB477" s="14">
        <v>0</v>
      </c>
      <c r="AC477" s="11">
        <v>-44.65</v>
      </c>
      <c r="AD477" s="14">
        <v>-1.780469860612936E-3</v>
      </c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 t="s">
        <v>96</v>
      </c>
    </row>
    <row r="478" spans="1:52" ht="18" hidden="1" customHeight="1" x14ac:dyDescent="0.25">
      <c r="A478" s="4">
        <v>239</v>
      </c>
      <c r="B478" s="4">
        <v>1</v>
      </c>
      <c r="C478" s="4">
        <v>239</v>
      </c>
      <c r="D478" s="85">
        <v>45939</v>
      </c>
      <c r="E478" s="85">
        <v>45943</v>
      </c>
      <c r="F478" s="85">
        <v>45944</v>
      </c>
      <c r="G478" s="5">
        <v>25181.8</v>
      </c>
      <c r="H478" s="5">
        <v>25227.35</v>
      </c>
      <c r="I478" s="5">
        <v>45.55</v>
      </c>
      <c r="J478" s="6">
        <v>1.808846071369004E-3</v>
      </c>
      <c r="K478" s="91">
        <f t="array" ref="K478">MAX(IF((D478&lt;[1]Nifty_D!$B$2:$B$6600)*(E478&gt;=[1]Nifty_D!$B$2:$B$6600),[1]Nifty_D!$F$2:$F$6600,""))</f>
        <v>25285.35</v>
      </c>
      <c r="L478" s="92">
        <f t="shared" si="25"/>
        <v>4.1120968318388851E-3</v>
      </c>
      <c r="M478" s="91">
        <f t="shared" si="26"/>
        <v>13661.449999999999</v>
      </c>
      <c r="N478" s="93">
        <f t="array" ref="N478">INDEX([1]Nifty_D!$B$2:$B$6600,MATCH(E478,[1]Nifty_D!$B$2:$B$6600,0)-1)</f>
        <v>45940</v>
      </c>
      <c r="O478" s="89">
        <f>VLOOKUP(N478,[1]Nifty_D!$B$2:$F$6600,5,0)</f>
        <v>25285.35</v>
      </c>
      <c r="P478" s="92">
        <f t="shared" si="27"/>
        <v>4.1120968318388851E-3</v>
      </c>
      <c r="Q478" s="7" t="s">
        <v>28</v>
      </c>
      <c r="R478" s="4">
        <v>25200</v>
      </c>
      <c r="S478" s="102"/>
      <c r="T478" s="102"/>
      <c r="U478" s="7" t="s">
        <v>90</v>
      </c>
      <c r="V478" s="4">
        <v>65</v>
      </c>
      <c r="W478" s="5">
        <v>91.05</v>
      </c>
      <c r="X478" s="5">
        <v>81.900000000000006</v>
      </c>
      <c r="Y478" s="8">
        <v>-0.48609999999999998</v>
      </c>
      <c r="Z478" s="8">
        <v>0.14080000000000001</v>
      </c>
      <c r="AA478" s="5">
        <v>9.15</v>
      </c>
      <c r="AB478" s="6">
        <v>3.6335766307412498E-4</v>
      </c>
      <c r="AC478" s="4">
        <v>0</v>
      </c>
      <c r="AD478" s="6">
        <v>0</v>
      </c>
      <c r="AE478" s="5">
        <v>58429.85</v>
      </c>
      <c r="AF478" s="5">
        <v>58762.35</v>
      </c>
      <c r="AG478" s="5">
        <v>332.5</v>
      </c>
      <c r="AH478" s="5">
        <v>0.56910000000000005</v>
      </c>
      <c r="AI478" s="4">
        <v>4</v>
      </c>
      <c r="AJ478" s="5">
        <v>-6.6667000000000004E-2</v>
      </c>
      <c r="AK478" s="5">
        <v>293.54680000000002</v>
      </c>
      <c r="AL478" s="5">
        <v>0.50239999999999996</v>
      </c>
      <c r="AM478" s="8">
        <v>-0.24890000000000001</v>
      </c>
      <c r="AN478" s="8">
        <v>0.69099999999999995</v>
      </c>
      <c r="AO478" s="15">
        <v>294.64679999999998</v>
      </c>
      <c r="AP478" s="15">
        <v>0.50680000000000003</v>
      </c>
      <c r="AQ478" s="5">
        <v>105.2871</v>
      </c>
      <c r="AR478" s="5">
        <v>106.8719</v>
      </c>
      <c r="AS478" s="5">
        <v>-1.5848</v>
      </c>
      <c r="AT478" s="5">
        <v>-1.4829000000000001</v>
      </c>
      <c r="AU478" s="8">
        <v>4.7399999999999998E-2</v>
      </c>
      <c r="AV478" s="8">
        <v>-3.6200000000000003E-2</v>
      </c>
      <c r="AW478" s="8">
        <v>-3.6200000000000003E-2</v>
      </c>
      <c r="AX478" s="5">
        <v>104.7183</v>
      </c>
      <c r="AY478" s="5">
        <v>-2.0152000000000001</v>
      </c>
      <c r="AZ478" s="7" t="s">
        <v>91</v>
      </c>
    </row>
    <row r="479" spans="1:52" ht="18" customHeight="1" x14ac:dyDescent="0.25">
      <c r="A479" s="10">
        <v>239</v>
      </c>
      <c r="B479" s="10">
        <v>2</v>
      </c>
      <c r="C479" s="10">
        <v>239</v>
      </c>
      <c r="D479" s="86">
        <v>45939</v>
      </c>
      <c r="E479" s="86">
        <v>45943</v>
      </c>
      <c r="F479" s="86">
        <v>45958</v>
      </c>
      <c r="G479" s="11">
        <v>25181.8</v>
      </c>
      <c r="H479" s="11">
        <v>25227.35</v>
      </c>
      <c r="I479" s="12"/>
      <c r="J479" s="12"/>
      <c r="K479" s="91">
        <f t="array" ref="K479">MAX(IF((D479&lt;[1]Nifty_D!$B$2:$B$6600)*(E479&gt;=[1]Nifty_D!$B$2:$B$6600),[1]Nifty_D!$F$2:$F$6600,""))</f>
        <v>25285.35</v>
      </c>
      <c r="L479" s="92">
        <f t="shared" si="25"/>
        <v>4.1120968318388851E-3</v>
      </c>
      <c r="M479" s="91">
        <f t="shared" si="26"/>
        <v>13661.449999999999</v>
      </c>
      <c r="N479" s="93">
        <f t="array" ref="N479">INDEX([1]Nifty_D!$B$2:$B$6600,MATCH(E479,[1]Nifty_D!$B$2:$B$6600,0)-1)</f>
        <v>45940</v>
      </c>
      <c r="O479" s="89">
        <f>VLOOKUP(N479,[1]Nifty_D!$B$2:$F$6600,5,0)</f>
        <v>25285.35</v>
      </c>
      <c r="P479" s="92">
        <f t="shared" si="27"/>
        <v>4.1120968318388851E-3</v>
      </c>
      <c r="Q479" s="12" t="s">
        <v>40</v>
      </c>
      <c r="R479" s="10">
        <v>25000</v>
      </c>
      <c r="S479" s="103">
        <f>MROUND(G479,500)</f>
        <v>25000</v>
      </c>
      <c r="T479" s="103">
        <f>S479-R479</f>
        <v>0</v>
      </c>
      <c r="U479" s="12" t="s">
        <v>92</v>
      </c>
      <c r="V479" s="10">
        <v>65</v>
      </c>
      <c r="W479" s="11">
        <v>101.9</v>
      </c>
      <c r="X479" s="11">
        <v>93.85</v>
      </c>
      <c r="Y479" s="13">
        <v>-0.1575</v>
      </c>
      <c r="Z479" s="13">
        <v>7.1900000000000006E-2</v>
      </c>
      <c r="AA479" s="10">
        <v>0</v>
      </c>
      <c r="AB479" s="14">
        <v>0</v>
      </c>
      <c r="AC479" s="11">
        <v>-8.0500000000000007</v>
      </c>
      <c r="AD479" s="14">
        <v>-3.1967532106521381E-4</v>
      </c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 t="s">
        <v>91</v>
      </c>
    </row>
    <row r="480" spans="1:52" ht="18" hidden="1" customHeight="1" x14ac:dyDescent="0.25">
      <c r="A480" s="4">
        <v>240</v>
      </c>
      <c r="B480" s="4">
        <v>1</v>
      </c>
      <c r="C480" s="4">
        <v>240</v>
      </c>
      <c r="D480" s="85">
        <v>45943</v>
      </c>
      <c r="E480" s="85">
        <v>45946</v>
      </c>
      <c r="F480" s="85">
        <v>45950</v>
      </c>
      <c r="G480" s="5">
        <v>25227.35</v>
      </c>
      <c r="H480" s="5">
        <v>25585.3</v>
      </c>
      <c r="I480" s="5">
        <v>357.95</v>
      </c>
      <c r="J480" s="6">
        <v>1.418896554731274E-2</v>
      </c>
      <c r="K480" s="91">
        <f t="array" ref="K480">MAX(IF((D480&lt;[1]Nifty_D!$B$2:$B$6600)*(E480&gt;=[1]Nifty_D!$B$2:$B$6600),[1]Nifty_D!$F$2:$F$6600,""))</f>
        <v>25585.3</v>
      </c>
      <c r="L480" s="92">
        <f t="shared" si="25"/>
        <v>1.418896554731286E-2</v>
      </c>
      <c r="M480" s="91">
        <f t="shared" si="26"/>
        <v>13961.4</v>
      </c>
      <c r="N480" s="93">
        <f t="array" ref="N480">INDEX([1]Nifty_D!$B$2:$B$6600,MATCH(E480,[1]Nifty_D!$B$2:$B$6600,0)-1)</f>
        <v>45945</v>
      </c>
      <c r="O480" s="89">
        <f>VLOOKUP(N480,[1]Nifty_D!$B$2:$F$6600,5,0)</f>
        <v>25323.55</v>
      </c>
      <c r="P480" s="92">
        <f t="shared" si="27"/>
        <v>3.8133216528886127E-3</v>
      </c>
      <c r="Q480" s="7" t="s">
        <v>28</v>
      </c>
      <c r="R480" s="4">
        <v>25200</v>
      </c>
      <c r="S480" s="102"/>
      <c r="T480" s="102"/>
      <c r="U480" s="7" t="s">
        <v>90</v>
      </c>
      <c r="V480" s="4">
        <v>65</v>
      </c>
      <c r="W480" s="5">
        <v>183.95</v>
      </c>
      <c r="X480" s="5">
        <v>423.8</v>
      </c>
      <c r="Y480" s="8">
        <v>-1.099</v>
      </c>
      <c r="Z480" s="8">
        <v>0.3266</v>
      </c>
      <c r="AA480" s="5">
        <v>-239.85</v>
      </c>
      <c r="AB480" s="6">
        <v>-9.5075384453777358E-3</v>
      </c>
      <c r="AC480" s="4">
        <v>0</v>
      </c>
      <c r="AD480" s="6">
        <v>0</v>
      </c>
      <c r="AE480" s="5">
        <v>58762.35</v>
      </c>
      <c r="AF480" s="5">
        <v>59241.15</v>
      </c>
      <c r="AG480" s="5">
        <v>478.8</v>
      </c>
      <c r="AH480" s="5">
        <v>0.81479999999999997</v>
      </c>
      <c r="AI480" s="4">
        <v>3</v>
      </c>
      <c r="AJ480" s="5">
        <v>-0.05</v>
      </c>
      <c r="AK480" s="5">
        <v>449.41879999999998</v>
      </c>
      <c r="AL480" s="5">
        <v>0.76480000000000004</v>
      </c>
      <c r="AM480" s="8">
        <v>-0.93440000000000001</v>
      </c>
      <c r="AN480" s="8">
        <v>0.90180000000000005</v>
      </c>
      <c r="AO480" s="15">
        <v>146.6688</v>
      </c>
      <c r="AP480" s="15">
        <v>-0.43530000000000002</v>
      </c>
      <c r="AQ480" s="5">
        <v>104.8288</v>
      </c>
      <c r="AR480" s="5">
        <v>106.8719</v>
      </c>
      <c r="AS480" s="5">
        <v>-2.0430999999999999</v>
      </c>
      <c r="AT480" s="5">
        <v>-1.9117999999999999</v>
      </c>
      <c r="AU480" s="8">
        <v>-0.45469999999999999</v>
      </c>
      <c r="AV480" s="8">
        <v>-0.34160000000000001</v>
      </c>
      <c r="AW480" s="8">
        <v>-0.45469999999999999</v>
      </c>
      <c r="AX480" s="5">
        <v>104.80840000000001</v>
      </c>
      <c r="AY480" s="5">
        <v>-1.9309000000000001</v>
      </c>
      <c r="AZ480" s="7" t="s">
        <v>97</v>
      </c>
    </row>
    <row r="481" spans="1:52" ht="18" customHeight="1" x14ac:dyDescent="0.25">
      <c r="A481" s="10">
        <v>240</v>
      </c>
      <c r="B481" s="10">
        <v>2</v>
      </c>
      <c r="C481" s="10">
        <v>240</v>
      </c>
      <c r="D481" s="86">
        <v>45943</v>
      </c>
      <c r="E481" s="86">
        <v>45946</v>
      </c>
      <c r="F481" s="86">
        <v>45958</v>
      </c>
      <c r="G481" s="11">
        <v>25227.35</v>
      </c>
      <c r="H481" s="11">
        <v>25585.3</v>
      </c>
      <c r="I481" s="12"/>
      <c r="J481" s="12"/>
      <c r="K481" s="91">
        <f t="array" ref="K481">MAX(IF((D481&lt;[1]Nifty_D!$B$2:$B$6600)*(E481&gt;=[1]Nifty_D!$B$2:$B$6600),[1]Nifty_D!$F$2:$F$6600,""))</f>
        <v>25585.3</v>
      </c>
      <c r="L481" s="92">
        <f t="shared" si="25"/>
        <v>1.418896554731286E-2</v>
      </c>
      <c r="M481" s="91">
        <f t="shared" si="26"/>
        <v>13961.4</v>
      </c>
      <c r="N481" s="93">
        <f t="array" ref="N481">INDEX([1]Nifty_D!$B$2:$B$6600,MATCH(E481,[1]Nifty_D!$B$2:$B$6600,0)-1)</f>
        <v>45945</v>
      </c>
      <c r="O481" s="89">
        <f>VLOOKUP(N481,[1]Nifty_D!$B$2:$F$6600,5,0)</f>
        <v>25323.55</v>
      </c>
      <c r="P481" s="92">
        <f t="shared" si="27"/>
        <v>3.8133216528886127E-3</v>
      </c>
      <c r="Q481" s="12" t="s">
        <v>40</v>
      </c>
      <c r="R481" s="10">
        <v>25000</v>
      </c>
      <c r="S481" s="103">
        <f>MROUND(G481,500)</f>
        <v>25000</v>
      </c>
      <c r="T481" s="103">
        <f>S481-R481</f>
        <v>0</v>
      </c>
      <c r="U481" s="12" t="s">
        <v>92</v>
      </c>
      <c r="V481" s="10">
        <v>65</v>
      </c>
      <c r="W481" s="11">
        <v>93.85</v>
      </c>
      <c r="X481" s="11">
        <v>30.95</v>
      </c>
      <c r="Y481" s="13">
        <v>-0.25750000000000001</v>
      </c>
      <c r="Z481" s="13">
        <v>0.26619999999999999</v>
      </c>
      <c r="AA481" s="10">
        <v>0</v>
      </c>
      <c r="AB481" s="14">
        <v>0</v>
      </c>
      <c r="AC481" s="11">
        <v>-62.9</v>
      </c>
      <c r="AD481" s="14">
        <v>-2.49332569611949E-3</v>
      </c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 t="s">
        <v>97</v>
      </c>
    </row>
    <row r="482" spans="1:52" ht="18" hidden="1" customHeight="1" x14ac:dyDescent="0.25">
      <c r="A482" s="4">
        <v>241</v>
      </c>
      <c r="B482" s="4">
        <v>1</v>
      </c>
      <c r="C482" s="4">
        <v>241</v>
      </c>
      <c r="D482" s="85">
        <v>45946</v>
      </c>
      <c r="E482" s="85">
        <v>45947</v>
      </c>
      <c r="F482" s="85">
        <v>45950</v>
      </c>
      <c r="G482" s="5">
        <v>25585.3</v>
      </c>
      <c r="H482" s="5">
        <v>25709.85</v>
      </c>
      <c r="I482" s="5">
        <v>124.55</v>
      </c>
      <c r="J482" s="6">
        <v>4.8680296889229363E-3</v>
      </c>
      <c r="K482" s="91">
        <f t="array" ref="K482">MAX(IF((D482&lt;[1]Nifty_D!$B$2:$B$6600)*(E482&gt;=[1]Nifty_D!$B$2:$B$6600),[1]Nifty_D!$F$2:$F$6600,""))</f>
        <v>25709.85</v>
      </c>
      <c r="L482" s="92">
        <f t="shared" si="25"/>
        <v>4.8680296889229702E-3</v>
      </c>
      <c r="M482" s="91">
        <f t="shared" si="26"/>
        <v>14085.949999999999</v>
      </c>
      <c r="N482" s="93">
        <f t="array" ref="N482">INDEX([1]Nifty_D!$B$2:$B$6600,MATCH(E482,[1]Nifty_D!$B$2:$B$6600,0)-1)</f>
        <v>45946</v>
      </c>
      <c r="O482" s="89">
        <f>VLOOKUP(N482,[1]Nifty_D!$B$2:$F$6600,5,0)</f>
        <v>25585.3</v>
      </c>
      <c r="P482" s="92">
        <f t="shared" si="27"/>
        <v>0</v>
      </c>
      <c r="Q482" s="7" t="s">
        <v>28</v>
      </c>
      <c r="R482" s="4">
        <v>25600</v>
      </c>
      <c r="S482" s="102"/>
      <c r="T482" s="102"/>
      <c r="U482" s="7" t="s">
        <v>90</v>
      </c>
      <c r="V482" s="4">
        <v>65</v>
      </c>
      <c r="W482" s="5">
        <v>96.5</v>
      </c>
      <c r="X482" s="5">
        <v>167.6</v>
      </c>
      <c r="Y482" s="8">
        <v>-0.60719999999999996</v>
      </c>
      <c r="Z482" s="8">
        <v>0.1305</v>
      </c>
      <c r="AA482" s="5">
        <v>-71.099999999999994</v>
      </c>
      <c r="AB482" s="6">
        <v>-2.7789394691482999E-3</v>
      </c>
      <c r="AC482" s="4">
        <v>0</v>
      </c>
      <c r="AD482" s="6">
        <v>0</v>
      </c>
      <c r="AE482" s="5">
        <v>59241.15</v>
      </c>
      <c r="AF482" s="5">
        <v>58902.25</v>
      </c>
      <c r="AG482" s="5">
        <v>-338.9</v>
      </c>
      <c r="AH482" s="5">
        <v>-0.57210000000000005</v>
      </c>
      <c r="AI482" s="4">
        <v>1</v>
      </c>
      <c r="AJ482" s="5">
        <v>-1.6667000000000001E-2</v>
      </c>
      <c r="AK482" s="5">
        <v>-348.77350000000001</v>
      </c>
      <c r="AL482" s="5">
        <v>-0.5887</v>
      </c>
      <c r="AM482" s="8">
        <v>-0.88680000000000003</v>
      </c>
      <c r="AN482" s="8">
        <v>7.0999999999999994E-2</v>
      </c>
      <c r="AO482" s="9">
        <v>-442.77350000000001</v>
      </c>
      <c r="AP482" s="9">
        <v>-0.95609999999999995</v>
      </c>
      <c r="AQ482" s="5">
        <v>103.8265</v>
      </c>
      <c r="AR482" s="5">
        <v>106.8719</v>
      </c>
      <c r="AS482" s="5">
        <v>-3.0453999999999999</v>
      </c>
      <c r="AT482" s="5">
        <v>-2.8496000000000001</v>
      </c>
      <c r="AU482" s="8">
        <v>-0.68859999999999999</v>
      </c>
      <c r="AV482" s="8">
        <v>-0.67010000000000003</v>
      </c>
      <c r="AW482" s="8">
        <v>-0.95609999999999995</v>
      </c>
      <c r="AX482" s="5">
        <v>103.8265</v>
      </c>
      <c r="AY482" s="5">
        <v>-2.8496000000000001</v>
      </c>
      <c r="AZ482" s="7" t="s">
        <v>91</v>
      </c>
    </row>
    <row r="483" spans="1:52" ht="18" customHeight="1" x14ac:dyDescent="0.25">
      <c r="A483" s="10">
        <v>241</v>
      </c>
      <c r="B483" s="10">
        <v>2</v>
      </c>
      <c r="C483" s="10">
        <v>241</v>
      </c>
      <c r="D483" s="86">
        <v>45946</v>
      </c>
      <c r="E483" s="86">
        <v>45947</v>
      </c>
      <c r="F483" s="86">
        <v>45958</v>
      </c>
      <c r="G483" s="11">
        <v>25585.3</v>
      </c>
      <c r="H483" s="11">
        <v>25709.85</v>
      </c>
      <c r="I483" s="12"/>
      <c r="J483" s="12"/>
      <c r="K483" s="91">
        <f t="array" ref="K483">MAX(IF((D483&lt;[1]Nifty_D!$B$2:$B$6600)*(E483&gt;=[1]Nifty_D!$B$2:$B$6600),[1]Nifty_D!$F$2:$F$6600,""))</f>
        <v>25709.85</v>
      </c>
      <c r="L483" s="92">
        <f t="shared" si="25"/>
        <v>4.8680296889229702E-3</v>
      </c>
      <c r="M483" s="91">
        <f t="shared" si="26"/>
        <v>14085.949999999999</v>
      </c>
      <c r="N483" s="93">
        <f t="array" ref="N483">INDEX([1]Nifty_D!$B$2:$B$6600,MATCH(E483,[1]Nifty_D!$B$2:$B$6600,0)-1)</f>
        <v>45946</v>
      </c>
      <c r="O483" s="89">
        <f>VLOOKUP(N483,[1]Nifty_D!$B$2:$F$6600,5,0)</f>
        <v>25585.3</v>
      </c>
      <c r="P483" s="92">
        <f t="shared" si="27"/>
        <v>0</v>
      </c>
      <c r="Q483" s="12" t="s">
        <v>40</v>
      </c>
      <c r="R483" s="10">
        <v>25500</v>
      </c>
      <c r="S483" s="103">
        <f>MROUND(G483,500)</f>
        <v>25500</v>
      </c>
      <c r="T483" s="103">
        <f>S483-R483</f>
        <v>0</v>
      </c>
      <c r="U483" s="12" t="s">
        <v>92</v>
      </c>
      <c r="V483" s="10">
        <v>65</v>
      </c>
      <c r="W483" s="11">
        <v>107.3</v>
      </c>
      <c r="X483" s="11">
        <v>84.4</v>
      </c>
      <c r="Y483" s="13">
        <v>-0.15240000000000001</v>
      </c>
      <c r="Z483" s="13">
        <v>8.6199999999999999E-2</v>
      </c>
      <c r="AA483" s="10">
        <v>0</v>
      </c>
      <c r="AB483" s="14">
        <v>0</v>
      </c>
      <c r="AC483" s="11">
        <v>-22.9</v>
      </c>
      <c r="AD483" s="14">
        <v>-8.950452017369349E-4</v>
      </c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 t="s">
        <v>91</v>
      </c>
    </row>
    <row r="484" spans="1:52" ht="18" hidden="1" customHeight="1" x14ac:dyDescent="0.25">
      <c r="A484" s="4">
        <v>242</v>
      </c>
      <c r="B484" s="4">
        <v>1</v>
      </c>
      <c r="C484" s="4">
        <v>242</v>
      </c>
      <c r="D484" s="85">
        <v>45947</v>
      </c>
      <c r="E484" s="85">
        <v>45950</v>
      </c>
      <c r="F484" s="85">
        <v>45958</v>
      </c>
      <c r="G484" s="5">
        <v>25709.85</v>
      </c>
      <c r="H484" s="5">
        <v>25843.15</v>
      </c>
      <c r="I484" s="5">
        <v>133.30000000000001</v>
      </c>
      <c r="J484" s="6">
        <v>5.1847832640019298E-3</v>
      </c>
      <c r="K484" s="91">
        <f t="array" ref="K484">MAX(IF((D484&lt;[1]Nifty_D!$B$2:$B$6600)*(E484&gt;=[1]Nifty_D!$B$2:$B$6600),[1]Nifty_D!$F$2:$F$6600,""))</f>
        <v>25843.15</v>
      </c>
      <c r="L484" s="92">
        <f t="shared" si="25"/>
        <v>5.1847832640019575E-3</v>
      </c>
      <c r="M484" s="91">
        <f t="shared" si="26"/>
        <v>14219.250000000002</v>
      </c>
      <c r="N484" s="93">
        <f t="array" ref="N484">INDEX([1]Nifty_D!$B$2:$B$6600,MATCH(E484,[1]Nifty_D!$B$2:$B$6600,0)-1)</f>
        <v>45947</v>
      </c>
      <c r="O484" s="89">
        <f>VLOOKUP(N484,[1]Nifty_D!$B$2:$F$6600,5,0)</f>
        <v>25709.85</v>
      </c>
      <c r="P484" s="92">
        <f t="shared" si="27"/>
        <v>0</v>
      </c>
      <c r="Q484" s="7" t="s">
        <v>28</v>
      </c>
      <c r="R484" s="4">
        <v>25700</v>
      </c>
      <c r="S484" s="102"/>
      <c r="T484" s="102"/>
      <c r="U484" s="7" t="s">
        <v>90</v>
      </c>
      <c r="V484" s="4">
        <v>65</v>
      </c>
      <c r="W484" s="5">
        <v>205.95</v>
      </c>
      <c r="X484" s="5">
        <v>282.14999999999998</v>
      </c>
      <c r="Y484" s="8">
        <v>-0.48970000000000002</v>
      </c>
      <c r="Z484" s="8">
        <v>-0.12470000000000001</v>
      </c>
      <c r="AA484" s="5">
        <v>-76.2</v>
      </c>
      <c r="AB484" s="6">
        <v>-2.963844596526234E-3</v>
      </c>
      <c r="AC484" s="4">
        <v>0</v>
      </c>
      <c r="AD484" s="6">
        <v>0</v>
      </c>
      <c r="AE484" s="5">
        <v>58902.25</v>
      </c>
      <c r="AF484" s="5">
        <v>59344.5</v>
      </c>
      <c r="AG484" s="5">
        <v>442.25</v>
      </c>
      <c r="AH484" s="5">
        <v>0.75080000000000002</v>
      </c>
      <c r="AI484" s="4">
        <v>3</v>
      </c>
      <c r="AJ484" s="5">
        <v>-0.05</v>
      </c>
      <c r="AK484" s="5">
        <v>412.7989</v>
      </c>
      <c r="AL484" s="5">
        <v>0.70079999999999998</v>
      </c>
      <c r="AM484" s="8">
        <v>0.32500000000000001</v>
      </c>
      <c r="AN484" s="8">
        <v>0.90539999999999998</v>
      </c>
      <c r="AO484" s="15">
        <v>282.7989</v>
      </c>
      <c r="AP484" s="15">
        <v>0.19520000000000001</v>
      </c>
      <c r="AQ484" s="5">
        <v>104.0292</v>
      </c>
      <c r="AR484" s="5">
        <v>106.8719</v>
      </c>
      <c r="AS484" s="5">
        <v>-2.8426999999999998</v>
      </c>
      <c r="AT484" s="5">
        <v>-2.6598999999999999</v>
      </c>
      <c r="AU484" s="8">
        <v>0.19589999999999999</v>
      </c>
      <c r="AV484" s="8">
        <v>0.10639999999999999</v>
      </c>
      <c r="AW484" s="8">
        <v>0.10639999999999999</v>
      </c>
      <c r="AX484" s="5">
        <v>103.937</v>
      </c>
      <c r="AY484" s="5">
        <v>-2.7462</v>
      </c>
      <c r="AZ484" s="7" t="s">
        <v>96</v>
      </c>
    </row>
    <row r="485" spans="1:52" ht="18" customHeight="1" x14ac:dyDescent="0.25">
      <c r="A485" s="10">
        <v>242</v>
      </c>
      <c r="B485" s="10">
        <v>2</v>
      </c>
      <c r="C485" s="10">
        <v>242</v>
      </c>
      <c r="D485" s="86">
        <v>45947</v>
      </c>
      <c r="E485" s="86">
        <v>45950</v>
      </c>
      <c r="F485" s="86">
        <v>45958</v>
      </c>
      <c r="G485" s="11">
        <v>25709.85</v>
      </c>
      <c r="H485" s="11">
        <v>25843.15</v>
      </c>
      <c r="I485" s="12"/>
      <c r="J485" s="12"/>
      <c r="K485" s="91">
        <f t="array" ref="K485">MAX(IF((D485&lt;[1]Nifty_D!$B$2:$B$6600)*(E485&gt;=[1]Nifty_D!$B$2:$B$6600),[1]Nifty_D!$F$2:$F$6600,""))</f>
        <v>25843.15</v>
      </c>
      <c r="L485" s="92">
        <f t="shared" si="25"/>
        <v>5.1847832640019575E-3</v>
      </c>
      <c r="M485" s="91">
        <f t="shared" si="26"/>
        <v>14219.250000000002</v>
      </c>
      <c r="N485" s="93">
        <f t="array" ref="N485">INDEX([1]Nifty_D!$B$2:$B$6600,MATCH(E485,[1]Nifty_D!$B$2:$B$6600,0)-1)</f>
        <v>45947</v>
      </c>
      <c r="O485" s="89">
        <f>VLOOKUP(N485,[1]Nifty_D!$B$2:$F$6600,5,0)</f>
        <v>25709.85</v>
      </c>
      <c r="P485" s="92">
        <f t="shared" si="27"/>
        <v>0</v>
      </c>
      <c r="Q485" s="12" t="s">
        <v>40</v>
      </c>
      <c r="R485" s="10">
        <v>25500</v>
      </c>
      <c r="S485" s="103">
        <f>MROUND(G485,500)</f>
        <v>25500</v>
      </c>
      <c r="T485" s="103">
        <f>S485-R485</f>
        <v>0</v>
      </c>
      <c r="U485" s="12" t="s">
        <v>92</v>
      </c>
      <c r="V485" s="10">
        <v>65</v>
      </c>
      <c r="W485" s="11">
        <v>84.4</v>
      </c>
      <c r="X485" s="11">
        <v>30.6</v>
      </c>
      <c r="Y485" s="13">
        <v>-0.2198</v>
      </c>
      <c r="Z485" s="13">
        <v>-9.3899999999999997E-2</v>
      </c>
      <c r="AA485" s="10">
        <v>0</v>
      </c>
      <c r="AB485" s="14">
        <v>0</v>
      </c>
      <c r="AC485" s="11">
        <v>-53.8</v>
      </c>
      <c r="AD485" s="14">
        <v>-2.092583192822984E-3</v>
      </c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 t="s">
        <v>96</v>
      </c>
    </row>
    <row r="486" spans="1:52" ht="18" hidden="1" customHeight="1" x14ac:dyDescent="0.25">
      <c r="A486" s="4">
        <v>243</v>
      </c>
      <c r="B486" s="4">
        <v>1</v>
      </c>
      <c r="C486" s="4">
        <v>243</v>
      </c>
      <c r="D486" s="85">
        <v>45950</v>
      </c>
      <c r="E486" s="85">
        <v>45957</v>
      </c>
      <c r="F486" s="85">
        <v>45958</v>
      </c>
      <c r="G486" s="5">
        <v>25843.15</v>
      </c>
      <c r="H486" s="5">
        <v>25966.05</v>
      </c>
      <c r="I486" s="5">
        <v>122.9</v>
      </c>
      <c r="J486" s="6">
        <v>4.7556122221942762E-3</v>
      </c>
      <c r="K486" s="91">
        <f t="array" ref="K486">MAX(IF((D486&lt;[1]Nifty_D!$B$2:$B$6600)*(E486&gt;=[1]Nifty_D!$B$2:$B$6600),[1]Nifty_D!$F$2:$F$6600,""))</f>
        <v>25966.05</v>
      </c>
      <c r="L486" s="92">
        <f t="shared" si="25"/>
        <v>4.7556122221941166E-3</v>
      </c>
      <c r="M486" s="91">
        <f t="shared" si="26"/>
        <v>14342.15</v>
      </c>
      <c r="N486" s="93">
        <f t="array" ref="N486">INDEX([1]Nifty_D!$B$2:$B$6600,MATCH(E486,[1]Nifty_D!$B$2:$B$6600,0)-1)</f>
        <v>45954</v>
      </c>
      <c r="O486" s="89">
        <f>VLOOKUP(N486,[1]Nifty_D!$B$2:$F$6600,5,0)</f>
        <v>25795.15</v>
      </c>
      <c r="P486" s="92">
        <f t="shared" si="27"/>
        <v>-1.8573587198155161E-3</v>
      </c>
      <c r="Q486" s="7" t="s">
        <v>28</v>
      </c>
      <c r="R486" s="4">
        <v>25800</v>
      </c>
      <c r="S486" s="102"/>
      <c r="T486" s="102"/>
      <c r="U486" s="7" t="s">
        <v>90</v>
      </c>
      <c r="V486" s="4">
        <v>65</v>
      </c>
      <c r="W486" s="5">
        <v>210.2</v>
      </c>
      <c r="X486" s="5">
        <v>227.65</v>
      </c>
      <c r="Y486" s="8">
        <v>-0.73809999999999998</v>
      </c>
      <c r="Z486" s="8">
        <v>0.53769999999999996</v>
      </c>
      <c r="AA486" s="5">
        <v>-17.45</v>
      </c>
      <c r="AB486" s="6">
        <v>-6.7522728459959403E-4</v>
      </c>
      <c r="AC486" s="4">
        <v>0</v>
      </c>
      <c r="AD486" s="6">
        <v>0</v>
      </c>
      <c r="AE486" s="5">
        <v>59344.5</v>
      </c>
      <c r="AF486" s="5">
        <v>59780.15</v>
      </c>
      <c r="AG486" s="5">
        <v>435.65</v>
      </c>
      <c r="AH486" s="5">
        <v>0.73409999999999997</v>
      </c>
      <c r="AI486" s="4">
        <v>7</v>
      </c>
      <c r="AJ486" s="5">
        <v>-0.11666700000000001</v>
      </c>
      <c r="AK486" s="5">
        <v>366.41480000000001</v>
      </c>
      <c r="AL486" s="5">
        <v>0.61739999999999995</v>
      </c>
      <c r="AM486" s="8">
        <v>-0.51400000000000001</v>
      </c>
      <c r="AN486" s="8">
        <v>0.74629999999999996</v>
      </c>
      <c r="AO486" s="15">
        <v>229.81479999999999</v>
      </c>
      <c r="AP486" s="15">
        <v>8.8800000000000004E-2</v>
      </c>
      <c r="AQ486" s="5">
        <v>104.1216</v>
      </c>
      <c r="AR486" s="5">
        <v>106.8719</v>
      </c>
      <c r="AS486" s="5">
        <v>-2.7504</v>
      </c>
      <c r="AT486" s="5">
        <v>-2.5735000000000001</v>
      </c>
      <c r="AU486" s="8">
        <v>-0.49640000000000001</v>
      </c>
      <c r="AV486" s="8">
        <v>0.45710000000000001</v>
      </c>
      <c r="AW486" s="8">
        <v>-0.49640000000000001</v>
      </c>
      <c r="AX486" s="5">
        <v>103.5128</v>
      </c>
      <c r="AY486" s="5">
        <v>-3.1431</v>
      </c>
      <c r="AZ486" s="7" t="s">
        <v>91</v>
      </c>
    </row>
    <row r="487" spans="1:52" ht="18" customHeight="1" x14ac:dyDescent="0.25">
      <c r="A487" s="10">
        <v>243</v>
      </c>
      <c r="B487" s="10">
        <v>2</v>
      </c>
      <c r="C487" s="10">
        <v>243</v>
      </c>
      <c r="D487" s="86">
        <v>45950</v>
      </c>
      <c r="E487" s="86">
        <v>45957</v>
      </c>
      <c r="F487" s="86">
        <v>45958</v>
      </c>
      <c r="G487" s="11">
        <v>25843.15</v>
      </c>
      <c r="H487" s="11">
        <v>25966.05</v>
      </c>
      <c r="I487" s="12"/>
      <c r="J487" s="12"/>
      <c r="K487" s="91">
        <f t="array" ref="K487">MAX(IF((D487&lt;[1]Nifty_D!$B$2:$B$6600)*(E487&gt;=[1]Nifty_D!$B$2:$B$6600),[1]Nifty_D!$F$2:$F$6600,""))</f>
        <v>25966.05</v>
      </c>
      <c r="L487" s="92">
        <f t="shared" si="25"/>
        <v>4.7556122221941166E-3</v>
      </c>
      <c r="M487" s="91">
        <f t="shared" si="26"/>
        <v>14342.15</v>
      </c>
      <c r="N487" s="93">
        <f t="array" ref="N487">INDEX([1]Nifty_D!$B$2:$B$6600,MATCH(E487,[1]Nifty_D!$B$2:$B$6600,0)-1)</f>
        <v>45954</v>
      </c>
      <c r="O487" s="89">
        <f>VLOOKUP(N487,[1]Nifty_D!$B$2:$F$6600,5,0)</f>
        <v>25795.15</v>
      </c>
      <c r="P487" s="92">
        <f t="shared" si="27"/>
        <v>-1.8573587198155161E-3</v>
      </c>
      <c r="Q487" s="12" t="s">
        <v>40</v>
      </c>
      <c r="R487" s="10">
        <v>26000</v>
      </c>
      <c r="S487" s="103">
        <f>MROUND(G487,500)</f>
        <v>26000</v>
      </c>
      <c r="T487" s="103">
        <f>S487-R487</f>
        <v>0</v>
      </c>
      <c r="U487" s="12" t="s">
        <v>92</v>
      </c>
      <c r="V487" s="10">
        <v>65</v>
      </c>
      <c r="W487" s="10">
        <v>183</v>
      </c>
      <c r="X487" s="11">
        <v>63.85</v>
      </c>
      <c r="Y487" s="13">
        <v>-0.50460000000000005</v>
      </c>
      <c r="Z487" s="13">
        <v>0.43340000000000001</v>
      </c>
      <c r="AA487" s="10">
        <v>0</v>
      </c>
      <c r="AB487" s="14">
        <v>0</v>
      </c>
      <c r="AC487" s="11">
        <v>-119.15</v>
      </c>
      <c r="AD487" s="14">
        <v>-4.6105060722086899E-3</v>
      </c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 t="s">
        <v>91</v>
      </c>
    </row>
    <row r="488" spans="1:52" ht="18" hidden="1" customHeight="1" x14ac:dyDescent="0.25">
      <c r="A488" s="4">
        <v>244</v>
      </c>
      <c r="B488" s="4">
        <v>1</v>
      </c>
      <c r="C488" s="4">
        <v>244</v>
      </c>
      <c r="D488" s="85">
        <v>45957</v>
      </c>
      <c r="E488" s="85">
        <v>45964</v>
      </c>
      <c r="F488" s="85">
        <v>45965</v>
      </c>
      <c r="G488" s="5">
        <v>25966.05</v>
      </c>
      <c r="H488" s="5">
        <v>25763.35</v>
      </c>
      <c r="I488" s="5">
        <v>-202.7</v>
      </c>
      <c r="J488" s="6">
        <v>-7.8063471340461873E-3</v>
      </c>
      <c r="K488" s="91">
        <f t="array" ref="K488">MAX(IF((D488&lt;[1]Nifty_D!$B$2:$B$6600)*(E488&gt;=[1]Nifty_D!$B$2:$B$6600),[1]Nifty_D!$F$2:$F$6600,""))</f>
        <v>26053.9</v>
      </c>
      <c r="L488" s="92">
        <f t="shared" si="25"/>
        <v>3.383263915766932E-3</v>
      </c>
      <c r="M488" s="91">
        <f t="shared" si="26"/>
        <v>14430.000000000002</v>
      </c>
      <c r="N488" s="93">
        <f t="array" ref="N488">INDEX([1]Nifty_D!$B$2:$B$6600,MATCH(E488,[1]Nifty_D!$B$2:$B$6600,0)-1)</f>
        <v>45961</v>
      </c>
      <c r="O488" s="89">
        <f>VLOOKUP(N488,[1]Nifty_D!$B$2:$F$6600,5,0)</f>
        <v>25722.1</v>
      </c>
      <c r="P488" s="92">
        <f t="shared" si="27"/>
        <v>-9.3949599573289744E-3</v>
      </c>
      <c r="Q488" s="7" t="s">
        <v>28</v>
      </c>
      <c r="R488" s="4">
        <v>26000</v>
      </c>
      <c r="S488" s="102"/>
      <c r="T488" s="102"/>
      <c r="U488" s="7" t="s">
        <v>90</v>
      </c>
      <c r="V488" s="4">
        <v>65</v>
      </c>
      <c r="W488" s="5">
        <v>215.45</v>
      </c>
      <c r="X488" s="5">
        <v>13.9</v>
      </c>
      <c r="Y488" s="8">
        <v>-0.1598</v>
      </c>
      <c r="Z488" s="8">
        <v>0.78369999999999995</v>
      </c>
      <c r="AA488" s="5">
        <v>201.55</v>
      </c>
      <c r="AB488" s="6">
        <v>7.7620585341243668E-3</v>
      </c>
      <c r="AC488" s="4">
        <v>0</v>
      </c>
      <c r="AD488" s="6">
        <v>0</v>
      </c>
      <c r="AE488" s="5">
        <v>59780.15</v>
      </c>
      <c r="AF488" s="5">
        <v>60287.4</v>
      </c>
      <c r="AG488" s="5">
        <v>507.25</v>
      </c>
      <c r="AH488" s="5">
        <v>0.84850000000000003</v>
      </c>
      <c r="AI488" s="4">
        <v>7</v>
      </c>
      <c r="AJ488" s="5">
        <v>-0.11666700000000001</v>
      </c>
      <c r="AK488" s="5">
        <v>437.50650000000002</v>
      </c>
      <c r="AL488" s="5">
        <v>0.7319</v>
      </c>
      <c r="AM488" s="8">
        <v>-0.45889999999999997</v>
      </c>
      <c r="AN488" s="8">
        <v>0.92</v>
      </c>
      <c r="AO488" s="15">
        <v>728.20650000000001</v>
      </c>
      <c r="AP488" s="15">
        <v>1.8513999999999999</v>
      </c>
      <c r="AQ488" s="5">
        <v>106.0493</v>
      </c>
      <c r="AR488" s="5">
        <v>106.8719</v>
      </c>
      <c r="AS488" s="5">
        <v>-0.82269999999999999</v>
      </c>
      <c r="AT488" s="5">
        <v>-0.76980000000000004</v>
      </c>
      <c r="AU488" s="8">
        <v>0.55959999999999999</v>
      </c>
      <c r="AV488" s="8">
        <v>0.9264</v>
      </c>
      <c r="AW488" s="8">
        <v>0.55959999999999999</v>
      </c>
      <c r="AX488" s="5">
        <v>104.7042</v>
      </c>
      <c r="AY488" s="5">
        <v>-2.0283000000000002</v>
      </c>
      <c r="AZ488" s="7" t="s">
        <v>91</v>
      </c>
    </row>
    <row r="489" spans="1:52" ht="18" customHeight="1" x14ac:dyDescent="0.25">
      <c r="A489" s="10">
        <v>244</v>
      </c>
      <c r="B489" s="10">
        <v>2</v>
      </c>
      <c r="C489" s="10">
        <v>244</v>
      </c>
      <c r="D489" s="86">
        <v>45957</v>
      </c>
      <c r="E489" s="86">
        <v>45964</v>
      </c>
      <c r="F489" s="86">
        <v>45986</v>
      </c>
      <c r="G489" s="11">
        <v>25966.05</v>
      </c>
      <c r="H489" s="11">
        <v>25763.35</v>
      </c>
      <c r="I489" s="12"/>
      <c r="J489" s="12"/>
      <c r="K489" s="91">
        <f t="array" ref="K489">MAX(IF((D489&lt;[1]Nifty_D!$B$2:$B$6600)*(E489&gt;=[1]Nifty_D!$B$2:$B$6600),[1]Nifty_D!$F$2:$F$6600,""))</f>
        <v>26053.9</v>
      </c>
      <c r="L489" s="92">
        <f t="shared" si="25"/>
        <v>3.383263915766932E-3</v>
      </c>
      <c r="M489" s="91">
        <f t="shared" si="26"/>
        <v>14430.000000000002</v>
      </c>
      <c r="N489" s="93">
        <f t="array" ref="N489">INDEX([1]Nifty_D!$B$2:$B$6600,MATCH(E489,[1]Nifty_D!$B$2:$B$6600,0)-1)</f>
        <v>45961</v>
      </c>
      <c r="O489" s="89">
        <f>VLOOKUP(N489,[1]Nifty_D!$B$2:$F$6600,5,0)</f>
        <v>25722.1</v>
      </c>
      <c r="P489" s="92">
        <f t="shared" si="27"/>
        <v>-9.3949599573289744E-3</v>
      </c>
      <c r="Q489" s="12" t="s">
        <v>40</v>
      </c>
      <c r="R489" s="10">
        <v>26000</v>
      </c>
      <c r="S489" s="103">
        <f>MROUND(G489,500)</f>
        <v>26000</v>
      </c>
      <c r="T489" s="103">
        <f>S489-R489</f>
        <v>0</v>
      </c>
      <c r="U489" s="12" t="s">
        <v>92</v>
      </c>
      <c r="V489" s="10">
        <v>65</v>
      </c>
      <c r="W489" s="11">
        <v>246.25</v>
      </c>
      <c r="X489" s="11">
        <v>335.4</v>
      </c>
      <c r="Y489" s="13">
        <v>-0.2006</v>
      </c>
      <c r="Z489" s="13">
        <v>0.60160000000000002</v>
      </c>
      <c r="AA489" s="10">
        <v>0</v>
      </c>
      <c r="AB489" s="14">
        <v>0</v>
      </c>
      <c r="AC489" s="11">
        <v>89.15</v>
      </c>
      <c r="AD489" s="14">
        <v>3.4333292895916022E-3</v>
      </c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 t="s">
        <v>91</v>
      </c>
    </row>
    <row r="490" spans="1:52" ht="18" hidden="1" customHeight="1" x14ac:dyDescent="0.25">
      <c r="A490" s="4">
        <v>245</v>
      </c>
      <c r="B490" s="4">
        <v>1</v>
      </c>
      <c r="C490" s="4">
        <v>245</v>
      </c>
      <c r="D490" s="85">
        <v>45964</v>
      </c>
      <c r="E490" s="85">
        <v>45971</v>
      </c>
      <c r="F490" s="85">
        <v>45972</v>
      </c>
      <c r="G490" s="5">
        <v>25763.35</v>
      </c>
      <c r="H490" s="5">
        <v>25574.35</v>
      </c>
      <c r="I490" s="4">
        <v>-189</v>
      </c>
      <c r="J490" s="6">
        <v>-7.3360024996749259E-3</v>
      </c>
      <c r="K490" s="91">
        <f t="array" ref="K490">MAX(IF((D490&lt;[1]Nifty_D!$B$2:$B$6600)*(E490&gt;=[1]Nifty_D!$B$2:$B$6600),[1]Nifty_D!$F$2:$F$6600,""))</f>
        <v>25597.65</v>
      </c>
      <c r="L490" s="92">
        <f t="shared" si="25"/>
        <v>-6.4316170063286604E-3</v>
      </c>
      <c r="M490" s="91">
        <f t="shared" si="26"/>
        <v>13973.750000000002</v>
      </c>
      <c r="N490" s="93">
        <f t="array" ref="N490">INDEX([1]Nifty_D!$B$2:$B$6600,MATCH(E490,[1]Nifty_D!$B$2:$B$6600,0)-1)</f>
        <v>45968</v>
      </c>
      <c r="O490" s="89">
        <f>VLOOKUP(N490,[1]Nifty_D!$B$2:$F$6600,5,0)</f>
        <v>25492.3</v>
      </c>
      <c r="P490" s="92">
        <f t="shared" si="27"/>
        <v>-1.0520759140406843E-2</v>
      </c>
      <c r="Q490" s="7" t="s">
        <v>28</v>
      </c>
      <c r="R490" s="4">
        <v>25800</v>
      </c>
      <c r="S490" s="102"/>
      <c r="T490" s="102"/>
      <c r="U490" s="7" t="s">
        <v>90</v>
      </c>
      <c r="V490" s="4">
        <v>65</v>
      </c>
      <c r="W490" s="5">
        <v>178.3</v>
      </c>
      <c r="X490" s="5">
        <v>9.1999999999999993</v>
      </c>
      <c r="Y490" s="8">
        <v>-1.7899999999999999E-2</v>
      </c>
      <c r="Z490" s="8">
        <v>0.6633</v>
      </c>
      <c r="AA490" s="5">
        <v>169.1</v>
      </c>
      <c r="AB490" s="6">
        <v>6.5635874216668257E-3</v>
      </c>
      <c r="AC490" s="4">
        <v>0</v>
      </c>
      <c r="AD490" s="6">
        <v>0</v>
      </c>
      <c r="AE490" s="5">
        <v>60287.4</v>
      </c>
      <c r="AF490" s="5">
        <v>60124.25</v>
      </c>
      <c r="AG490" s="5">
        <v>-163.15</v>
      </c>
      <c r="AH490" s="5">
        <v>-0.27060000000000001</v>
      </c>
      <c r="AI490" s="4">
        <v>7</v>
      </c>
      <c r="AJ490" s="5">
        <v>-0.11666700000000001</v>
      </c>
      <c r="AK490" s="5">
        <v>-233.4853</v>
      </c>
      <c r="AL490" s="5">
        <v>-0.38729999999999998</v>
      </c>
      <c r="AM490" s="8">
        <v>-2.52</v>
      </c>
      <c r="AN490" s="8">
        <v>0.1066</v>
      </c>
      <c r="AO490" s="15">
        <v>1.6647000000000001</v>
      </c>
      <c r="AP490" s="15">
        <v>0.52539999999999998</v>
      </c>
      <c r="AQ490" s="5">
        <v>106.6065</v>
      </c>
      <c r="AR490" s="5">
        <v>106.8719</v>
      </c>
      <c r="AS490" s="5">
        <v>-0.26550000000000001</v>
      </c>
      <c r="AT490" s="5">
        <v>-0.24840000000000001</v>
      </c>
      <c r="AU490" s="8">
        <v>6.8699999999999997E-2</v>
      </c>
      <c r="AV490" s="8">
        <v>-0.70250000000000001</v>
      </c>
      <c r="AW490" s="8">
        <v>-0.70250000000000001</v>
      </c>
      <c r="AX490" s="5">
        <v>105.3043</v>
      </c>
      <c r="AY490" s="5">
        <v>-1.4668000000000001</v>
      </c>
      <c r="AZ490" s="7" t="s">
        <v>91</v>
      </c>
    </row>
    <row r="491" spans="1:52" ht="18" customHeight="1" x14ac:dyDescent="0.25">
      <c r="A491" s="10">
        <v>245</v>
      </c>
      <c r="B491" s="10">
        <v>2</v>
      </c>
      <c r="C491" s="10">
        <v>245</v>
      </c>
      <c r="D491" s="86">
        <v>45964</v>
      </c>
      <c r="E491" s="86">
        <v>45971</v>
      </c>
      <c r="F491" s="86">
        <v>45986</v>
      </c>
      <c r="G491" s="11">
        <v>25763.35</v>
      </c>
      <c r="H491" s="11">
        <v>25574.35</v>
      </c>
      <c r="I491" s="12"/>
      <c r="J491" s="12"/>
      <c r="K491" s="91">
        <f t="array" ref="K491">MAX(IF((D491&lt;[1]Nifty_D!$B$2:$B$6600)*(E491&gt;=[1]Nifty_D!$B$2:$B$6600),[1]Nifty_D!$F$2:$F$6600,""))</f>
        <v>25597.65</v>
      </c>
      <c r="L491" s="92">
        <f t="shared" si="25"/>
        <v>-6.4316170063286604E-3</v>
      </c>
      <c r="M491" s="91">
        <f t="shared" si="26"/>
        <v>13973.750000000002</v>
      </c>
      <c r="N491" s="93">
        <f t="array" ref="N491">INDEX([1]Nifty_D!$B$2:$B$6600,MATCH(E491,[1]Nifty_D!$B$2:$B$6600,0)-1)</f>
        <v>45968</v>
      </c>
      <c r="O491" s="89">
        <f>VLOOKUP(N491,[1]Nifty_D!$B$2:$F$6600,5,0)</f>
        <v>25492.3</v>
      </c>
      <c r="P491" s="92">
        <f t="shared" si="27"/>
        <v>-1.0520759140406843E-2</v>
      </c>
      <c r="Q491" s="12" t="s">
        <v>40</v>
      </c>
      <c r="R491" s="10">
        <v>26000</v>
      </c>
      <c r="S491" s="103">
        <f>MROUND(G491,500)</f>
        <v>26000</v>
      </c>
      <c r="T491" s="103">
        <f>S491-R491</f>
        <v>0</v>
      </c>
      <c r="U491" s="12" t="s">
        <v>92</v>
      </c>
      <c r="V491" s="10">
        <v>65</v>
      </c>
      <c r="W491" s="11">
        <v>335.4</v>
      </c>
      <c r="X491" s="11">
        <v>401.45</v>
      </c>
      <c r="Y491" s="13">
        <v>-0.02</v>
      </c>
      <c r="Z491" s="13">
        <v>1.1541999999999999</v>
      </c>
      <c r="AA491" s="10">
        <v>0</v>
      </c>
      <c r="AB491" s="14">
        <v>0</v>
      </c>
      <c r="AC491" s="11">
        <v>66.05</v>
      </c>
      <c r="AD491" s="14">
        <v>2.5637193920821631E-3</v>
      </c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 t="s">
        <v>91</v>
      </c>
    </row>
    <row r="492" spans="1:52" ht="18" hidden="1" customHeight="1" x14ac:dyDescent="0.25">
      <c r="A492" s="4">
        <v>246</v>
      </c>
      <c r="B492" s="4">
        <v>1</v>
      </c>
      <c r="C492" s="4">
        <v>246</v>
      </c>
      <c r="D492" s="85">
        <v>45971</v>
      </c>
      <c r="E492" s="85">
        <v>45973</v>
      </c>
      <c r="F492" s="85">
        <v>45979</v>
      </c>
      <c r="G492" s="5">
        <v>25574.35</v>
      </c>
      <c r="H492" s="5">
        <v>25875.8</v>
      </c>
      <c r="I492" s="5">
        <v>301.45</v>
      </c>
      <c r="J492" s="6">
        <v>1.178720084772438E-2</v>
      </c>
      <c r="K492" s="91">
        <f t="array" ref="K492">MAX(IF((D492&lt;[1]Nifty_D!$B$2:$B$6600)*(E492&gt;=[1]Nifty_D!$B$2:$B$6600),[1]Nifty_D!$F$2:$F$6600,""))</f>
        <v>25875.8</v>
      </c>
      <c r="L492" s="92">
        <f t="shared" si="25"/>
        <v>1.1787200847724444E-2</v>
      </c>
      <c r="M492" s="91">
        <f t="shared" si="26"/>
        <v>14251.9</v>
      </c>
      <c r="N492" s="93">
        <f t="array" ref="N492">INDEX([1]Nifty_D!$B$2:$B$6600,MATCH(E492,[1]Nifty_D!$B$2:$B$6600,0)-1)</f>
        <v>45972</v>
      </c>
      <c r="O492" s="89">
        <f>VLOOKUP(N492,[1]Nifty_D!$B$2:$F$6600,5,0)</f>
        <v>25694.95</v>
      </c>
      <c r="P492" s="92">
        <f t="shared" si="27"/>
        <v>4.7156623726507529E-3</v>
      </c>
      <c r="Q492" s="7" t="s">
        <v>28</v>
      </c>
      <c r="R492" s="4">
        <v>25600</v>
      </c>
      <c r="S492" s="102"/>
      <c r="T492" s="102"/>
      <c r="U492" s="7" t="s">
        <v>90</v>
      </c>
      <c r="V492" s="4">
        <v>65</v>
      </c>
      <c r="W492" s="5">
        <v>192.15</v>
      </c>
      <c r="X492" s="5">
        <v>373.35</v>
      </c>
      <c r="Y492" s="8">
        <v>-0.85589999999999999</v>
      </c>
      <c r="Z492" s="8">
        <v>0.26219999999999999</v>
      </c>
      <c r="AA492" s="5">
        <v>-181.2</v>
      </c>
      <c r="AB492" s="6">
        <v>-7.0852240623906371E-3</v>
      </c>
      <c r="AC492" s="4">
        <v>0</v>
      </c>
      <c r="AD492" s="6">
        <v>0</v>
      </c>
      <c r="AE492" s="5">
        <v>60124.25</v>
      </c>
      <c r="AF492" s="5">
        <v>60902.3</v>
      </c>
      <c r="AG492" s="5">
        <v>778.05</v>
      </c>
      <c r="AH492" s="5">
        <v>1.2941</v>
      </c>
      <c r="AI492" s="4">
        <v>2</v>
      </c>
      <c r="AJ492" s="5">
        <v>-3.3333000000000002E-2</v>
      </c>
      <c r="AK492" s="5">
        <v>758.0086</v>
      </c>
      <c r="AL492" s="5">
        <v>1.2606999999999999</v>
      </c>
      <c r="AM492" s="8">
        <v>-0.53580000000000005</v>
      </c>
      <c r="AN492" s="8">
        <v>1.4410000000000001</v>
      </c>
      <c r="AO492" s="15">
        <v>383.2586</v>
      </c>
      <c r="AP492" s="15">
        <v>-0.2046</v>
      </c>
      <c r="AQ492" s="5">
        <v>106.3884</v>
      </c>
      <c r="AR492" s="5">
        <v>106.8719</v>
      </c>
      <c r="AS492" s="5">
        <v>-0.48359999999999997</v>
      </c>
      <c r="AT492" s="5">
        <v>-0.45250000000000001</v>
      </c>
      <c r="AU492" s="8">
        <v>-0.23</v>
      </c>
      <c r="AV492" s="8">
        <v>0.16900000000000001</v>
      </c>
      <c r="AW492" s="8">
        <v>-0.23</v>
      </c>
      <c r="AX492" s="5">
        <v>106.3613</v>
      </c>
      <c r="AY492" s="5">
        <v>-0.4778</v>
      </c>
      <c r="AZ492" s="7" t="s">
        <v>95</v>
      </c>
    </row>
    <row r="493" spans="1:52" ht="18" customHeight="1" x14ac:dyDescent="0.25">
      <c r="A493" s="10">
        <v>246</v>
      </c>
      <c r="B493" s="10">
        <v>2</v>
      </c>
      <c r="C493" s="10">
        <v>246</v>
      </c>
      <c r="D493" s="86">
        <v>45971</v>
      </c>
      <c r="E493" s="86">
        <v>45973</v>
      </c>
      <c r="F493" s="86">
        <v>45986</v>
      </c>
      <c r="G493" s="11">
        <v>25574.35</v>
      </c>
      <c r="H493" s="11">
        <v>25875.8</v>
      </c>
      <c r="I493" s="12"/>
      <c r="J493" s="12"/>
      <c r="K493" s="91">
        <f t="array" ref="K493">MAX(IF((D493&lt;[1]Nifty_D!$B$2:$B$6600)*(E493&gt;=[1]Nifty_D!$B$2:$B$6600),[1]Nifty_D!$F$2:$F$6600,""))</f>
        <v>25875.8</v>
      </c>
      <c r="L493" s="92">
        <f t="shared" si="25"/>
        <v>1.1787200847724444E-2</v>
      </c>
      <c r="M493" s="91">
        <f t="shared" si="26"/>
        <v>14251.9</v>
      </c>
      <c r="N493" s="93">
        <f t="array" ref="N493">INDEX([1]Nifty_D!$B$2:$B$6600,MATCH(E493,[1]Nifty_D!$B$2:$B$6600,0)-1)</f>
        <v>45972</v>
      </c>
      <c r="O493" s="89">
        <f>VLOOKUP(N493,[1]Nifty_D!$B$2:$F$6600,5,0)</f>
        <v>25694.95</v>
      </c>
      <c r="P493" s="92">
        <f t="shared" si="27"/>
        <v>4.7156623726507529E-3</v>
      </c>
      <c r="Q493" s="12" t="s">
        <v>40</v>
      </c>
      <c r="R493" s="10">
        <v>26000</v>
      </c>
      <c r="S493" s="103">
        <f>MROUND(G493,500)</f>
        <v>25500</v>
      </c>
      <c r="T493" s="103">
        <f>S493-R493</f>
        <v>-500</v>
      </c>
      <c r="U493" s="12" t="s">
        <v>92</v>
      </c>
      <c r="V493" s="10">
        <v>65</v>
      </c>
      <c r="W493" s="11">
        <v>401.45</v>
      </c>
      <c r="X493" s="11">
        <v>207.9</v>
      </c>
      <c r="Y493" s="13">
        <v>-0.81510000000000005</v>
      </c>
      <c r="Z493" s="13">
        <v>0.44259999999999999</v>
      </c>
      <c r="AA493" s="10">
        <v>0</v>
      </c>
      <c r="AB493" s="14">
        <v>0</v>
      </c>
      <c r="AC493" s="11">
        <v>-193.55</v>
      </c>
      <c r="AD493" s="14">
        <v>-7.5681297862897796E-3</v>
      </c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 t="s">
        <v>95</v>
      </c>
    </row>
    <row r="494" spans="1:52" ht="18" hidden="1" customHeight="1" x14ac:dyDescent="0.25">
      <c r="A494" s="4">
        <v>247</v>
      </c>
      <c r="B494" s="4">
        <v>1</v>
      </c>
      <c r="C494" s="4">
        <v>247</v>
      </c>
      <c r="D494" s="85">
        <v>45973</v>
      </c>
      <c r="E494" s="85">
        <v>45978</v>
      </c>
      <c r="F494" s="85">
        <v>45979</v>
      </c>
      <c r="G494" s="5">
        <v>25875.8</v>
      </c>
      <c r="H494" s="5">
        <v>26013.45</v>
      </c>
      <c r="I494" s="5">
        <v>137.65</v>
      </c>
      <c r="J494" s="6">
        <v>5.3196422912528312E-3</v>
      </c>
      <c r="K494" s="91">
        <f t="array" ref="K494">MAX(IF((D494&lt;[1]Nifty_D!$B$2:$B$6600)*(E494&gt;=[1]Nifty_D!$B$2:$B$6600),[1]Nifty_D!$F$2:$F$6600,""))</f>
        <v>26013.45</v>
      </c>
      <c r="L494" s="92">
        <f t="shared" si="25"/>
        <v>5.319642291252924E-3</v>
      </c>
      <c r="M494" s="91">
        <f t="shared" si="26"/>
        <v>14389.550000000001</v>
      </c>
      <c r="N494" s="93">
        <f t="array" ref="N494">INDEX([1]Nifty_D!$B$2:$B$6600,MATCH(E494,[1]Nifty_D!$B$2:$B$6600,0)-1)</f>
        <v>45975</v>
      </c>
      <c r="O494" s="89">
        <f>VLOOKUP(N494,[1]Nifty_D!$B$2:$F$6600,5,0)</f>
        <v>25910.05</v>
      </c>
      <c r="P494" s="92">
        <f t="shared" si="27"/>
        <v>1.3236305737407417E-3</v>
      </c>
      <c r="Q494" s="7" t="s">
        <v>28</v>
      </c>
      <c r="R494" s="4">
        <v>25900</v>
      </c>
      <c r="S494" s="102"/>
      <c r="T494" s="102"/>
      <c r="U494" s="7" t="s">
        <v>90</v>
      </c>
      <c r="V494" s="4">
        <v>65</v>
      </c>
      <c r="W494" s="5">
        <v>153.30000000000001</v>
      </c>
      <c r="X494" s="5">
        <v>140.44999999999999</v>
      </c>
      <c r="Y494" s="8">
        <v>-0.2535</v>
      </c>
      <c r="Z494" s="8">
        <v>0.35170000000000001</v>
      </c>
      <c r="AA494" s="5">
        <v>12.85</v>
      </c>
      <c r="AB494" s="6">
        <v>4.9660300357863335E-4</v>
      </c>
      <c r="AC494" s="4">
        <v>0</v>
      </c>
      <c r="AD494" s="6">
        <v>0</v>
      </c>
      <c r="AE494" s="5">
        <v>60902.3</v>
      </c>
      <c r="AF494" s="5">
        <v>61180.5</v>
      </c>
      <c r="AG494" s="5">
        <v>278.2</v>
      </c>
      <c r="AH494" s="5">
        <v>0.45679999999999998</v>
      </c>
      <c r="AI494" s="4">
        <v>5</v>
      </c>
      <c r="AJ494" s="5">
        <v>-8.3333000000000004E-2</v>
      </c>
      <c r="AK494" s="5">
        <v>227.44810000000001</v>
      </c>
      <c r="AL494" s="5">
        <v>0.3735</v>
      </c>
      <c r="AM494" s="8">
        <v>-0.71150000000000002</v>
      </c>
      <c r="AN494" s="8">
        <v>0.42330000000000001</v>
      </c>
      <c r="AO494" s="15">
        <v>173.09809999999999</v>
      </c>
      <c r="AP494" s="15">
        <v>0.16350000000000001</v>
      </c>
      <c r="AQ494" s="5">
        <v>106.56229999999999</v>
      </c>
      <c r="AR494" s="5">
        <v>106.8719</v>
      </c>
      <c r="AS494" s="5">
        <v>-0.30959999999999999</v>
      </c>
      <c r="AT494" s="5">
        <v>-0.28970000000000001</v>
      </c>
      <c r="AU494" s="8">
        <v>-0.1268</v>
      </c>
      <c r="AV494" s="8">
        <v>1.7399999999999999E-2</v>
      </c>
      <c r="AW494" s="8">
        <v>-0.1268</v>
      </c>
      <c r="AX494" s="5">
        <v>106.2535</v>
      </c>
      <c r="AY494" s="5">
        <v>-0.57869999999999999</v>
      </c>
      <c r="AZ494" s="7" t="s">
        <v>91</v>
      </c>
    </row>
    <row r="495" spans="1:52" ht="18" customHeight="1" x14ac:dyDescent="0.25">
      <c r="A495" s="10">
        <v>247</v>
      </c>
      <c r="B495" s="10">
        <v>2</v>
      </c>
      <c r="C495" s="10">
        <v>247</v>
      </c>
      <c r="D495" s="86">
        <v>45973</v>
      </c>
      <c r="E495" s="86">
        <v>45978</v>
      </c>
      <c r="F495" s="86">
        <v>45986</v>
      </c>
      <c r="G495" s="11">
        <v>25875.8</v>
      </c>
      <c r="H495" s="11">
        <v>26013.45</v>
      </c>
      <c r="I495" s="12"/>
      <c r="J495" s="12"/>
      <c r="K495" s="91">
        <f t="array" ref="K495">MAX(IF((D495&lt;[1]Nifty_D!$B$2:$B$6600)*(E495&gt;=[1]Nifty_D!$B$2:$B$6600),[1]Nifty_D!$F$2:$F$6600,""))</f>
        <v>26013.45</v>
      </c>
      <c r="L495" s="92">
        <f t="shared" si="25"/>
        <v>5.319642291252924E-3</v>
      </c>
      <c r="M495" s="91">
        <f t="shared" si="26"/>
        <v>14389.550000000001</v>
      </c>
      <c r="N495" s="93">
        <f t="array" ref="N495">INDEX([1]Nifty_D!$B$2:$B$6600,MATCH(E495,[1]Nifty_D!$B$2:$B$6600,0)-1)</f>
        <v>45975</v>
      </c>
      <c r="O495" s="89">
        <f>VLOOKUP(N495,[1]Nifty_D!$B$2:$F$6600,5,0)</f>
        <v>25910.05</v>
      </c>
      <c r="P495" s="92">
        <f t="shared" si="27"/>
        <v>1.3236305737407417E-3</v>
      </c>
      <c r="Q495" s="12" t="s">
        <v>40</v>
      </c>
      <c r="R495" s="10">
        <v>26000</v>
      </c>
      <c r="S495" s="103">
        <f>MROUND(G495,500)</f>
        <v>26000</v>
      </c>
      <c r="T495" s="103">
        <f>S495-R495</f>
        <v>0</v>
      </c>
      <c r="U495" s="12" t="s">
        <v>92</v>
      </c>
      <c r="V495" s="10">
        <v>65</v>
      </c>
      <c r="W495" s="11">
        <v>207.9</v>
      </c>
      <c r="X495" s="11">
        <v>140.69999999999999</v>
      </c>
      <c r="Y495" s="13">
        <v>-0.29659999999999997</v>
      </c>
      <c r="Z495" s="13">
        <v>0.37719999999999998</v>
      </c>
      <c r="AA495" s="10">
        <v>0</v>
      </c>
      <c r="AB495" s="14">
        <v>0</v>
      </c>
      <c r="AC495" s="11">
        <v>-67.2</v>
      </c>
      <c r="AD495" s="14">
        <v>-2.5970211549014911E-3</v>
      </c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 t="s">
        <v>91</v>
      </c>
    </row>
    <row r="496" spans="1:52" ht="18" hidden="1" customHeight="1" x14ac:dyDescent="0.25">
      <c r="A496" s="4">
        <v>248</v>
      </c>
      <c r="B496" s="4">
        <v>1</v>
      </c>
      <c r="C496" s="4">
        <v>248</v>
      </c>
      <c r="D496" s="85">
        <v>45978</v>
      </c>
      <c r="E496" s="85">
        <v>45985</v>
      </c>
      <c r="F496" s="85">
        <v>45986</v>
      </c>
      <c r="G496" s="5">
        <v>26013.45</v>
      </c>
      <c r="H496" s="5">
        <v>25959.5</v>
      </c>
      <c r="I496" s="5">
        <v>-53.95</v>
      </c>
      <c r="J496" s="6">
        <v>-2.0739271415363982E-3</v>
      </c>
      <c r="K496" s="91">
        <f t="array" ref="K496">MAX(IF((D496&lt;[1]Nifty_D!$B$2:$B$6600)*(E496&gt;=[1]Nifty_D!$B$2:$B$6600),[1]Nifty_D!$F$2:$F$6600,""))</f>
        <v>26192.15</v>
      </c>
      <c r="L496" s="92">
        <f t="shared" si="25"/>
        <v>6.869523265849109E-3</v>
      </c>
      <c r="M496" s="91">
        <f t="shared" si="26"/>
        <v>14568.250000000002</v>
      </c>
      <c r="N496" s="93">
        <f t="array" ref="N496">INDEX([1]Nifty_D!$B$2:$B$6600,MATCH(E496,[1]Nifty_D!$B$2:$B$6600,0)-1)</f>
        <v>45982</v>
      </c>
      <c r="O496" s="89">
        <f>VLOOKUP(N496,[1]Nifty_D!$B$2:$F$6600,5,0)</f>
        <v>26068.15</v>
      </c>
      <c r="P496" s="92">
        <f t="shared" si="27"/>
        <v>2.1027583807606831E-3</v>
      </c>
      <c r="Q496" s="7" t="s">
        <v>28</v>
      </c>
      <c r="R496" s="4">
        <v>26000</v>
      </c>
      <c r="S496" s="102"/>
      <c r="T496" s="102"/>
      <c r="U496" s="7" t="s">
        <v>90</v>
      </c>
      <c r="V496" s="4">
        <v>65</v>
      </c>
      <c r="W496" s="5">
        <v>203.15</v>
      </c>
      <c r="X496" s="5">
        <v>72.400000000000006</v>
      </c>
      <c r="Y496" s="8">
        <v>-0.41039999999999999</v>
      </c>
      <c r="Z496" s="8">
        <v>0.58819999999999995</v>
      </c>
      <c r="AA496" s="5">
        <v>130.75</v>
      </c>
      <c r="AB496" s="6">
        <v>5.0262460381072099E-3</v>
      </c>
      <c r="AC496" s="4">
        <v>0</v>
      </c>
      <c r="AD496" s="6">
        <v>0</v>
      </c>
      <c r="AE496" s="5">
        <v>61180.5</v>
      </c>
      <c r="AF496" s="5">
        <v>60081.599999999999</v>
      </c>
      <c r="AG496" s="5">
        <v>-1098.9000000000001</v>
      </c>
      <c r="AH496" s="5">
        <v>-1.7962</v>
      </c>
      <c r="AI496" s="4">
        <v>7</v>
      </c>
      <c r="AJ496" s="5">
        <v>-0.11666700000000001</v>
      </c>
      <c r="AK496" s="5">
        <v>-1170.2773</v>
      </c>
      <c r="AL496" s="5">
        <v>-1.9128000000000001</v>
      </c>
      <c r="AM496" s="8">
        <v>-2.0952000000000002</v>
      </c>
      <c r="AN496" s="8">
        <v>4.8300000000000003E-2</v>
      </c>
      <c r="AO496" s="9">
        <v>-1108.8272999999999</v>
      </c>
      <c r="AP496" s="9">
        <v>-1.6766000000000001</v>
      </c>
      <c r="AQ496" s="5">
        <v>104.7757</v>
      </c>
      <c r="AR496" s="5">
        <v>106.8719</v>
      </c>
      <c r="AS496" s="5">
        <v>-2.0962999999999998</v>
      </c>
      <c r="AT496" s="5">
        <v>-1.9615</v>
      </c>
      <c r="AU496" s="8">
        <v>-0.81840000000000002</v>
      </c>
      <c r="AV496" s="8">
        <v>-1.1908000000000001</v>
      </c>
      <c r="AW496" s="8">
        <v>-1.6766000000000001</v>
      </c>
      <c r="AX496" s="5">
        <v>104.7757</v>
      </c>
      <c r="AY496" s="5">
        <v>-1.9615</v>
      </c>
      <c r="AZ496" s="7" t="s">
        <v>91</v>
      </c>
    </row>
    <row r="497" spans="1:52" ht="18" customHeight="1" x14ac:dyDescent="0.25">
      <c r="A497" s="10">
        <v>248</v>
      </c>
      <c r="B497" s="10">
        <v>2</v>
      </c>
      <c r="C497" s="10">
        <v>248</v>
      </c>
      <c r="D497" s="86">
        <v>45978</v>
      </c>
      <c r="E497" s="86">
        <v>45985</v>
      </c>
      <c r="F497" s="86">
        <v>45986</v>
      </c>
      <c r="G497" s="11">
        <v>26013.45</v>
      </c>
      <c r="H497" s="11">
        <v>25959.5</v>
      </c>
      <c r="I497" s="12"/>
      <c r="J497" s="12"/>
      <c r="K497" s="91">
        <f t="array" ref="K497">MAX(IF((D497&lt;[1]Nifty_D!$B$2:$B$6600)*(E497&gt;=[1]Nifty_D!$B$2:$B$6600),[1]Nifty_D!$F$2:$F$6600,""))</f>
        <v>26192.15</v>
      </c>
      <c r="L497" s="92">
        <f t="shared" si="25"/>
        <v>6.869523265849109E-3</v>
      </c>
      <c r="M497" s="91">
        <f t="shared" si="26"/>
        <v>14568.250000000002</v>
      </c>
      <c r="N497" s="93">
        <f t="array" ref="N497">INDEX([1]Nifty_D!$B$2:$B$6600,MATCH(E497,[1]Nifty_D!$B$2:$B$6600,0)-1)</f>
        <v>45982</v>
      </c>
      <c r="O497" s="89">
        <f>VLOOKUP(N497,[1]Nifty_D!$B$2:$F$6600,5,0)</f>
        <v>26068.15</v>
      </c>
      <c r="P497" s="92">
        <f t="shared" si="27"/>
        <v>2.1027583807606831E-3</v>
      </c>
      <c r="Q497" s="12" t="s">
        <v>40</v>
      </c>
      <c r="R497" s="10">
        <v>26000</v>
      </c>
      <c r="S497" s="103">
        <f>MROUND(G497,500)</f>
        <v>26000</v>
      </c>
      <c r="T497" s="103">
        <f>S497-R497</f>
        <v>0</v>
      </c>
      <c r="U497" s="12" t="s">
        <v>92</v>
      </c>
      <c r="V497" s="10">
        <v>65</v>
      </c>
      <c r="W497" s="11">
        <v>140.69999999999999</v>
      </c>
      <c r="X497" s="11">
        <v>71.400000000000006</v>
      </c>
      <c r="Y497" s="13">
        <v>-0.45629999999999998</v>
      </c>
      <c r="Z497" s="13">
        <v>0.31619999999999998</v>
      </c>
      <c r="AA497" s="10">
        <v>0</v>
      </c>
      <c r="AB497" s="14">
        <v>0</v>
      </c>
      <c r="AC497" s="11">
        <v>-69.3</v>
      </c>
      <c r="AD497" s="14">
        <v>-2.6640065043275689E-3</v>
      </c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 t="s">
        <v>91</v>
      </c>
    </row>
    <row r="498" spans="1:52" ht="18" hidden="1" customHeight="1" x14ac:dyDescent="0.25">
      <c r="A498" s="4">
        <v>249</v>
      </c>
      <c r="B498" s="4">
        <v>1</v>
      </c>
      <c r="C498" s="4">
        <v>249</v>
      </c>
      <c r="D498" s="85">
        <v>45985</v>
      </c>
      <c r="E498" s="85">
        <v>45992</v>
      </c>
      <c r="F498" s="85">
        <v>45993</v>
      </c>
      <c r="G498" s="5">
        <v>25959.5</v>
      </c>
      <c r="H498" s="5">
        <v>26175.75</v>
      </c>
      <c r="I498" s="5">
        <v>216.25</v>
      </c>
      <c r="J498" s="6">
        <v>8.3302837111654694E-3</v>
      </c>
      <c r="K498" s="91">
        <f t="array" ref="K498">MAX(IF((D498&lt;[1]Nifty_D!$B$2:$B$6600)*(E498&gt;=[1]Nifty_D!$B$2:$B$6600),[1]Nifty_D!$F$2:$F$6600,""))</f>
        <v>26215.55</v>
      </c>
      <c r="L498" s="92">
        <f t="shared" si="25"/>
        <v>9.8634411294515889E-3</v>
      </c>
      <c r="M498" s="91">
        <f t="shared" si="26"/>
        <v>14591.65</v>
      </c>
      <c r="N498" s="93">
        <f t="array" ref="N498">INDEX([1]Nifty_D!$B$2:$B$6600,MATCH(E498,[1]Nifty_D!$B$2:$B$6600,0)-1)</f>
        <v>45989</v>
      </c>
      <c r="O498" s="89">
        <f>VLOOKUP(N498,[1]Nifty_D!$B$2:$F$6600,5,0)</f>
        <v>26202.95</v>
      </c>
      <c r="P498" s="92">
        <f t="shared" si="27"/>
        <v>9.3780696854717238E-3</v>
      </c>
      <c r="Q498" s="7" t="s">
        <v>28</v>
      </c>
      <c r="R498" s="4">
        <v>26000</v>
      </c>
      <c r="S498" s="102"/>
      <c r="T498" s="102"/>
      <c r="U498" s="7" t="s">
        <v>90</v>
      </c>
      <c r="V498" s="4">
        <v>65</v>
      </c>
      <c r="W498" s="5">
        <v>198.05</v>
      </c>
      <c r="X498" s="5">
        <v>198.8</v>
      </c>
      <c r="Y498" s="8">
        <v>-0.67220000000000002</v>
      </c>
      <c r="Z498" s="8">
        <v>0.4143</v>
      </c>
      <c r="AA498" s="5">
        <v>-0.75</v>
      </c>
      <c r="AB498" s="6">
        <v>-2.8891157379764631E-5</v>
      </c>
      <c r="AC498" s="4">
        <v>0</v>
      </c>
      <c r="AD498" s="6">
        <v>0</v>
      </c>
      <c r="AE498" s="5">
        <v>60081.599999999999</v>
      </c>
      <c r="AF498" s="5">
        <v>61043.4</v>
      </c>
      <c r="AG498" s="5">
        <v>961.8</v>
      </c>
      <c r="AH498" s="5">
        <v>1.6008</v>
      </c>
      <c r="AI498" s="4">
        <v>7</v>
      </c>
      <c r="AJ498" s="5">
        <v>-0.11666700000000001</v>
      </c>
      <c r="AK498" s="5">
        <v>891.70479999999998</v>
      </c>
      <c r="AL498" s="5">
        <v>1.4842</v>
      </c>
      <c r="AM498" s="8">
        <v>-0.22950000000000001</v>
      </c>
      <c r="AN498" s="8">
        <v>1.9277</v>
      </c>
      <c r="AO498" s="15">
        <v>778.70479999999998</v>
      </c>
      <c r="AP498" s="15">
        <v>1.0488999999999999</v>
      </c>
      <c r="AQ498" s="5">
        <v>105.8747</v>
      </c>
      <c r="AR498" s="5">
        <v>106.8719</v>
      </c>
      <c r="AS498" s="5">
        <v>-0.99729999999999996</v>
      </c>
      <c r="AT498" s="5">
        <v>-0.93310000000000004</v>
      </c>
      <c r="AU498" s="8">
        <v>0.64319999999999999</v>
      </c>
      <c r="AV498" s="8">
        <v>0.32119999999999999</v>
      </c>
      <c r="AW498" s="8">
        <v>0.32119999999999999</v>
      </c>
      <c r="AX498" s="5">
        <v>105.1122</v>
      </c>
      <c r="AY498" s="5">
        <v>-1.6466000000000001</v>
      </c>
      <c r="AZ498" s="7" t="s">
        <v>91</v>
      </c>
    </row>
    <row r="499" spans="1:52" ht="18" customHeight="1" x14ac:dyDescent="0.25">
      <c r="A499" s="10">
        <v>249</v>
      </c>
      <c r="B499" s="10">
        <v>2</v>
      </c>
      <c r="C499" s="10">
        <v>249</v>
      </c>
      <c r="D499" s="86">
        <v>45985</v>
      </c>
      <c r="E499" s="86">
        <v>45992</v>
      </c>
      <c r="F499" s="86">
        <v>46021</v>
      </c>
      <c r="G499" s="11">
        <v>25959.5</v>
      </c>
      <c r="H499" s="11">
        <v>26175.75</v>
      </c>
      <c r="I499" s="12"/>
      <c r="J499" s="12"/>
      <c r="K499" s="91">
        <f t="array" ref="K499">MAX(IF((D499&lt;[1]Nifty_D!$B$2:$B$6600)*(E499&gt;=[1]Nifty_D!$B$2:$B$6600),[1]Nifty_D!$F$2:$F$6600,""))</f>
        <v>26215.55</v>
      </c>
      <c r="L499" s="92">
        <f t="shared" si="25"/>
        <v>9.8634411294515889E-3</v>
      </c>
      <c r="M499" s="91">
        <f t="shared" si="26"/>
        <v>14591.65</v>
      </c>
      <c r="N499" s="93">
        <f t="array" ref="N499">INDEX([1]Nifty_D!$B$2:$B$6600,MATCH(E499,[1]Nifty_D!$B$2:$B$6600,0)-1)</f>
        <v>45989</v>
      </c>
      <c r="O499" s="89">
        <f>VLOOKUP(N499,[1]Nifty_D!$B$2:$F$6600,5,0)</f>
        <v>26202.95</v>
      </c>
      <c r="P499" s="92">
        <f t="shared" si="27"/>
        <v>9.3780696854717238E-3</v>
      </c>
      <c r="Q499" s="12" t="s">
        <v>40</v>
      </c>
      <c r="R499" s="10">
        <v>26000</v>
      </c>
      <c r="S499" s="103">
        <f>MROUND(G499,500)</f>
        <v>26000</v>
      </c>
      <c r="T499" s="103">
        <f>S499-R499</f>
        <v>0</v>
      </c>
      <c r="U499" s="12" t="s">
        <v>92</v>
      </c>
      <c r="V499" s="10">
        <v>65</v>
      </c>
      <c r="W499" s="11">
        <v>280.5</v>
      </c>
      <c r="X499" s="11">
        <v>168.25</v>
      </c>
      <c r="Y499" s="13">
        <v>-0.61229999999999996</v>
      </c>
      <c r="Z499" s="13">
        <v>0.13639999999999999</v>
      </c>
      <c r="AA499" s="10">
        <v>0</v>
      </c>
      <c r="AB499" s="14">
        <v>0</v>
      </c>
      <c r="AC499" s="11">
        <v>-112.25</v>
      </c>
      <c r="AD499" s="14">
        <v>-4.3240432211714402E-3</v>
      </c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 t="s">
        <v>91</v>
      </c>
    </row>
    <row r="500" spans="1:52" ht="18" hidden="1" customHeight="1" x14ac:dyDescent="0.25">
      <c r="A500" s="4">
        <v>250</v>
      </c>
      <c r="B500" s="4">
        <v>1</v>
      </c>
      <c r="C500" s="4">
        <v>250</v>
      </c>
      <c r="D500" s="85">
        <v>45992</v>
      </c>
      <c r="E500" s="85">
        <v>45999</v>
      </c>
      <c r="F500" s="85">
        <v>46000</v>
      </c>
      <c r="G500" s="5">
        <v>26175.75</v>
      </c>
      <c r="H500" s="5">
        <v>25960.55</v>
      </c>
      <c r="I500" s="5">
        <v>-215.2</v>
      </c>
      <c r="J500" s="6">
        <v>-8.2213499135650354E-3</v>
      </c>
      <c r="K500" s="91">
        <f t="array" ref="K500">MAX(IF((D500&lt;[1]Nifty_D!$B$2:$B$6600)*(E500&gt;=[1]Nifty_D!$B$2:$B$6600),[1]Nifty_D!$F$2:$F$6600,""))</f>
        <v>26186.45</v>
      </c>
      <c r="L500" s="92">
        <f t="shared" si="25"/>
        <v>4.087752977470771E-4</v>
      </c>
      <c r="M500" s="91">
        <f t="shared" si="26"/>
        <v>14562.550000000001</v>
      </c>
      <c r="N500" s="93">
        <f t="array" ref="N500">INDEX([1]Nifty_D!$B$2:$B$6600,MATCH(E500,[1]Nifty_D!$B$2:$B$6600,0)-1)</f>
        <v>45996</v>
      </c>
      <c r="O500" s="89">
        <f>VLOOKUP(N500,[1]Nifty_D!$B$2:$F$6600,5,0)</f>
        <v>26186.45</v>
      </c>
      <c r="P500" s="92">
        <f t="shared" si="27"/>
        <v>4.087752977470771E-4</v>
      </c>
      <c r="Q500" s="7" t="s">
        <v>28</v>
      </c>
      <c r="R500" s="4">
        <v>26200</v>
      </c>
      <c r="S500" s="102"/>
      <c r="T500" s="102"/>
      <c r="U500" s="7" t="s">
        <v>90</v>
      </c>
      <c r="V500" s="4">
        <v>65</v>
      </c>
      <c r="W500" s="5">
        <v>173.85</v>
      </c>
      <c r="X500" s="5">
        <v>8.15</v>
      </c>
      <c r="Y500" s="8">
        <v>5.4600000000000003E-2</v>
      </c>
      <c r="Z500" s="8">
        <v>0.63929999999999998</v>
      </c>
      <c r="AA500" s="5">
        <v>165.7</v>
      </c>
      <c r="AB500" s="6">
        <v>6.3302866202496581E-3</v>
      </c>
      <c r="AC500" s="4">
        <v>0</v>
      </c>
      <c r="AD500" s="6">
        <v>0</v>
      </c>
      <c r="AE500" s="5">
        <v>61043.4</v>
      </c>
      <c r="AF500" s="5">
        <v>59488.1</v>
      </c>
      <c r="AG500" s="5">
        <v>-1555.3</v>
      </c>
      <c r="AH500" s="5">
        <v>-2.5478999999999998</v>
      </c>
      <c r="AI500" s="4">
        <v>7</v>
      </c>
      <c r="AJ500" s="5">
        <v>-0.11666700000000001</v>
      </c>
      <c r="AK500" s="5">
        <v>-1626.5173</v>
      </c>
      <c r="AL500" s="5">
        <v>-2.6644999999999999</v>
      </c>
      <c r="AM500" s="8">
        <v>-3.1034999999999999</v>
      </c>
      <c r="AN500" s="8">
        <v>0.32990000000000003</v>
      </c>
      <c r="AO500" s="9">
        <v>-1410.9173000000001</v>
      </c>
      <c r="AP500" s="9">
        <v>-1.8408</v>
      </c>
      <c r="AQ500" s="5">
        <v>103.92570000000001</v>
      </c>
      <c r="AR500" s="5">
        <v>106.8719</v>
      </c>
      <c r="AS500" s="5">
        <v>-2.9462000000000002</v>
      </c>
      <c r="AT500" s="5">
        <v>-2.7568000000000001</v>
      </c>
      <c r="AU500" s="8">
        <v>0.1857</v>
      </c>
      <c r="AV500" s="8">
        <v>-2.1101999999999999</v>
      </c>
      <c r="AW500" s="8">
        <v>-2.1101999999999999</v>
      </c>
      <c r="AX500" s="5">
        <v>103.6405</v>
      </c>
      <c r="AY500" s="5">
        <v>-3.0236999999999998</v>
      </c>
      <c r="AZ500" s="7" t="s">
        <v>91</v>
      </c>
    </row>
    <row r="501" spans="1:52" ht="18" customHeight="1" x14ac:dyDescent="0.25">
      <c r="A501" s="10">
        <v>250</v>
      </c>
      <c r="B501" s="10">
        <v>2</v>
      </c>
      <c r="C501" s="10">
        <v>250</v>
      </c>
      <c r="D501" s="86">
        <v>45992</v>
      </c>
      <c r="E501" s="86">
        <v>45999</v>
      </c>
      <c r="F501" s="86">
        <v>46021</v>
      </c>
      <c r="G501" s="11">
        <v>26175.75</v>
      </c>
      <c r="H501" s="11">
        <v>25960.55</v>
      </c>
      <c r="I501" s="12"/>
      <c r="J501" s="12"/>
      <c r="K501" s="91">
        <f t="array" ref="K501">MAX(IF((D501&lt;[1]Nifty_D!$B$2:$B$6600)*(E501&gt;=[1]Nifty_D!$B$2:$B$6600),[1]Nifty_D!$F$2:$F$6600,""))</f>
        <v>26186.45</v>
      </c>
      <c r="L501" s="92">
        <f t="shared" si="25"/>
        <v>4.087752977470771E-4</v>
      </c>
      <c r="M501" s="91">
        <f t="shared" si="26"/>
        <v>14562.550000000001</v>
      </c>
      <c r="N501" s="93">
        <f t="array" ref="N501">INDEX([1]Nifty_D!$B$2:$B$6600,MATCH(E501,[1]Nifty_D!$B$2:$B$6600,0)-1)</f>
        <v>45996</v>
      </c>
      <c r="O501" s="89">
        <f>VLOOKUP(N501,[1]Nifty_D!$B$2:$F$6600,5,0)</f>
        <v>26186.45</v>
      </c>
      <c r="P501" s="92">
        <f t="shared" si="27"/>
        <v>4.087752977470771E-4</v>
      </c>
      <c r="Q501" s="12" t="s">
        <v>40</v>
      </c>
      <c r="R501" s="10">
        <v>26000</v>
      </c>
      <c r="S501" s="103">
        <f>MROUND(G501,500)</f>
        <v>26000</v>
      </c>
      <c r="T501" s="103">
        <f>S501-R501</f>
        <v>0</v>
      </c>
      <c r="U501" s="12" t="s">
        <v>92</v>
      </c>
      <c r="V501" s="10">
        <v>65</v>
      </c>
      <c r="W501" s="11">
        <v>168.25</v>
      </c>
      <c r="X501" s="11">
        <v>218.15</v>
      </c>
      <c r="Y501" s="13">
        <v>-0.1988</v>
      </c>
      <c r="Z501" s="13">
        <v>0.35399999999999998</v>
      </c>
      <c r="AA501" s="10">
        <v>0</v>
      </c>
      <c r="AB501" s="14">
        <v>0</v>
      </c>
      <c r="AC501" s="11">
        <v>49.9</v>
      </c>
      <c r="AD501" s="14">
        <v>1.9063446128573199E-3</v>
      </c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 t="s">
        <v>91</v>
      </c>
    </row>
    <row r="502" spans="1:52" ht="18" hidden="1" customHeight="1" x14ac:dyDescent="0.25">
      <c r="A502" s="4">
        <v>251</v>
      </c>
      <c r="B502" s="4">
        <v>1</v>
      </c>
      <c r="C502" s="4">
        <v>251</v>
      </c>
      <c r="D502" s="85">
        <v>45999</v>
      </c>
      <c r="E502" s="85">
        <v>46006</v>
      </c>
      <c r="F502" s="85">
        <v>46007</v>
      </c>
      <c r="G502" s="5">
        <v>25960.55</v>
      </c>
      <c r="H502" s="5">
        <v>26027.3</v>
      </c>
      <c r="I502" s="5">
        <v>66.75</v>
      </c>
      <c r="J502" s="6">
        <v>2.5712090075133229E-3</v>
      </c>
      <c r="K502" s="91">
        <f t="array" ref="K502">MAX(IF((D502&lt;[1]Nifty_D!$B$2:$B$6600)*(E502&gt;=[1]Nifty_D!$B$2:$B$6600),[1]Nifty_D!$F$2:$F$6600,""))</f>
        <v>26046.95</v>
      </c>
      <c r="L502" s="92">
        <f t="shared" si="25"/>
        <v>3.3281267153431049E-3</v>
      </c>
      <c r="M502" s="91">
        <f t="shared" si="26"/>
        <v>14423.050000000001</v>
      </c>
      <c r="N502" s="93">
        <f t="array" ref="N502">INDEX([1]Nifty_D!$B$2:$B$6600,MATCH(E502,[1]Nifty_D!$B$2:$B$6600,0)-1)</f>
        <v>46003</v>
      </c>
      <c r="O502" s="89">
        <f>VLOOKUP(N502,[1]Nifty_D!$B$2:$F$6600,5,0)</f>
        <v>26046.95</v>
      </c>
      <c r="P502" s="92">
        <f t="shared" si="27"/>
        <v>3.3281267153431049E-3</v>
      </c>
      <c r="Q502" s="7" t="s">
        <v>28</v>
      </c>
      <c r="R502" s="4">
        <v>26000</v>
      </c>
      <c r="S502" s="102"/>
      <c r="T502" s="102"/>
      <c r="U502" s="7" t="s">
        <v>90</v>
      </c>
      <c r="V502" s="4">
        <v>65</v>
      </c>
      <c r="W502" s="5">
        <v>153.15</v>
      </c>
      <c r="X502" s="5">
        <v>72.8</v>
      </c>
      <c r="Y502" s="8">
        <v>8.1500000000000003E-2</v>
      </c>
      <c r="Z502" s="8">
        <v>0.45669999999999999</v>
      </c>
      <c r="AA502" s="5">
        <v>80.349999999999994</v>
      </c>
      <c r="AB502" s="6">
        <v>3.095080805298809E-3</v>
      </c>
      <c r="AC502" s="4">
        <v>0</v>
      </c>
      <c r="AD502" s="6">
        <v>0</v>
      </c>
      <c r="AE502" s="5">
        <v>59488.1</v>
      </c>
      <c r="AF502" s="5">
        <v>60212.800000000003</v>
      </c>
      <c r="AG502" s="5">
        <v>724.7</v>
      </c>
      <c r="AH502" s="5">
        <v>1.2181999999999999</v>
      </c>
      <c r="AI502" s="4">
        <v>7</v>
      </c>
      <c r="AJ502" s="5">
        <v>-0.11666700000000001</v>
      </c>
      <c r="AK502" s="5">
        <v>655.29719999999998</v>
      </c>
      <c r="AL502" s="5">
        <v>1.1015999999999999</v>
      </c>
      <c r="AM502" s="8">
        <v>-1.6011</v>
      </c>
      <c r="AN502" s="8">
        <v>1.3507</v>
      </c>
      <c r="AO502" s="15">
        <v>658.94719999999995</v>
      </c>
      <c r="AP502" s="15">
        <v>1.1156999999999999</v>
      </c>
      <c r="AQ502" s="5">
        <v>105.0852</v>
      </c>
      <c r="AR502" s="5">
        <v>106.8719</v>
      </c>
      <c r="AS502" s="5">
        <v>-1.7867</v>
      </c>
      <c r="AT502" s="5">
        <v>-1.6718</v>
      </c>
      <c r="AU502" s="8">
        <v>1.0992</v>
      </c>
      <c r="AV502" s="8">
        <v>-0.66600000000000004</v>
      </c>
      <c r="AW502" s="8">
        <v>-0.66600000000000004</v>
      </c>
      <c r="AX502" s="5">
        <v>103.2336</v>
      </c>
      <c r="AY502" s="5">
        <v>-3.4043999999999999</v>
      </c>
      <c r="AZ502" s="7" t="s">
        <v>91</v>
      </c>
    </row>
    <row r="503" spans="1:52" ht="18" customHeight="1" x14ac:dyDescent="0.25">
      <c r="A503" s="10">
        <v>251</v>
      </c>
      <c r="B503" s="10">
        <v>2</v>
      </c>
      <c r="C503" s="10">
        <v>251</v>
      </c>
      <c r="D503" s="86">
        <v>45999</v>
      </c>
      <c r="E503" s="86">
        <v>46006</v>
      </c>
      <c r="F503" s="86">
        <v>46021</v>
      </c>
      <c r="G503" s="11">
        <v>25960.55</v>
      </c>
      <c r="H503" s="11">
        <v>26027.3</v>
      </c>
      <c r="I503" s="12"/>
      <c r="J503" s="12"/>
      <c r="K503" s="91">
        <f t="array" ref="K503">MAX(IF((D503&lt;[1]Nifty_D!$B$2:$B$6600)*(E503&gt;=[1]Nifty_D!$B$2:$B$6600),[1]Nifty_D!$F$2:$F$6600,""))</f>
        <v>26046.95</v>
      </c>
      <c r="L503" s="92">
        <f t="shared" si="25"/>
        <v>3.3281267153431049E-3</v>
      </c>
      <c r="M503" s="91">
        <f t="shared" si="26"/>
        <v>14423.050000000001</v>
      </c>
      <c r="N503" s="93">
        <f t="array" ref="N503">INDEX([1]Nifty_D!$B$2:$B$6600,MATCH(E503,[1]Nifty_D!$B$2:$B$6600,0)-1)</f>
        <v>46003</v>
      </c>
      <c r="O503" s="89">
        <f>VLOOKUP(N503,[1]Nifty_D!$B$2:$F$6600,5,0)</f>
        <v>26046.95</v>
      </c>
      <c r="P503" s="92">
        <f t="shared" si="27"/>
        <v>3.3281267153431049E-3</v>
      </c>
      <c r="Q503" s="12" t="s">
        <v>40</v>
      </c>
      <c r="R503" s="10">
        <v>26000</v>
      </c>
      <c r="S503" s="103">
        <f>MROUND(G503,500)</f>
        <v>26000</v>
      </c>
      <c r="T503" s="103">
        <f>S503-R503</f>
        <v>0</v>
      </c>
      <c r="U503" s="12" t="s">
        <v>92</v>
      </c>
      <c r="V503" s="10">
        <v>65</v>
      </c>
      <c r="W503" s="11">
        <v>218.15</v>
      </c>
      <c r="X503" s="11">
        <v>141.44999999999999</v>
      </c>
      <c r="Y503" s="13">
        <v>-0.33300000000000002</v>
      </c>
      <c r="Z503" s="13">
        <v>0.47839999999999999</v>
      </c>
      <c r="AA503" s="10">
        <v>0</v>
      </c>
      <c r="AB503" s="14">
        <v>0</v>
      </c>
      <c r="AC503" s="11">
        <v>-76.7</v>
      </c>
      <c r="AD503" s="14">
        <v>-2.954482859569616E-3</v>
      </c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 t="s">
        <v>91</v>
      </c>
    </row>
    <row r="504" spans="1:52" ht="18" hidden="1" customHeight="1" x14ac:dyDescent="0.25">
      <c r="A504" s="4">
        <v>252</v>
      </c>
      <c r="B504" s="4">
        <v>1</v>
      </c>
      <c r="C504" s="4">
        <v>252</v>
      </c>
      <c r="D504" s="85">
        <v>46006</v>
      </c>
      <c r="E504" s="85">
        <v>46013</v>
      </c>
      <c r="F504" s="85">
        <v>46014</v>
      </c>
      <c r="G504" s="5">
        <v>26027.3</v>
      </c>
      <c r="H504" s="5">
        <v>26172.400000000001</v>
      </c>
      <c r="I504" s="5">
        <v>145.1</v>
      </c>
      <c r="J504" s="6">
        <v>5.5749155694213379E-3</v>
      </c>
      <c r="K504" s="91">
        <f t="array" ref="K504">MAX(IF((D504&lt;[1]Nifty_D!$B$2:$B$6600)*(E504&gt;=[1]Nifty_D!$B$2:$B$6600),[1]Nifty_D!$F$2:$F$6600,""))</f>
        <v>26172.400000000001</v>
      </c>
      <c r="L504" s="92">
        <f t="shared" si="25"/>
        <v>5.574915569421357E-3</v>
      </c>
      <c r="M504" s="91">
        <f t="shared" si="26"/>
        <v>14548.500000000002</v>
      </c>
      <c r="N504" s="93">
        <f t="array" ref="N504">INDEX([1]Nifty_D!$B$2:$B$6600,MATCH(E504,[1]Nifty_D!$B$2:$B$6600,0)-1)</f>
        <v>46010</v>
      </c>
      <c r="O504" s="89">
        <f>VLOOKUP(N504,[1]Nifty_D!$B$2:$F$6600,5,0)</f>
        <v>25966.400000000001</v>
      </c>
      <c r="P504" s="92">
        <f t="shared" si="27"/>
        <v>-2.3398508489161918E-3</v>
      </c>
      <c r="Q504" s="7" t="s">
        <v>28</v>
      </c>
      <c r="R504" s="4">
        <v>26000</v>
      </c>
      <c r="S504" s="102"/>
      <c r="T504" s="102"/>
      <c r="U504" s="7" t="s">
        <v>90</v>
      </c>
      <c r="V504" s="4">
        <v>65</v>
      </c>
      <c r="W504" s="5">
        <v>180.45</v>
      </c>
      <c r="X504" s="5">
        <v>165.8</v>
      </c>
      <c r="Y504" s="8">
        <v>2.23E-2</v>
      </c>
      <c r="Z504" s="8">
        <v>0.57230000000000003</v>
      </c>
      <c r="AA504" s="5">
        <v>14.65</v>
      </c>
      <c r="AB504" s="6">
        <v>5.6287052441090699E-4</v>
      </c>
      <c r="AC504" s="4">
        <v>0</v>
      </c>
      <c r="AD504" s="6">
        <v>0</v>
      </c>
      <c r="AE504" s="5">
        <v>60212.800000000003</v>
      </c>
      <c r="AF504" s="5">
        <v>60815.25</v>
      </c>
      <c r="AG504" s="5">
        <v>602.45000000000005</v>
      </c>
      <c r="AH504" s="5">
        <v>1.0004999999999999</v>
      </c>
      <c r="AI504" s="4">
        <v>7</v>
      </c>
      <c r="AJ504" s="5">
        <v>-0.11666700000000001</v>
      </c>
      <c r="AK504" s="5">
        <v>532.20169999999996</v>
      </c>
      <c r="AL504" s="5">
        <v>0.88390000000000002</v>
      </c>
      <c r="AM504" s="8">
        <v>-2.1255000000000002</v>
      </c>
      <c r="AN504" s="8">
        <v>0.96740000000000004</v>
      </c>
      <c r="AO504" s="15">
        <v>465.55169999999998</v>
      </c>
      <c r="AP504" s="15">
        <v>0.62780000000000002</v>
      </c>
      <c r="AQ504" s="5">
        <v>105.745</v>
      </c>
      <c r="AR504" s="5">
        <v>106.8719</v>
      </c>
      <c r="AS504" s="5">
        <v>-1.127</v>
      </c>
      <c r="AT504" s="5">
        <v>-1.0545</v>
      </c>
      <c r="AU504" s="8">
        <v>0.6704</v>
      </c>
      <c r="AV504" s="8">
        <v>-1.0146999999999999</v>
      </c>
      <c r="AW504" s="8">
        <v>-1.0146999999999999</v>
      </c>
      <c r="AX504" s="5">
        <v>104.0189</v>
      </c>
      <c r="AY504" s="5">
        <v>-2.6696</v>
      </c>
      <c r="AZ504" s="7" t="s">
        <v>91</v>
      </c>
    </row>
    <row r="505" spans="1:52" ht="18" customHeight="1" x14ac:dyDescent="0.25">
      <c r="A505" s="10">
        <v>252</v>
      </c>
      <c r="B505" s="10">
        <v>2</v>
      </c>
      <c r="C505" s="10">
        <v>252</v>
      </c>
      <c r="D505" s="86">
        <v>46006</v>
      </c>
      <c r="E505" s="86">
        <v>46013</v>
      </c>
      <c r="F505" s="86">
        <v>46021</v>
      </c>
      <c r="G505" s="11">
        <v>26027.3</v>
      </c>
      <c r="H505" s="11">
        <v>26172.400000000001</v>
      </c>
      <c r="I505" s="12"/>
      <c r="J505" s="12"/>
      <c r="K505" s="91">
        <f t="array" ref="K505">MAX(IF((D505&lt;[1]Nifty_D!$B$2:$B$6600)*(E505&gt;=[1]Nifty_D!$B$2:$B$6600),[1]Nifty_D!$F$2:$F$6600,""))</f>
        <v>26172.400000000001</v>
      </c>
      <c r="L505" s="92">
        <f t="shared" si="25"/>
        <v>5.574915569421357E-3</v>
      </c>
      <c r="M505" s="91">
        <f t="shared" si="26"/>
        <v>14548.500000000002</v>
      </c>
      <c r="N505" s="93">
        <f t="array" ref="N505">INDEX([1]Nifty_D!$B$2:$B$6600,MATCH(E505,[1]Nifty_D!$B$2:$B$6600,0)-1)</f>
        <v>46010</v>
      </c>
      <c r="O505" s="89">
        <f>VLOOKUP(N505,[1]Nifty_D!$B$2:$F$6600,5,0)</f>
        <v>25966.400000000001</v>
      </c>
      <c r="P505" s="92">
        <f t="shared" si="27"/>
        <v>-2.3398508489161918E-3</v>
      </c>
      <c r="Q505" s="12" t="s">
        <v>40</v>
      </c>
      <c r="R505" s="10">
        <v>26000</v>
      </c>
      <c r="S505" s="103">
        <f>MROUND(G505,500)</f>
        <v>26000</v>
      </c>
      <c r="T505" s="103">
        <f>S505-R505</f>
        <v>0</v>
      </c>
      <c r="U505" s="12" t="s">
        <v>92</v>
      </c>
      <c r="V505" s="10">
        <v>65</v>
      </c>
      <c r="W505" s="11">
        <v>141.44999999999999</v>
      </c>
      <c r="X505" s="11">
        <v>60.15</v>
      </c>
      <c r="Y505" s="13">
        <v>-0.31929999999999997</v>
      </c>
      <c r="Z505" s="13">
        <v>0.53849999999999998</v>
      </c>
      <c r="AA505" s="10">
        <v>0</v>
      </c>
      <c r="AB505" s="14">
        <v>0</v>
      </c>
      <c r="AC505" s="11">
        <v>-81.3</v>
      </c>
      <c r="AD505" s="14">
        <v>-3.1236432515089931E-3</v>
      </c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 t="s">
        <v>91</v>
      </c>
    </row>
    <row r="506" spans="1:52" ht="18" hidden="1" customHeight="1" x14ac:dyDescent="0.25">
      <c r="A506" s="4">
        <v>253</v>
      </c>
      <c r="B506" s="4">
        <v>1</v>
      </c>
      <c r="C506" s="4">
        <v>253</v>
      </c>
      <c r="D506" s="85">
        <v>46013</v>
      </c>
      <c r="E506" s="85">
        <v>46020</v>
      </c>
      <c r="F506" s="85">
        <v>46021</v>
      </c>
      <c r="G506" s="5">
        <v>26172.400000000001</v>
      </c>
      <c r="H506" s="5">
        <v>25942.1</v>
      </c>
      <c r="I506" s="5">
        <v>-230.3</v>
      </c>
      <c r="J506" s="6">
        <v>-8.7993458758081032E-3</v>
      </c>
      <c r="K506" s="91">
        <f t="array" ref="K506">MAX(IF((D506&lt;[1]Nifty_D!$B$2:$B$6600)*(E506&gt;=[1]Nifty_D!$B$2:$B$6600),[1]Nifty_D!$F$2:$F$6600,""))</f>
        <v>26177.15</v>
      </c>
      <c r="L506" s="92">
        <f t="shared" si="25"/>
        <v>1.8148889670044355E-4</v>
      </c>
      <c r="M506" s="91">
        <f t="shared" si="26"/>
        <v>14553.250000000002</v>
      </c>
      <c r="N506" s="93">
        <f t="array" ref="N506">INDEX([1]Nifty_D!$B$2:$B$6600,MATCH(E506,[1]Nifty_D!$B$2:$B$6600,0)-1)</f>
        <v>46017</v>
      </c>
      <c r="O506" s="89">
        <f>VLOOKUP(N506,[1]Nifty_D!$B$2:$F$6600,5,0)</f>
        <v>26042.3</v>
      </c>
      <c r="P506" s="92">
        <f t="shared" si="27"/>
        <v>-4.9708853601504455E-3</v>
      </c>
      <c r="Q506" s="7" t="s">
        <v>28</v>
      </c>
      <c r="R506" s="4">
        <v>26200</v>
      </c>
      <c r="S506" s="102"/>
      <c r="T506" s="102"/>
      <c r="U506" s="7" t="s">
        <v>90</v>
      </c>
      <c r="V506" s="4">
        <v>65</v>
      </c>
      <c r="W506" s="5">
        <v>128.25</v>
      </c>
      <c r="X506" s="5">
        <v>4.95</v>
      </c>
      <c r="Y506" s="8">
        <v>-8.5000000000000006E-2</v>
      </c>
      <c r="Z506" s="8">
        <v>0.47360000000000002</v>
      </c>
      <c r="AA506" s="5">
        <v>123.3</v>
      </c>
      <c r="AB506" s="6">
        <v>4.7110696764530568E-3</v>
      </c>
      <c r="AC506" s="4">
        <v>0</v>
      </c>
      <c r="AD506" s="6">
        <v>0</v>
      </c>
      <c r="AE506" s="5">
        <v>60815.25</v>
      </c>
      <c r="AF506" s="5">
        <v>60001.3</v>
      </c>
      <c r="AG506" s="5">
        <v>-813.95</v>
      </c>
      <c r="AH506" s="5">
        <v>-1.3384</v>
      </c>
      <c r="AI506" s="4">
        <v>7</v>
      </c>
      <c r="AJ506" s="5">
        <v>-0.11666700000000001</v>
      </c>
      <c r="AK506" s="5">
        <v>-884.90110000000004</v>
      </c>
      <c r="AL506" s="5">
        <v>-1.4551000000000001</v>
      </c>
      <c r="AM506" s="8">
        <v>-1.5661</v>
      </c>
      <c r="AN506" s="8">
        <v>0.31900000000000001</v>
      </c>
      <c r="AO506" s="9">
        <v>-745.90110000000004</v>
      </c>
      <c r="AP506" s="9">
        <v>-0.92400000000000004</v>
      </c>
      <c r="AQ506" s="5">
        <v>104.7679</v>
      </c>
      <c r="AR506" s="5">
        <v>106.8719</v>
      </c>
      <c r="AS506" s="5">
        <v>-2.1040999999999999</v>
      </c>
      <c r="AT506" s="5">
        <v>-1.9688000000000001</v>
      </c>
      <c r="AU506" s="8">
        <v>7.4700000000000003E-2</v>
      </c>
      <c r="AV506" s="8">
        <v>-0.96779999999999999</v>
      </c>
      <c r="AW506" s="8">
        <v>-0.96779999999999999</v>
      </c>
      <c r="AX506" s="5">
        <v>104.7216</v>
      </c>
      <c r="AY506" s="5">
        <v>-2.0121000000000002</v>
      </c>
      <c r="AZ506" s="7" t="s">
        <v>91</v>
      </c>
    </row>
    <row r="507" spans="1:52" ht="18" customHeight="1" x14ac:dyDescent="0.25">
      <c r="A507" s="10">
        <v>253</v>
      </c>
      <c r="B507" s="10">
        <v>2</v>
      </c>
      <c r="C507" s="10">
        <v>253</v>
      </c>
      <c r="D507" s="86">
        <v>46013</v>
      </c>
      <c r="E507" s="86">
        <v>46020</v>
      </c>
      <c r="F507" s="86">
        <v>46021</v>
      </c>
      <c r="G507" s="11">
        <v>26172.400000000001</v>
      </c>
      <c r="H507" s="11">
        <v>25942.1</v>
      </c>
      <c r="I507" s="12"/>
      <c r="J507" s="12"/>
      <c r="K507" s="91">
        <f t="array" ref="K507">MAX(IF((D507&lt;[1]Nifty_D!$B$2:$B$6600)*(E507&gt;=[1]Nifty_D!$B$2:$B$6600),[1]Nifty_D!$F$2:$F$6600,""))</f>
        <v>26177.15</v>
      </c>
      <c r="L507" s="92">
        <f t="shared" si="25"/>
        <v>1.8148889670044355E-4</v>
      </c>
      <c r="M507" s="91">
        <f t="shared" si="26"/>
        <v>14553.250000000002</v>
      </c>
      <c r="N507" s="93">
        <f t="array" ref="N507">INDEX([1]Nifty_D!$B$2:$B$6600,MATCH(E507,[1]Nifty_D!$B$2:$B$6600,0)-1)</f>
        <v>46017</v>
      </c>
      <c r="O507" s="89">
        <f>VLOOKUP(N507,[1]Nifty_D!$B$2:$F$6600,5,0)</f>
        <v>26042.3</v>
      </c>
      <c r="P507" s="92">
        <f t="shared" si="27"/>
        <v>-4.9708853601504455E-3</v>
      </c>
      <c r="Q507" s="12" t="s">
        <v>40</v>
      </c>
      <c r="R507" s="10">
        <v>26000</v>
      </c>
      <c r="S507" s="103">
        <f>MROUND(G507,500)</f>
        <v>26000</v>
      </c>
      <c r="T507" s="103">
        <f>S507-R507</f>
        <v>0</v>
      </c>
      <c r="U507" s="12" t="s">
        <v>92</v>
      </c>
      <c r="V507" s="10">
        <v>65</v>
      </c>
      <c r="W507" s="11">
        <v>60.15</v>
      </c>
      <c r="X507" s="11">
        <v>75.849999999999994</v>
      </c>
      <c r="Y507" s="13">
        <v>-0.1593</v>
      </c>
      <c r="Z507" s="13">
        <v>0.12470000000000001</v>
      </c>
      <c r="AA507" s="10">
        <v>0</v>
      </c>
      <c r="AB507" s="14">
        <v>0</v>
      </c>
      <c r="AC507" s="11">
        <v>15.7</v>
      </c>
      <c r="AD507" s="14">
        <v>5.9986856383060008E-4</v>
      </c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 t="s">
        <v>91</v>
      </c>
    </row>
    <row r="508" spans="1:52" ht="18" hidden="1" customHeight="1" x14ac:dyDescent="0.25">
      <c r="A508" s="4">
        <v>254</v>
      </c>
      <c r="B508" s="4">
        <v>1</v>
      </c>
      <c r="C508" s="4">
        <v>254</v>
      </c>
      <c r="D508" s="85">
        <v>46020</v>
      </c>
      <c r="E508" s="85">
        <v>46024</v>
      </c>
      <c r="F508" s="85">
        <v>46028</v>
      </c>
      <c r="G508" s="5">
        <v>25942.1</v>
      </c>
      <c r="H508" s="5">
        <v>26328.55</v>
      </c>
      <c r="I508" s="5">
        <v>386.45</v>
      </c>
      <c r="J508" s="6">
        <v>1.489663519915504E-2</v>
      </c>
      <c r="K508" s="91">
        <f t="array" ref="K508">MAX(IF((D508&lt;[1]Nifty_D!$B$2:$B$6600)*(E508&gt;=[1]Nifty_D!$B$2:$B$6600),[1]Nifty_D!$F$2:$F$6600,""))</f>
        <v>26328.55</v>
      </c>
      <c r="L508" s="92">
        <f t="shared" si="25"/>
        <v>1.4896635199155073E-2</v>
      </c>
      <c r="M508" s="91">
        <f t="shared" si="26"/>
        <v>14704.65</v>
      </c>
      <c r="N508" s="93">
        <f t="array" ref="N508">INDEX([1]Nifty_D!$B$2:$B$6600,MATCH(E508,[1]Nifty_D!$B$2:$B$6600,0)-1)</f>
        <v>46023</v>
      </c>
      <c r="O508" s="89">
        <f>VLOOKUP(N508,[1]Nifty_D!$B$2:$F$6600,5,0)</f>
        <v>26146.55</v>
      </c>
      <c r="P508" s="92">
        <f t="shared" si="27"/>
        <v>7.8810119458332384E-3</v>
      </c>
      <c r="Q508" s="7" t="s">
        <v>28</v>
      </c>
      <c r="R508" s="4">
        <v>25900</v>
      </c>
      <c r="S508" s="102"/>
      <c r="T508" s="102"/>
      <c r="U508" s="7" t="s">
        <v>90</v>
      </c>
      <c r="V508" s="4">
        <v>65</v>
      </c>
      <c r="W508" s="5">
        <v>184.95</v>
      </c>
      <c r="X508" s="5">
        <v>429.3</v>
      </c>
      <c r="Y508" s="8">
        <v>-1.0315000000000001</v>
      </c>
      <c r="Z508" s="8">
        <v>0.1958</v>
      </c>
      <c r="AA508" s="5">
        <v>-244.35</v>
      </c>
      <c r="AB508" s="6">
        <v>-9.4190524282922357E-3</v>
      </c>
      <c r="AC508" s="4">
        <v>0</v>
      </c>
      <c r="AD508" s="6">
        <v>0</v>
      </c>
      <c r="AE508" s="5">
        <v>60001.3</v>
      </c>
      <c r="AF508" s="5">
        <v>61365.9</v>
      </c>
      <c r="AG508" s="5">
        <v>1364.6</v>
      </c>
      <c r="AH508" s="5">
        <v>2.2743000000000002</v>
      </c>
      <c r="AI508" s="4">
        <v>4</v>
      </c>
      <c r="AJ508" s="5">
        <v>-6.6667000000000004E-2</v>
      </c>
      <c r="AK508" s="5">
        <v>1324.5990999999999</v>
      </c>
      <c r="AL508" s="5">
        <v>2.2075999999999998</v>
      </c>
      <c r="AM508" s="8">
        <v>-0.46250000000000002</v>
      </c>
      <c r="AN508" s="8">
        <v>2.2603</v>
      </c>
      <c r="AO508" s="15">
        <v>951.04909999999995</v>
      </c>
      <c r="AP508" s="15">
        <v>0.76770000000000005</v>
      </c>
      <c r="AQ508" s="5">
        <v>105.5722</v>
      </c>
      <c r="AR508" s="5">
        <v>106.8719</v>
      </c>
      <c r="AS508" s="5">
        <v>-1.2998000000000001</v>
      </c>
      <c r="AT508" s="5">
        <v>-1.2161999999999999</v>
      </c>
      <c r="AU508" s="8">
        <v>0.72040000000000004</v>
      </c>
      <c r="AV508" s="8">
        <v>-0.13719999999999999</v>
      </c>
      <c r="AW508" s="8">
        <v>-0.13719999999999999</v>
      </c>
      <c r="AX508" s="5">
        <v>104.6241</v>
      </c>
      <c r="AY508" s="5">
        <v>-2.1032999999999999</v>
      </c>
      <c r="AZ508" s="7" t="s">
        <v>97</v>
      </c>
    </row>
    <row r="509" spans="1:52" ht="18" customHeight="1" x14ac:dyDescent="0.25">
      <c r="A509" s="10">
        <v>254</v>
      </c>
      <c r="B509" s="10">
        <v>2</v>
      </c>
      <c r="C509" s="10">
        <v>254</v>
      </c>
      <c r="D509" s="86">
        <v>46020</v>
      </c>
      <c r="E509" s="86">
        <v>46024</v>
      </c>
      <c r="F509" s="86">
        <v>46049</v>
      </c>
      <c r="G509" s="11">
        <v>25942.1</v>
      </c>
      <c r="H509" s="11">
        <v>26328.55</v>
      </c>
      <c r="I509" s="12"/>
      <c r="J509" s="12"/>
      <c r="K509" s="91">
        <f t="array" ref="K509">MAX(IF((D509&lt;[1]Nifty_D!$B$2:$B$6600)*(E509&gt;=[1]Nifty_D!$B$2:$B$6600),[1]Nifty_D!$F$2:$F$6600,""))</f>
        <v>26328.55</v>
      </c>
      <c r="L509" s="92">
        <f t="shared" si="25"/>
        <v>1.4896635199155073E-2</v>
      </c>
      <c r="M509" s="91">
        <f t="shared" si="26"/>
        <v>14704.65</v>
      </c>
      <c r="N509" s="93">
        <f t="array" ref="N509">INDEX([1]Nifty_D!$B$2:$B$6600,MATCH(E509,[1]Nifty_D!$B$2:$B$6600,0)-1)</f>
        <v>46023</v>
      </c>
      <c r="O509" s="89">
        <f>VLOOKUP(N509,[1]Nifty_D!$B$2:$F$6600,5,0)</f>
        <v>26146.55</v>
      </c>
      <c r="P509" s="92">
        <f t="shared" si="27"/>
        <v>7.8810119458332384E-3</v>
      </c>
      <c r="Q509" s="12" t="s">
        <v>40</v>
      </c>
      <c r="R509" s="10">
        <v>26000</v>
      </c>
      <c r="S509" s="103">
        <f>MROUND(G509,500)</f>
        <v>26000</v>
      </c>
      <c r="T509" s="103">
        <f>S509-R509</f>
        <v>0</v>
      </c>
      <c r="U509" s="12" t="s">
        <v>92</v>
      </c>
      <c r="V509" s="10">
        <v>65</v>
      </c>
      <c r="W509" s="11">
        <v>211.9</v>
      </c>
      <c r="X509" s="11">
        <v>82.7</v>
      </c>
      <c r="Y509" s="13">
        <v>-0.50839999999999996</v>
      </c>
      <c r="Z509" s="13">
        <v>0.1295</v>
      </c>
      <c r="AA509" s="10">
        <v>0</v>
      </c>
      <c r="AB509" s="14">
        <v>0</v>
      </c>
      <c r="AC509" s="11">
        <v>-129.19999999999999</v>
      </c>
      <c r="AD509" s="14">
        <v>-4.9803215622482369E-3</v>
      </c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 t="s">
        <v>97</v>
      </c>
    </row>
    <row r="510" spans="1:52" ht="18" hidden="1" customHeight="1" x14ac:dyDescent="0.25">
      <c r="A510" s="4">
        <v>255</v>
      </c>
      <c r="B510" s="4">
        <v>1</v>
      </c>
      <c r="C510" s="4">
        <v>255</v>
      </c>
      <c r="D510" s="85">
        <v>46024</v>
      </c>
      <c r="E510" s="85">
        <v>46027</v>
      </c>
      <c r="F510" s="85">
        <v>46028</v>
      </c>
      <c r="G510" s="5">
        <v>26328.55</v>
      </c>
      <c r="H510" s="5">
        <v>26250.3</v>
      </c>
      <c r="I510" s="5">
        <v>-78.25</v>
      </c>
      <c r="J510" s="6">
        <v>-2.972058848664283E-3</v>
      </c>
      <c r="K510" s="91">
        <f t="array" ref="K510">MAX(IF((D510&lt;[1]Nifty_D!$B$2:$B$6600)*(E510&gt;=[1]Nifty_D!$B$2:$B$6600),[1]Nifty_D!$F$2:$F$6600,""))</f>
        <v>26250.3</v>
      </c>
      <c r="L510" s="92">
        <f t="shared" si="25"/>
        <v>-2.9720588486642496E-3</v>
      </c>
      <c r="M510" s="91">
        <f t="shared" si="26"/>
        <v>14626.4</v>
      </c>
      <c r="N510" s="93">
        <f t="array" ref="N510">INDEX([1]Nifty_D!$B$2:$B$6600,MATCH(E510,[1]Nifty_D!$B$2:$B$6600,0)-1)</f>
        <v>46024</v>
      </c>
      <c r="O510" s="89">
        <f>VLOOKUP(N510,[1]Nifty_D!$B$2:$F$6600,5,0)</f>
        <v>26328.55</v>
      </c>
      <c r="P510" s="92">
        <f t="shared" si="27"/>
        <v>0</v>
      </c>
      <c r="Q510" s="7" t="s">
        <v>28</v>
      </c>
      <c r="R510" s="4">
        <v>26300</v>
      </c>
      <c r="S510" s="102"/>
      <c r="T510" s="102"/>
      <c r="U510" s="7" t="s">
        <v>90</v>
      </c>
      <c r="V510" s="4">
        <v>65</v>
      </c>
      <c r="W510" s="5">
        <v>80.8</v>
      </c>
      <c r="X510" s="5">
        <v>22.6</v>
      </c>
      <c r="Y510" s="8">
        <v>-0.1326</v>
      </c>
      <c r="Z510" s="8">
        <v>0.23949999999999999</v>
      </c>
      <c r="AA510" s="5">
        <v>58.2</v>
      </c>
      <c r="AB510" s="6">
        <v>2.210528114917077E-3</v>
      </c>
      <c r="AC510" s="4">
        <v>0</v>
      </c>
      <c r="AD510" s="6">
        <v>0</v>
      </c>
      <c r="AE510" s="5">
        <v>61365.9</v>
      </c>
      <c r="AF510" s="5">
        <v>61265.7</v>
      </c>
      <c r="AG510" s="5">
        <v>-100.2</v>
      </c>
      <c r="AH510" s="5">
        <v>-0.1633</v>
      </c>
      <c r="AI510" s="4">
        <v>3</v>
      </c>
      <c r="AJ510" s="5">
        <v>-0.05</v>
      </c>
      <c r="AK510" s="5">
        <v>-130.88300000000001</v>
      </c>
      <c r="AL510" s="5">
        <v>-0.21329999999999999</v>
      </c>
      <c r="AM510" s="8">
        <v>-0.69389999999999996</v>
      </c>
      <c r="AN510" s="8">
        <v>0.20200000000000001</v>
      </c>
      <c r="AO510" s="9">
        <v>-9.8829999999999991</v>
      </c>
      <c r="AP510" s="9">
        <v>0.24629999999999999</v>
      </c>
      <c r="AQ510" s="5">
        <v>105.8322</v>
      </c>
      <c r="AR510" s="5">
        <v>106.8719</v>
      </c>
      <c r="AS510" s="5">
        <v>-1.0397000000000001</v>
      </c>
      <c r="AT510" s="5">
        <v>-0.97289999999999999</v>
      </c>
      <c r="AU510" s="8">
        <v>-2.9399999999999999E-2</v>
      </c>
      <c r="AV510" s="8">
        <v>-0.15529999999999999</v>
      </c>
      <c r="AW510" s="8">
        <v>-0.15529999999999999</v>
      </c>
      <c r="AX510" s="5">
        <v>105.40819999999999</v>
      </c>
      <c r="AY510" s="5">
        <v>-1.3695999999999999</v>
      </c>
      <c r="AZ510" s="7" t="s">
        <v>91</v>
      </c>
    </row>
    <row r="511" spans="1:52" ht="18" customHeight="1" x14ac:dyDescent="0.25">
      <c r="A511" s="10">
        <v>255</v>
      </c>
      <c r="B511" s="10">
        <v>2</v>
      </c>
      <c r="C511" s="10">
        <v>255</v>
      </c>
      <c r="D511" s="86">
        <v>46024</v>
      </c>
      <c r="E511" s="86">
        <v>46027</v>
      </c>
      <c r="F511" s="86">
        <v>46049</v>
      </c>
      <c r="G511" s="11">
        <v>26328.55</v>
      </c>
      <c r="H511" s="11">
        <v>26250.3</v>
      </c>
      <c r="I511" s="12"/>
      <c r="J511" s="12"/>
      <c r="K511" s="91">
        <f t="array" ref="K511">MAX(IF((D511&lt;[1]Nifty_D!$B$2:$B$6600)*(E511&gt;=[1]Nifty_D!$B$2:$B$6600),[1]Nifty_D!$F$2:$F$6600,""))</f>
        <v>26250.3</v>
      </c>
      <c r="L511" s="92">
        <f t="shared" si="25"/>
        <v>-2.9720588486642496E-3</v>
      </c>
      <c r="M511" s="91">
        <f t="shared" si="26"/>
        <v>14626.4</v>
      </c>
      <c r="N511" s="93">
        <f t="array" ref="N511">INDEX([1]Nifty_D!$B$2:$B$6600,MATCH(E511,[1]Nifty_D!$B$2:$B$6600,0)-1)</f>
        <v>46024</v>
      </c>
      <c r="O511" s="89">
        <f>VLOOKUP(N511,[1]Nifty_D!$B$2:$F$6600,5,0)</f>
        <v>26328.55</v>
      </c>
      <c r="P511" s="92">
        <f t="shared" si="27"/>
        <v>0</v>
      </c>
      <c r="Q511" s="12" t="s">
        <v>40</v>
      </c>
      <c r="R511" s="10">
        <v>26500</v>
      </c>
      <c r="S511" s="103">
        <f>MROUND(G511,500)</f>
        <v>26500</v>
      </c>
      <c r="T511" s="103">
        <f>S511-R511</f>
        <v>0</v>
      </c>
      <c r="U511" s="12" t="s">
        <v>92</v>
      </c>
      <c r="V511" s="10">
        <v>65</v>
      </c>
      <c r="W511" s="11">
        <v>248.5</v>
      </c>
      <c r="X511" s="11">
        <v>311.3</v>
      </c>
      <c r="Y511" s="13">
        <v>-9.8799999999999999E-2</v>
      </c>
      <c r="Z511" s="13">
        <v>0.29909999999999998</v>
      </c>
      <c r="AA511" s="10">
        <v>0</v>
      </c>
      <c r="AB511" s="14">
        <v>0</v>
      </c>
      <c r="AC511" s="11">
        <v>62.8</v>
      </c>
      <c r="AD511" s="14">
        <v>2.3852433954775331E-3</v>
      </c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 t="s">
        <v>91</v>
      </c>
    </row>
    <row r="512" spans="1:52" ht="18" hidden="1" customHeight="1" x14ac:dyDescent="0.25">
      <c r="A512" s="4">
        <v>256</v>
      </c>
      <c r="B512" s="4">
        <v>1</v>
      </c>
      <c r="C512" s="4">
        <v>256</v>
      </c>
      <c r="D512" s="85">
        <v>46027</v>
      </c>
      <c r="E512" s="85">
        <v>46034</v>
      </c>
      <c r="F512" s="85">
        <v>46035</v>
      </c>
      <c r="G512" s="5">
        <v>26250.3</v>
      </c>
      <c r="H512" s="5">
        <v>25790.25</v>
      </c>
      <c r="I512" s="5">
        <v>-460.05</v>
      </c>
      <c r="J512" s="6">
        <v>-1.7525513994125781E-2</v>
      </c>
      <c r="K512" s="91">
        <f t="array" ref="K512">MAX(IF((D512&lt;[1]Nifty_D!$B$2:$B$6600)*(E512&gt;=[1]Nifty_D!$B$2:$B$6600),[1]Nifty_D!$F$2:$F$6600,""))</f>
        <v>26178.7</v>
      </c>
      <c r="L512" s="92">
        <f t="shared" si="25"/>
        <v>-2.7275878751861216E-3</v>
      </c>
      <c r="M512" s="91">
        <f t="shared" si="26"/>
        <v>14554.800000000001</v>
      </c>
      <c r="N512" s="93">
        <f t="array" ref="N512">INDEX([1]Nifty_D!$B$2:$B$6600,MATCH(E512,[1]Nifty_D!$B$2:$B$6600,0)-1)</f>
        <v>46031</v>
      </c>
      <c r="O512" s="89">
        <f>VLOOKUP(N512,[1]Nifty_D!$B$2:$F$6600,5,0)</f>
        <v>25683.3</v>
      </c>
      <c r="P512" s="92">
        <f t="shared" si="27"/>
        <v>-2.1599753145678302E-2</v>
      </c>
      <c r="Q512" s="7" t="s">
        <v>28</v>
      </c>
      <c r="R512" s="4">
        <v>26300</v>
      </c>
      <c r="S512" s="102"/>
      <c r="T512" s="102"/>
      <c r="U512" s="7" t="s">
        <v>90</v>
      </c>
      <c r="V512" s="4">
        <v>65</v>
      </c>
      <c r="W512" s="5">
        <v>109.75</v>
      </c>
      <c r="X512" s="5">
        <v>2.7</v>
      </c>
      <c r="Y512" s="8">
        <v>-9.6000000000000002E-2</v>
      </c>
      <c r="Z512" s="8">
        <v>0.41010000000000002</v>
      </c>
      <c r="AA512" s="5">
        <v>107.05</v>
      </c>
      <c r="AB512" s="6">
        <v>4.0780486318251598E-3</v>
      </c>
      <c r="AC512" s="4">
        <v>0</v>
      </c>
      <c r="AD512" s="6">
        <v>0</v>
      </c>
      <c r="AE512" s="5">
        <v>61265.7</v>
      </c>
      <c r="AF512" s="5">
        <v>59717.1</v>
      </c>
      <c r="AG512" s="5">
        <v>-1548.6</v>
      </c>
      <c r="AH512" s="5">
        <v>-2.5276999999999998</v>
      </c>
      <c r="AI512" s="4">
        <v>7</v>
      </c>
      <c r="AJ512" s="5">
        <v>-0.11666700000000001</v>
      </c>
      <c r="AK512" s="5">
        <v>-1620.0766000000001</v>
      </c>
      <c r="AL512" s="5">
        <v>-2.6442999999999999</v>
      </c>
      <c r="AM512" s="8">
        <v>-4.0910000000000002</v>
      </c>
      <c r="AN512" s="8">
        <v>0.42870000000000003</v>
      </c>
      <c r="AO512" s="9">
        <v>-1172.8766000000001</v>
      </c>
      <c r="AP512" s="9">
        <v>-0.94069999999999998</v>
      </c>
      <c r="AQ512" s="5">
        <v>104.8366</v>
      </c>
      <c r="AR512" s="5">
        <v>106.8719</v>
      </c>
      <c r="AS512" s="5">
        <v>-2.0352999999999999</v>
      </c>
      <c r="AT512" s="5">
        <v>-1.9044000000000001</v>
      </c>
      <c r="AU512" s="8">
        <v>9.9599999999999994E-2</v>
      </c>
      <c r="AV512" s="8">
        <v>-1.2802</v>
      </c>
      <c r="AW512" s="8">
        <v>-1.2802</v>
      </c>
      <c r="AX512" s="5">
        <v>104.4773</v>
      </c>
      <c r="AY512" s="5">
        <v>-2.2406000000000001</v>
      </c>
      <c r="AZ512" s="7" t="s">
        <v>91</v>
      </c>
    </row>
    <row r="513" spans="1:52" ht="18" customHeight="1" x14ac:dyDescent="0.25">
      <c r="A513" s="10">
        <v>256</v>
      </c>
      <c r="B513" s="10">
        <v>2</v>
      </c>
      <c r="C513" s="10">
        <v>256</v>
      </c>
      <c r="D513" s="86">
        <v>46027</v>
      </c>
      <c r="E513" s="86">
        <v>46034</v>
      </c>
      <c r="F513" s="86">
        <v>46049</v>
      </c>
      <c r="G513" s="11">
        <v>26250.3</v>
      </c>
      <c r="H513" s="11">
        <v>25790.25</v>
      </c>
      <c r="I513" s="12"/>
      <c r="J513" s="12"/>
      <c r="K513" s="91">
        <f t="array" ref="K513">MAX(IF((D513&lt;[1]Nifty_D!$B$2:$B$6600)*(E513&gt;=[1]Nifty_D!$B$2:$B$6600),[1]Nifty_D!$F$2:$F$6600,""))</f>
        <v>26178.7</v>
      </c>
      <c r="L513" s="92">
        <f t="shared" si="25"/>
        <v>-2.7275878751861216E-3</v>
      </c>
      <c r="M513" s="91">
        <f t="shared" si="26"/>
        <v>14554.800000000001</v>
      </c>
      <c r="N513" s="93">
        <f t="array" ref="N513">INDEX([1]Nifty_D!$B$2:$B$6600,MATCH(E513,[1]Nifty_D!$B$2:$B$6600,0)-1)</f>
        <v>46031</v>
      </c>
      <c r="O513" s="89">
        <f>VLOOKUP(N513,[1]Nifty_D!$B$2:$F$6600,5,0)</f>
        <v>25683.3</v>
      </c>
      <c r="P513" s="92">
        <f t="shared" si="27"/>
        <v>-2.1599753145678302E-2</v>
      </c>
      <c r="Q513" s="12" t="s">
        <v>40</v>
      </c>
      <c r="R513" s="10">
        <v>26500</v>
      </c>
      <c r="S513" s="103">
        <f>MROUND(G513,500)</f>
        <v>26500</v>
      </c>
      <c r="T513" s="103">
        <f>S513-R513</f>
        <v>0</v>
      </c>
      <c r="U513" s="12" t="s">
        <v>92</v>
      </c>
      <c r="V513" s="10">
        <v>65</v>
      </c>
      <c r="W513" s="11">
        <v>311.3</v>
      </c>
      <c r="X513" s="11">
        <v>651.45000000000005</v>
      </c>
      <c r="Y513" s="13">
        <v>-0.2331</v>
      </c>
      <c r="Z513" s="13">
        <v>2.4007000000000001</v>
      </c>
      <c r="AA513" s="10">
        <v>0</v>
      </c>
      <c r="AB513" s="14">
        <v>0</v>
      </c>
      <c r="AC513" s="11">
        <v>340.15</v>
      </c>
      <c r="AD513" s="14">
        <v>1.29579471472707E-2</v>
      </c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 t="s">
        <v>91</v>
      </c>
    </row>
    <row r="514" spans="1:52" ht="18" hidden="1" customHeight="1" x14ac:dyDescent="0.25">
      <c r="A514" s="4">
        <v>257</v>
      </c>
      <c r="B514" s="4">
        <v>1</v>
      </c>
      <c r="C514" s="4">
        <v>257</v>
      </c>
      <c r="D514" s="85">
        <v>46034</v>
      </c>
      <c r="E514" s="85">
        <v>46041</v>
      </c>
      <c r="F514" s="85">
        <v>46042</v>
      </c>
      <c r="G514" s="5">
        <v>25790.25</v>
      </c>
      <c r="H514" s="5">
        <v>25585.5</v>
      </c>
      <c r="I514" s="5">
        <v>-204.75</v>
      </c>
      <c r="J514" s="6">
        <v>-7.9390467327769207E-3</v>
      </c>
      <c r="K514" s="91">
        <f t="array" ref="K514">MAX(IF((D514&lt;[1]Nifty_D!$B$2:$B$6600)*(E514&gt;=[1]Nifty_D!$B$2:$B$6600),[1]Nifty_D!$F$2:$F$6600,""))</f>
        <v>25732.3</v>
      </c>
      <c r="L514" s="92">
        <f t="shared" si="25"/>
        <v>-2.2469731778482771E-3</v>
      </c>
      <c r="M514" s="91">
        <f t="shared" si="26"/>
        <v>14108.4</v>
      </c>
      <c r="N514" s="93">
        <f t="array" ref="N514">INDEX([1]Nifty_D!$B$2:$B$6600,MATCH(E514,[1]Nifty_D!$B$2:$B$6600,0)-1)</f>
        <v>46038</v>
      </c>
      <c r="O514" s="89">
        <f>VLOOKUP(N514,[1]Nifty_D!$B$2:$F$6600,5,0)</f>
        <v>25694.35</v>
      </c>
      <c r="P514" s="92">
        <f t="shared" si="27"/>
        <v>-3.7184594953519889E-3</v>
      </c>
      <c r="Q514" s="7" t="s">
        <v>28</v>
      </c>
      <c r="R514" s="4">
        <v>25800</v>
      </c>
      <c r="S514" s="102"/>
      <c r="T514" s="102"/>
      <c r="U514" s="7" t="s">
        <v>90</v>
      </c>
      <c r="V514" s="4">
        <v>65</v>
      </c>
      <c r="W514" s="5">
        <v>186.35</v>
      </c>
      <c r="X514" s="5">
        <v>8.85</v>
      </c>
      <c r="Y514" s="8">
        <v>-0.17699999999999999</v>
      </c>
      <c r="Z514" s="8">
        <v>0.70099999999999996</v>
      </c>
      <c r="AA514" s="5">
        <v>177.5</v>
      </c>
      <c r="AB514" s="6">
        <v>6.8824458855575267E-3</v>
      </c>
      <c r="AC514" s="4">
        <v>0</v>
      </c>
      <c r="AD514" s="6">
        <v>0</v>
      </c>
      <c r="AE514" s="5">
        <v>59717.1</v>
      </c>
      <c r="AF514" s="5">
        <v>59647.65</v>
      </c>
      <c r="AG514" s="5">
        <v>-69.45</v>
      </c>
      <c r="AH514" s="5">
        <v>-0.1163</v>
      </c>
      <c r="AI514" s="4">
        <v>7</v>
      </c>
      <c r="AJ514" s="5">
        <v>-0.11666700000000001</v>
      </c>
      <c r="AK514" s="5">
        <v>-139.1199</v>
      </c>
      <c r="AL514" s="5">
        <v>-0.23300000000000001</v>
      </c>
      <c r="AM514" s="8">
        <v>-1.0975999999999999</v>
      </c>
      <c r="AN514" s="8">
        <v>0.9556</v>
      </c>
      <c r="AO514" s="15">
        <v>292.58010000000002</v>
      </c>
      <c r="AP514" s="15">
        <v>1.4409000000000001</v>
      </c>
      <c r="AQ514" s="5">
        <v>106.3472</v>
      </c>
      <c r="AR514" s="5">
        <v>106.8719</v>
      </c>
      <c r="AS514" s="5">
        <v>-0.52470000000000006</v>
      </c>
      <c r="AT514" s="5">
        <v>-0.49099999999999999</v>
      </c>
      <c r="AU514" s="8">
        <v>0.44690000000000002</v>
      </c>
      <c r="AV514" s="8">
        <v>0.83160000000000001</v>
      </c>
      <c r="AW514" s="8">
        <v>0.44690000000000002</v>
      </c>
      <c r="AX514" s="5">
        <v>105.3051</v>
      </c>
      <c r="AY514" s="5">
        <v>-1.466</v>
      </c>
      <c r="AZ514" s="7" t="s">
        <v>91</v>
      </c>
    </row>
    <row r="515" spans="1:52" ht="18" customHeight="1" x14ac:dyDescent="0.25">
      <c r="A515" s="10">
        <v>257</v>
      </c>
      <c r="B515" s="10">
        <v>2</v>
      </c>
      <c r="C515" s="10">
        <v>257</v>
      </c>
      <c r="D515" s="86">
        <v>46034</v>
      </c>
      <c r="E515" s="86">
        <v>46041</v>
      </c>
      <c r="F515" s="86">
        <v>46049</v>
      </c>
      <c r="G515" s="11">
        <v>25790.25</v>
      </c>
      <c r="H515" s="11">
        <v>25585.5</v>
      </c>
      <c r="I515" s="12"/>
      <c r="J515" s="12"/>
      <c r="K515" s="91">
        <f t="array" ref="K515">MAX(IF((D515&lt;[1]Nifty_D!$B$2:$B$6600)*(E515&gt;=[1]Nifty_D!$B$2:$B$6600),[1]Nifty_D!$F$2:$F$6600,""))</f>
        <v>25732.3</v>
      </c>
      <c r="L515" s="92">
        <f t="shared" si="25"/>
        <v>-2.2469731778482771E-3</v>
      </c>
      <c r="M515" s="91">
        <f t="shared" si="26"/>
        <v>14108.4</v>
      </c>
      <c r="N515" s="93">
        <f t="array" ref="N515">INDEX([1]Nifty_D!$B$2:$B$6600,MATCH(E515,[1]Nifty_D!$B$2:$B$6600,0)-1)</f>
        <v>46038</v>
      </c>
      <c r="O515" s="89">
        <f>VLOOKUP(N515,[1]Nifty_D!$B$2:$F$6600,5,0)</f>
        <v>25694.35</v>
      </c>
      <c r="P515" s="92">
        <f t="shared" si="27"/>
        <v>-3.7184594953519889E-3</v>
      </c>
      <c r="Q515" s="12" t="s">
        <v>40</v>
      </c>
      <c r="R515" s="10">
        <v>26500</v>
      </c>
      <c r="S515" s="103">
        <f>MROUND(G515,500)</f>
        <v>26000</v>
      </c>
      <c r="T515" s="103">
        <f>S515-R515</f>
        <v>-500</v>
      </c>
      <c r="U515" s="12" t="s">
        <v>92</v>
      </c>
      <c r="V515" s="10">
        <v>65</v>
      </c>
      <c r="W515" s="11">
        <v>651.45000000000005</v>
      </c>
      <c r="X515" s="11">
        <v>905.65</v>
      </c>
      <c r="Y515" s="13">
        <v>-0.33169999999999999</v>
      </c>
      <c r="Z515" s="13">
        <v>1.2282</v>
      </c>
      <c r="AA515" s="10">
        <v>0</v>
      </c>
      <c r="AB515" s="14">
        <v>0</v>
      </c>
      <c r="AC515" s="11">
        <v>254.2</v>
      </c>
      <c r="AD515" s="14">
        <v>9.8564379949787218E-3</v>
      </c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 t="s">
        <v>91</v>
      </c>
    </row>
    <row r="516" spans="1:52" ht="18" hidden="1" customHeight="1" x14ac:dyDescent="0.25">
      <c r="A516" s="4">
        <v>258</v>
      </c>
      <c r="B516" s="4">
        <v>1</v>
      </c>
      <c r="C516" s="4">
        <v>258</v>
      </c>
      <c r="D516" s="85">
        <v>46041</v>
      </c>
      <c r="E516" s="85">
        <v>46045</v>
      </c>
      <c r="F516" s="85">
        <v>46049</v>
      </c>
      <c r="G516" s="5">
        <v>25585.5</v>
      </c>
      <c r="H516" s="5">
        <v>25048.65</v>
      </c>
      <c r="I516" s="5">
        <v>-536.85</v>
      </c>
      <c r="J516" s="6">
        <v>-2.0982587793867621E-2</v>
      </c>
      <c r="K516" s="91">
        <f t="array" ref="K516">MAX(IF((D516&lt;[1]Nifty_D!$B$2:$B$6600)*(E516&gt;=[1]Nifty_D!$B$2:$B$6600),[1]Nifty_D!$F$2:$F$6600,""))</f>
        <v>25289.9</v>
      </c>
      <c r="L516" s="92">
        <f t="shared" si="25"/>
        <v>-1.1553418928689996E-2</v>
      </c>
      <c r="M516" s="91">
        <f t="shared" si="26"/>
        <v>13666.000000000002</v>
      </c>
      <c r="N516" s="93">
        <f t="array" ref="N516">INDEX([1]Nifty_D!$B$2:$B$6600,MATCH(E516,[1]Nifty_D!$B$2:$B$6600,0)-1)</f>
        <v>46044</v>
      </c>
      <c r="O516" s="89">
        <f>VLOOKUP(N516,[1]Nifty_D!$B$2:$F$6600,5,0)</f>
        <v>25289.9</v>
      </c>
      <c r="P516" s="92">
        <f t="shared" si="27"/>
        <v>-1.1553418928689996E-2</v>
      </c>
      <c r="Q516" s="7" t="s">
        <v>28</v>
      </c>
      <c r="R516" s="4">
        <v>25600</v>
      </c>
      <c r="S516" s="102"/>
      <c r="T516" s="102"/>
      <c r="U516" s="7" t="s">
        <v>90</v>
      </c>
      <c r="V516" s="4">
        <v>65</v>
      </c>
      <c r="W516" s="5">
        <v>155.25</v>
      </c>
      <c r="X516" s="5">
        <v>9.0500000000000007</v>
      </c>
      <c r="Y516" s="8">
        <v>9.4000000000000004E-3</v>
      </c>
      <c r="Z516" s="8">
        <v>0.57630000000000003</v>
      </c>
      <c r="AA516" s="5">
        <v>146.19999999999999</v>
      </c>
      <c r="AB516" s="6">
        <v>5.7141740438920478E-3</v>
      </c>
      <c r="AC516" s="4">
        <v>0</v>
      </c>
      <c r="AD516" s="6">
        <v>0</v>
      </c>
      <c r="AE516" s="5">
        <v>59647.65</v>
      </c>
      <c r="AF516" s="5">
        <v>57145.65</v>
      </c>
      <c r="AG516" s="4">
        <v>-2502</v>
      </c>
      <c r="AH516" s="5">
        <v>-4.1946000000000003</v>
      </c>
      <c r="AI516" s="4">
        <v>4</v>
      </c>
      <c r="AJ516" s="5">
        <v>-6.6667000000000004E-2</v>
      </c>
      <c r="AK516" s="5">
        <v>-2541.7651000000001</v>
      </c>
      <c r="AL516" s="5">
        <v>-4.2613000000000003</v>
      </c>
      <c r="AM516" s="8">
        <v>-5.0050999999999997</v>
      </c>
      <c r="AN516" s="8">
        <v>-3.85E-2</v>
      </c>
      <c r="AO516" s="9">
        <v>-1884.7150999999999</v>
      </c>
      <c r="AP516" s="9">
        <v>-1.6932</v>
      </c>
      <c r="AQ516" s="5">
        <v>104.5466</v>
      </c>
      <c r="AR516" s="5">
        <v>106.8719</v>
      </c>
      <c r="AS516" s="5">
        <v>-2.3254000000000001</v>
      </c>
      <c r="AT516" s="5">
        <v>-2.1758999999999999</v>
      </c>
      <c r="AU516" s="8">
        <v>-5.4899999999999997E-2</v>
      </c>
      <c r="AV516" s="8">
        <v>-1.9596</v>
      </c>
      <c r="AW516" s="8">
        <v>-1.9596</v>
      </c>
      <c r="AX516" s="5">
        <v>104.2632</v>
      </c>
      <c r="AY516" s="5">
        <v>-2.4409999999999998</v>
      </c>
      <c r="AZ516" s="7" t="s">
        <v>91</v>
      </c>
    </row>
    <row r="517" spans="1:52" ht="18" customHeight="1" x14ac:dyDescent="0.25">
      <c r="A517" s="10">
        <v>258</v>
      </c>
      <c r="B517" s="10">
        <v>2</v>
      </c>
      <c r="C517" s="10">
        <v>258</v>
      </c>
      <c r="D517" s="86">
        <v>46041</v>
      </c>
      <c r="E517" s="86">
        <v>46045</v>
      </c>
      <c r="F517" s="86">
        <v>46049</v>
      </c>
      <c r="G517" s="11">
        <v>25585.5</v>
      </c>
      <c r="H517" s="11">
        <v>25048.65</v>
      </c>
      <c r="I517" s="12"/>
      <c r="J517" s="12"/>
      <c r="K517" s="91">
        <f t="array" ref="K517">MAX(IF((D517&lt;[1]Nifty_D!$B$2:$B$6600)*(E517&gt;=[1]Nifty_D!$B$2:$B$6600),[1]Nifty_D!$F$2:$F$6600,""))</f>
        <v>25289.9</v>
      </c>
      <c r="L517" s="92">
        <f t="shared" si="25"/>
        <v>-1.1553418928689996E-2</v>
      </c>
      <c r="M517" s="91">
        <f t="shared" si="26"/>
        <v>13666.000000000002</v>
      </c>
      <c r="N517" s="93">
        <f t="array" ref="N517">INDEX([1]Nifty_D!$B$2:$B$6600,MATCH(E517,[1]Nifty_D!$B$2:$B$6600,0)-1)</f>
        <v>46044</v>
      </c>
      <c r="O517" s="89">
        <f>VLOOKUP(N517,[1]Nifty_D!$B$2:$F$6600,5,0)</f>
        <v>25289.9</v>
      </c>
      <c r="P517" s="92">
        <f t="shared" si="27"/>
        <v>-1.1553418928689996E-2</v>
      </c>
      <c r="Q517" s="12" t="s">
        <v>40</v>
      </c>
      <c r="R517" s="10">
        <v>26500</v>
      </c>
      <c r="S517" s="103">
        <f>MROUND(G517,500)</f>
        <v>25500</v>
      </c>
      <c r="T517" s="103">
        <f>S517-R517</f>
        <v>-1000</v>
      </c>
      <c r="U517" s="12" t="s">
        <v>92</v>
      </c>
      <c r="V517" s="10">
        <v>65</v>
      </c>
      <c r="W517" s="11">
        <v>905.65</v>
      </c>
      <c r="X517" s="11">
        <v>1416.5</v>
      </c>
      <c r="Y517" s="13">
        <v>-2.58E-2</v>
      </c>
      <c r="Z517" s="13">
        <v>2.4691999999999998</v>
      </c>
      <c r="AA517" s="10">
        <v>0</v>
      </c>
      <c r="AB517" s="14">
        <v>0</v>
      </c>
      <c r="AC517" s="11">
        <v>510.85</v>
      </c>
      <c r="AD517" s="14">
        <v>1.9966387211506519E-2</v>
      </c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 t="s">
        <v>91</v>
      </c>
    </row>
    <row r="518" spans="1:52" ht="18" hidden="1" customHeight="1" x14ac:dyDescent="0.25">
      <c r="A518" s="4">
        <v>259</v>
      </c>
      <c r="B518" s="4">
        <v>1</v>
      </c>
      <c r="C518" s="4">
        <v>259</v>
      </c>
      <c r="D518" s="85">
        <v>46045</v>
      </c>
      <c r="E518" s="85">
        <v>46050</v>
      </c>
      <c r="F518" s="85">
        <v>46056</v>
      </c>
      <c r="G518" s="5">
        <v>25048.65</v>
      </c>
      <c r="H518" s="5">
        <v>25342.75</v>
      </c>
      <c r="I518" s="5">
        <v>294.10000000000002</v>
      </c>
      <c r="J518" s="6">
        <v>1.17411517187553E-2</v>
      </c>
      <c r="K518" s="91">
        <f t="array" ref="K518">MAX(IF((D518&lt;[1]Nifty_D!$B$2:$B$6600)*(E518&gt;=[1]Nifty_D!$B$2:$B$6600),[1]Nifty_D!$F$2:$F$6600,""))</f>
        <v>25342.75</v>
      </c>
      <c r="L518" s="92">
        <f t="shared" si="25"/>
        <v>1.1741151718755338E-2</v>
      </c>
      <c r="M518" s="91">
        <f t="shared" si="26"/>
        <v>13718.85</v>
      </c>
      <c r="N518" s="93">
        <f t="array" ref="N518">INDEX([1]Nifty_D!$B$2:$B$6600,MATCH(E518,[1]Nifty_D!$B$2:$B$6600,0)-1)</f>
        <v>46049</v>
      </c>
      <c r="O518" s="89">
        <f>VLOOKUP(N518,[1]Nifty_D!$B$2:$F$6600,5,0)</f>
        <v>25175.4</v>
      </c>
      <c r="P518" s="92">
        <f t="shared" si="27"/>
        <v>5.0601529423741631E-3</v>
      </c>
      <c r="Q518" s="7" t="s">
        <v>28</v>
      </c>
      <c r="R518" s="4">
        <v>25000</v>
      </c>
      <c r="S518" s="102"/>
      <c r="T518" s="102"/>
      <c r="U518" s="7" t="s">
        <v>90</v>
      </c>
      <c r="V518" s="4">
        <v>65</v>
      </c>
      <c r="W518" s="5">
        <v>346.75</v>
      </c>
      <c r="X518" s="5">
        <v>453.4</v>
      </c>
      <c r="Y518" s="8">
        <v>-0.65569999999999995</v>
      </c>
      <c r="Z518" s="8">
        <v>0.1711</v>
      </c>
      <c r="AA518" s="5">
        <v>-106.65</v>
      </c>
      <c r="AB518" s="6">
        <v>-4.2577144876071163E-3</v>
      </c>
      <c r="AC518" s="4">
        <v>0</v>
      </c>
      <c r="AD518" s="6">
        <v>0</v>
      </c>
      <c r="AE518" s="5">
        <v>57145.65</v>
      </c>
      <c r="AF518" s="5">
        <v>58438.6</v>
      </c>
      <c r="AG518" s="5">
        <v>1292.95</v>
      </c>
      <c r="AH518" s="5">
        <v>2.2625999999999999</v>
      </c>
      <c r="AI518" s="4">
        <v>5</v>
      </c>
      <c r="AJ518" s="5">
        <v>-8.3333000000000004E-2</v>
      </c>
      <c r="AK518" s="5">
        <v>1245.3286000000001</v>
      </c>
      <c r="AL518" s="5">
        <v>2.1791999999999998</v>
      </c>
      <c r="AM518" s="8">
        <v>-0.89600000000000002</v>
      </c>
      <c r="AN518" s="8">
        <v>2.3003999999999998</v>
      </c>
      <c r="AO518" s="15">
        <v>1007.1286</v>
      </c>
      <c r="AP518" s="15">
        <v>1.2282999999999999</v>
      </c>
      <c r="AQ518" s="5">
        <v>105.83069999999999</v>
      </c>
      <c r="AR518" s="5">
        <v>106.8719</v>
      </c>
      <c r="AS518" s="5">
        <v>-1.0411999999999999</v>
      </c>
      <c r="AT518" s="5">
        <v>-0.97430000000000005</v>
      </c>
      <c r="AU518" s="8">
        <v>1.105</v>
      </c>
      <c r="AV518" s="8">
        <v>-0.44069999999999998</v>
      </c>
      <c r="AW518" s="8">
        <v>-0.44069999999999998</v>
      </c>
      <c r="AX518" s="5">
        <v>104.08580000000001</v>
      </c>
      <c r="AY518" s="5">
        <v>-2.6070000000000002</v>
      </c>
      <c r="AZ518" s="7" t="s">
        <v>97</v>
      </c>
    </row>
    <row r="519" spans="1:52" ht="18" customHeight="1" x14ac:dyDescent="0.25">
      <c r="A519" s="10">
        <v>259</v>
      </c>
      <c r="B519" s="10">
        <v>2</v>
      </c>
      <c r="C519" s="10">
        <v>259</v>
      </c>
      <c r="D519" s="86">
        <v>46045</v>
      </c>
      <c r="E519" s="86">
        <v>46050</v>
      </c>
      <c r="F519" s="86">
        <v>46077</v>
      </c>
      <c r="G519" s="11">
        <v>25048.65</v>
      </c>
      <c r="H519" s="11">
        <v>25342.75</v>
      </c>
      <c r="I519" s="12"/>
      <c r="J519" s="12"/>
      <c r="K519" s="91">
        <f t="array" ref="K519">MAX(IF((D519&lt;[1]Nifty_D!$B$2:$B$6600)*(E519&gt;=[1]Nifty_D!$B$2:$B$6600),[1]Nifty_D!$F$2:$F$6600,""))</f>
        <v>25342.75</v>
      </c>
      <c r="L519" s="92">
        <f t="shared" si="25"/>
        <v>1.1741151718755338E-2</v>
      </c>
      <c r="M519" s="91">
        <f t="shared" si="26"/>
        <v>13718.85</v>
      </c>
      <c r="N519" s="93">
        <f t="array" ref="N519">INDEX([1]Nifty_D!$B$2:$B$6600,MATCH(E519,[1]Nifty_D!$B$2:$B$6600,0)-1)</f>
        <v>46049</v>
      </c>
      <c r="O519" s="89">
        <f>VLOOKUP(N519,[1]Nifty_D!$B$2:$F$6600,5,0)</f>
        <v>25175.4</v>
      </c>
      <c r="P519" s="92">
        <f t="shared" si="27"/>
        <v>5.0601529423741631E-3</v>
      </c>
      <c r="Q519" s="12" t="s">
        <v>40</v>
      </c>
      <c r="R519" s="10">
        <v>25000</v>
      </c>
      <c r="S519" s="103">
        <f>MROUND(G519,500)</f>
        <v>25000</v>
      </c>
      <c r="T519" s="103">
        <f>S519-R519</f>
        <v>0</v>
      </c>
      <c r="U519" s="12" t="s">
        <v>92</v>
      </c>
      <c r="V519" s="10">
        <v>65</v>
      </c>
      <c r="W519" s="11">
        <v>320.2</v>
      </c>
      <c r="X519" s="11">
        <v>188.65</v>
      </c>
      <c r="Y519" s="13">
        <v>-0.53969999999999996</v>
      </c>
      <c r="Z519" s="13">
        <v>0.28420000000000001</v>
      </c>
      <c r="AA519" s="10">
        <v>0</v>
      </c>
      <c r="AB519" s="14">
        <v>0</v>
      </c>
      <c r="AC519" s="11">
        <v>-131.55000000000001</v>
      </c>
      <c r="AD519" s="14">
        <v>-5.2517800360498473E-3</v>
      </c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 t="s">
        <v>97</v>
      </c>
    </row>
    <row r="520" spans="1:52" ht="18" hidden="1" customHeight="1" x14ac:dyDescent="0.25">
      <c r="A520" s="4">
        <v>260</v>
      </c>
      <c r="B520" s="4">
        <v>1</v>
      </c>
      <c r="C520" s="4">
        <v>260</v>
      </c>
      <c r="D520" s="85">
        <v>46050</v>
      </c>
      <c r="E520" s="85">
        <v>46055</v>
      </c>
      <c r="F520" s="85">
        <v>46056</v>
      </c>
      <c r="G520" s="5">
        <v>25342.75</v>
      </c>
      <c r="H520" s="5">
        <v>25088.400000000001</v>
      </c>
      <c r="I520" s="5">
        <v>-254.35</v>
      </c>
      <c r="J520" s="6">
        <v>-1.0036400943070499E-2</v>
      </c>
      <c r="K520" s="91">
        <f t="array" ref="K520">MAX(IF((D520&lt;[1]Nifty_D!$B$2:$B$6600)*(E520&gt;=[1]Nifty_D!$B$2:$B$6600),[1]Nifty_D!$F$2:$F$6600,""))</f>
        <v>25418.9</v>
      </c>
      <c r="L520" s="92">
        <f t="shared" ref="L520:L563" si="28">K520/G520-1</f>
        <v>3.004804135305017E-3</v>
      </c>
      <c r="M520" s="91">
        <f t="shared" ref="M520:M563" si="29">K520-$G$2</f>
        <v>13795.000000000002</v>
      </c>
      <c r="N520" s="93">
        <f t="array" ref="N520">INDEX([1]Nifty_D!$B$2:$B$6600,MATCH(E520,[1]Nifty_D!$B$2:$B$6600,0)-1)</f>
        <v>46054</v>
      </c>
      <c r="O520" s="89">
        <f>VLOOKUP(N520,[1]Nifty_D!$B$2:$F$6600,5,0)</f>
        <v>24825.45</v>
      </c>
      <c r="P520" s="92">
        <f t="shared" ref="P520:P563" si="30">O520/G520-1</f>
        <v>-2.0412149431296878E-2</v>
      </c>
      <c r="Q520" s="7" t="s">
        <v>28</v>
      </c>
      <c r="R520" s="4">
        <v>25300</v>
      </c>
      <c r="S520" s="102"/>
      <c r="T520" s="102"/>
      <c r="U520" s="7" t="s">
        <v>90</v>
      </c>
      <c r="V520" s="4">
        <v>65</v>
      </c>
      <c r="W520" s="4">
        <v>247</v>
      </c>
      <c r="X520" s="5">
        <v>19.5</v>
      </c>
      <c r="Y520" s="8">
        <v>-0.20200000000000001</v>
      </c>
      <c r="Z520" s="8">
        <v>0.9496</v>
      </c>
      <c r="AA520" s="5">
        <v>227.5</v>
      </c>
      <c r="AB520" s="6">
        <v>8.9769263398802417E-3</v>
      </c>
      <c r="AC520" s="4">
        <v>0</v>
      </c>
      <c r="AD520" s="6">
        <v>0</v>
      </c>
      <c r="AE520" s="5">
        <v>58438.6</v>
      </c>
      <c r="AF520" s="5">
        <v>57667.6</v>
      </c>
      <c r="AG520" s="4">
        <v>-771</v>
      </c>
      <c r="AH520" s="5">
        <v>-1.3192999999999999</v>
      </c>
      <c r="AI520" s="4">
        <v>5</v>
      </c>
      <c r="AJ520" s="5">
        <v>-8.3333000000000004E-2</v>
      </c>
      <c r="AK520" s="5">
        <v>-819.69880000000001</v>
      </c>
      <c r="AL520" s="5">
        <v>-1.4027000000000001</v>
      </c>
      <c r="AM520" s="8">
        <v>-4.0204000000000004</v>
      </c>
      <c r="AN520" s="8">
        <v>0.29520000000000002</v>
      </c>
      <c r="AO520" s="9">
        <v>-452.79880000000003</v>
      </c>
      <c r="AP520" s="9">
        <v>4.5100000000000001E-2</v>
      </c>
      <c r="AQ520" s="5">
        <v>105.8784</v>
      </c>
      <c r="AR520" s="5">
        <v>106.8719</v>
      </c>
      <c r="AS520" s="5">
        <v>-0.99350000000000005</v>
      </c>
      <c r="AT520" s="5">
        <v>-0.92959999999999998</v>
      </c>
      <c r="AU520" s="8">
        <v>-0.13819999999999999</v>
      </c>
      <c r="AV520" s="8">
        <v>-0.74650000000000005</v>
      </c>
      <c r="AW520" s="8">
        <v>-0.74650000000000005</v>
      </c>
      <c r="AX520" s="5">
        <v>105.0407</v>
      </c>
      <c r="AY520" s="5">
        <v>-1.7135</v>
      </c>
      <c r="AZ520" s="7" t="s">
        <v>91</v>
      </c>
    </row>
    <row r="521" spans="1:52" ht="18" customHeight="1" x14ac:dyDescent="0.25">
      <c r="A521" s="10">
        <v>260</v>
      </c>
      <c r="B521" s="10">
        <v>2</v>
      </c>
      <c r="C521" s="10">
        <v>260</v>
      </c>
      <c r="D521" s="86">
        <v>46050</v>
      </c>
      <c r="E521" s="86">
        <v>46055</v>
      </c>
      <c r="F521" s="86">
        <v>46077</v>
      </c>
      <c r="G521" s="11">
        <v>25342.75</v>
      </c>
      <c r="H521" s="11">
        <v>25088.400000000001</v>
      </c>
      <c r="I521" s="12"/>
      <c r="J521" s="12"/>
      <c r="K521" s="91">
        <f t="array" ref="K521">MAX(IF((D521&lt;[1]Nifty_D!$B$2:$B$6600)*(E521&gt;=[1]Nifty_D!$B$2:$B$6600),[1]Nifty_D!$F$2:$F$6600,""))</f>
        <v>25418.9</v>
      </c>
      <c r="L521" s="92">
        <f t="shared" si="28"/>
        <v>3.004804135305017E-3</v>
      </c>
      <c r="M521" s="91">
        <f t="shared" si="29"/>
        <v>13795.000000000002</v>
      </c>
      <c r="N521" s="93">
        <f t="array" ref="N521">INDEX([1]Nifty_D!$B$2:$B$6600,MATCH(E521,[1]Nifty_D!$B$2:$B$6600,0)-1)</f>
        <v>46054</v>
      </c>
      <c r="O521" s="89">
        <f>VLOOKUP(N521,[1]Nifty_D!$B$2:$F$6600,5,0)</f>
        <v>24825.45</v>
      </c>
      <c r="P521" s="92">
        <f t="shared" si="30"/>
        <v>-2.0412149431296878E-2</v>
      </c>
      <c r="Q521" s="12" t="s">
        <v>40</v>
      </c>
      <c r="R521" s="10">
        <v>25500</v>
      </c>
      <c r="S521" s="103">
        <f>MROUND(G521,500)</f>
        <v>25500</v>
      </c>
      <c r="T521" s="103">
        <f>S521-R521</f>
        <v>0</v>
      </c>
      <c r="U521" s="12" t="s">
        <v>92</v>
      </c>
      <c r="V521" s="10">
        <v>65</v>
      </c>
      <c r="W521" s="11">
        <v>374.55</v>
      </c>
      <c r="X521" s="11">
        <v>513.95000000000005</v>
      </c>
      <c r="Y521" s="13">
        <v>-0.23139999999999999</v>
      </c>
      <c r="Z521" s="13">
        <v>2.3243</v>
      </c>
      <c r="AA521" s="10">
        <v>0</v>
      </c>
      <c r="AB521" s="14">
        <v>0</v>
      </c>
      <c r="AC521" s="11">
        <v>139.4</v>
      </c>
      <c r="AD521" s="14">
        <v>5.5005869528760697E-3</v>
      </c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 t="s">
        <v>91</v>
      </c>
    </row>
    <row r="522" spans="1:52" ht="18" hidden="1" customHeight="1" x14ac:dyDescent="0.25">
      <c r="A522" s="4">
        <v>261</v>
      </c>
      <c r="B522" s="4">
        <v>1</v>
      </c>
      <c r="C522" s="4">
        <v>261</v>
      </c>
      <c r="D522" s="85">
        <v>46055</v>
      </c>
      <c r="E522" s="85">
        <v>46056</v>
      </c>
      <c r="F522" s="85">
        <v>46063</v>
      </c>
      <c r="G522" s="5">
        <v>25088.400000000001</v>
      </c>
      <c r="H522" s="5">
        <v>25727.55</v>
      </c>
      <c r="I522" s="5">
        <v>639.15</v>
      </c>
      <c r="J522" s="6">
        <v>2.5475917156933078E-2</v>
      </c>
      <c r="K522" s="91">
        <f t="array" ref="K522">MAX(IF((D522&lt;[1]Nifty_D!$B$2:$B$6600)*(E522&gt;=[1]Nifty_D!$B$2:$B$6600),[1]Nifty_D!$F$2:$F$6600,""))</f>
        <v>25727.55</v>
      </c>
      <c r="L522" s="92">
        <f t="shared" si="28"/>
        <v>2.5475917156932981E-2</v>
      </c>
      <c r="M522" s="91">
        <f t="shared" si="29"/>
        <v>14103.65</v>
      </c>
      <c r="N522" s="93">
        <f t="array" ref="N522">INDEX([1]Nifty_D!$B$2:$B$6600,MATCH(E522,[1]Nifty_D!$B$2:$B$6600,0)-1)</f>
        <v>46055</v>
      </c>
      <c r="O522" s="89">
        <f>VLOOKUP(N522,[1]Nifty_D!$B$2:$F$6600,5,0)</f>
        <v>25088.400000000001</v>
      </c>
      <c r="P522" s="92">
        <f t="shared" si="30"/>
        <v>0</v>
      </c>
      <c r="Q522" s="7" t="s">
        <v>28</v>
      </c>
      <c r="R522" s="4">
        <v>25100</v>
      </c>
      <c r="S522" s="102"/>
      <c r="T522" s="102"/>
      <c r="U522" s="7" t="s">
        <v>90</v>
      </c>
      <c r="V522" s="4">
        <v>65</v>
      </c>
      <c r="W522" s="5">
        <v>205.1</v>
      </c>
      <c r="X522" s="5">
        <v>682.1</v>
      </c>
      <c r="Y522" s="8">
        <v>-4.6010999999999997</v>
      </c>
      <c r="Z522" s="8">
        <v>-1.5740000000000001</v>
      </c>
      <c r="AA522" s="4">
        <v>-477</v>
      </c>
      <c r="AB522" s="6">
        <v>-1.9012770842301619E-2</v>
      </c>
      <c r="AC522" s="4">
        <v>0</v>
      </c>
      <c r="AD522" s="6">
        <v>0</v>
      </c>
      <c r="AE522" s="5">
        <v>57667.6</v>
      </c>
      <c r="AF522" s="5">
        <v>59307.1</v>
      </c>
      <c r="AG522" s="5">
        <v>1639.5</v>
      </c>
      <c r="AH522" s="5">
        <v>2.843</v>
      </c>
      <c r="AI522" s="4">
        <v>1</v>
      </c>
      <c r="AJ522" s="5">
        <v>-1.6667000000000001E-2</v>
      </c>
      <c r="AK522" s="5">
        <v>1629.8887</v>
      </c>
      <c r="AL522" s="5">
        <v>2.8264</v>
      </c>
      <c r="AM522" s="8">
        <v>2.3536000000000001</v>
      </c>
      <c r="AN522" s="8">
        <v>4.8192000000000004</v>
      </c>
      <c r="AO522" s="15">
        <v>803.18870000000004</v>
      </c>
      <c r="AP522" s="15">
        <v>-0.46870000000000001</v>
      </c>
      <c r="AQ522" s="5">
        <v>105.3822</v>
      </c>
      <c r="AR522" s="5">
        <v>106.8719</v>
      </c>
      <c r="AS522" s="5">
        <v>-1.4898</v>
      </c>
      <c r="AT522" s="5">
        <v>-1.3939999999999999</v>
      </c>
      <c r="AU522" s="8">
        <v>-1.2521</v>
      </c>
      <c r="AV522" s="8">
        <v>-0.27250000000000002</v>
      </c>
      <c r="AW522" s="8">
        <v>-1.2521</v>
      </c>
      <c r="AX522" s="5">
        <v>104.5527</v>
      </c>
      <c r="AY522" s="5">
        <v>-2.1701000000000001</v>
      </c>
      <c r="AZ522" s="7" t="s">
        <v>97</v>
      </c>
    </row>
    <row r="523" spans="1:52" ht="18" customHeight="1" x14ac:dyDescent="0.25">
      <c r="A523" s="10">
        <v>261</v>
      </c>
      <c r="B523" s="10">
        <v>2</v>
      </c>
      <c r="C523" s="10">
        <v>261</v>
      </c>
      <c r="D523" s="86">
        <v>46055</v>
      </c>
      <c r="E523" s="86">
        <v>46056</v>
      </c>
      <c r="F523" s="86">
        <v>46077</v>
      </c>
      <c r="G523" s="11">
        <v>25088.400000000001</v>
      </c>
      <c r="H523" s="11">
        <v>25727.55</v>
      </c>
      <c r="I523" s="12"/>
      <c r="J523" s="12"/>
      <c r="K523" s="91">
        <f t="array" ref="K523">MAX(IF((D523&lt;[1]Nifty_D!$B$2:$B$6600)*(E523&gt;=[1]Nifty_D!$B$2:$B$6600),[1]Nifty_D!$F$2:$F$6600,""))</f>
        <v>25727.55</v>
      </c>
      <c r="L523" s="92">
        <f t="shared" si="28"/>
        <v>2.5475917156932981E-2</v>
      </c>
      <c r="M523" s="91">
        <f t="shared" si="29"/>
        <v>14103.65</v>
      </c>
      <c r="N523" s="93">
        <f t="array" ref="N523">INDEX([1]Nifty_D!$B$2:$B$6600,MATCH(E523,[1]Nifty_D!$B$2:$B$6600,0)-1)</f>
        <v>46055</v>
      </c>
      <c r="O523" s="89">
        <f>VLOOKUP(N523,[1]Nifty_D!$B$2:$F$6600,5,0)</f>
        <v>25088.400000000001</v>
      </c>
      <c r="P523" s="92">
        <f t="shared" si="30"/>
        <v>0</v>
      </c>
      <c r="Q523" s="12" t="s">
        <v>40</v>
      </c>
      <c r="R523" s="10">
        <v>25500</v>
      </c>
      <c r="S523" s="103">
        <f>MROUND(G523,500)</f>
        <v>25000</v>
      </c>
      <c r="T523" s="103">
        <f>S523-R523</f>
        <v>-500</v>
      </c>
      <c r="U523" s="12" t="s">
        <v>92</v>
      </c>
      <c r="V523" s="10">
        <v>65</v>
      </c>
      <c r="W523" s="11">
        <v>513.95000000000005</v>
      </c>
      <c r="X523" s="11">
        <v>164.25</v>
      </c>
      <c r="Y523" s="13">
        <v>-1.4702</v>
      </c>
      <c r="Z523" s="13">
        <v>-1.0521</v>
      </c>
      <c r="AA523" s="10">
        <v>0</v>
      </c>
      <c r="AB523" s="14">
        <v>0</v>
      </c>
      <c r="AC523" s="11">
        <v>-349.7</v>
      </c>
      <c r="AD523" s="14">
        <v>-1.393871271185089E-2</v>
      </c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 t="s">
        <v>97</v>
      </c>
    </row>
    <row r="524" spans="1:52" ht="18" hidden="1" customHeight="1" x14ac:dyDescent="0.25">
      <c r="A524" s="4">
        <v>262</v>
      </c>
      <c r="B524" s="4">
        <v>1</v>
      </c>
      <c r="C524" s="4">
        <v>262</v>
      </c>
      <c r="D524" s="85">
        <v>46056</v>
      </c>
      <c r="E524" s="85">
        <v>46062</v>
      </c>
      <c r="F524" s="85">
        <v>46063</v>
      </c>
      <c r="G524" s="5">
        <v>25727.55</v>
      </c>
      <c r="H524" s="5">
        <v>25867.3</v>
      </c>
      <c r="I524" s="5">
        <v>139.75</v>
      </c>
      <c r="J524" s="6">
        <v>5.4319202566898133E-3</v>
      </c>
      <c r="K524" s="91">
        <f t="array" ref="K524">MAX(IF((D524&lt;[1]Nifty_D!$B$2:$B$6600)*(E524&gt;=[1]Nifty_D!$B$2:$B$6600),[1]Nifty_D!$F$2:$F$6600,""))</f>
        <v>25867.3</v>
      </c>
      <c r="L524" s="92">
        <f t="shared" si="28"/>
        <v>5.431920256689704E-3</v>
      </c>
      <c r="M524" s="91">
        <f t="shared" si="29"/>
        <v>14243.4</v>
      </c>
      <c r="N524" s="93">
        <f t="array" ref="N524">INDEX([1]Nifty_D!$B$2:$B$6600,MATCH(E524,[1]Nifty_D!$B$2:$B$6600,0)-1)</f>
        <v>46059</v>
      </c>
      <c r="O524" s="89">
        <f>VLOOKUP(N524,[1]Nifty_D!$B$2:$F$6600,5,0)</f>
        <v>25693.7</v>
      </c>
      <c r="P524" s="92">
        <f t="shared" si="30"/>
        <v>-1.31571020170973E-3</v>
      </c>
      <c r="Q524" s="7" t="s">
        <v>28</v>
      </c>
      <c r="R524" s="4">
        <v>25700</v>
      </c>
      <c r="S524" s="102"/>
      <c r="T524" s="102"/>
      <c r="U524" s="7" t="s">
        <v>90</v>
      </c>
      <c r="V524" s="4">
        <v>65</v>
      </c>
      <c r="W524" s="5">
        <v>219.15</v>
      </c>
      <c r="X524" s="5">
        <v>186.55</v>
      </c>
      <c r="Y524" s="8">
        <v>-0.1082</v>
      </c>
      <c r="Z524" s="8">
        <v>0.67849999999999999</v>
      </c>
      <c r="AA524" s="5">
        <v>32.6</v>
      </c>
      <c r="AB524" s="6">
        <v>1.2671241529022389E-3</v>
      </c>
      <c r="AC524" s="4">
        <v>0</v>
      </c>
      <c r="AD524" s="6">
        <v>0</v>
      </c>
      <c r="AE524" s="5">
        <v>59307.1</v>
      </c>
      <c r="AF524" s="5">
        <v>60441.15</v>
      </c>
      <c r="AG524" s="5">
        <v>1134.05</v>
      </c>
      <c r="AH524" s="5">
        <v>1.9121999999999999</v>
      </c>
      <c r="AI524" s="4">
        <v>6</v>
      </c>
      <c r="AJ524" s="5">
        <v>-0.1</v>
      </c>
      <c r="AK524" s="5">
        <v>1074.7429</v>
      </c>
      <c r="AL524" s="5">
        <v>1.8122</v>
      </c>
      <c r="AM524" s="8">
        <v>-0.97570000000000001</v>
      </c>
      <c r="AN524" s="8">
        <v>1.9061999999999999</v>
      </c>
      <c r="AO524" s="15">
        <v>1027.6429000000001</v>
      </c>
      <c r="AP524" s="15">
        <v>1.6291</v>
      </c>
      <c r="AQ524" s="5">
        <v>107.099</v>
      </c>
      <c r="AR524" s="5">
        <v>107.099</v>
      </c>
      <c r="AS524" s="4">
        <v>0</v>
      </c>
      <c r="AT524" s="4">
        <v>0</v>
      </c>
      <c r="AU524" s="8">
        <v>1.4678</v>
      </c>
      <c r="AV524" s="8">
        <v>-0.1079</v>
      </c>
      <c r="AW524" s="8">
        <v>-0.1079</v>
      </c>
      <c r="AX524" s="5">
        <v>105.2685</v>
      </c>
      <c r="AY524" s="5">
        <v>-1.5004</v>
      </c>
      <c r="AZ524" s="7" t="s">
        <v>91</v>
      </c>
    </row>
    <row r="525" spans="1:52" ht="18" customHeight="1" x14ac:dyDescent="0.25">
      <c r="A525" s="10">
        <v>262</v>
      </c>
      <c r="B525" s="10">
        <v>2</v>
      </c>
      <c r="C525" s="10">
        <v>262</v>
      </c>
      <c r="D525" s="86">
        <v>46056</v>
      </c>
      <c r="E525" s="86">
        <v>46062</v>
      </c>
      <c r="F525" s="86">
        <v>46077</v>
      </c>
      <c r="G525" s="11">
        <v>25727.55</v>
      </c>
      <c r="H525" s="11">
        <v>25867.3</v>
      </c>
      <c r="I525" s="12"/>
      <c r="J525" s="12"/>
      <c r="K525" s="91">
        <f t="array" ref="K525">MAX(IF((D525&lt;[1]Nifty_D!$B$2:$B$6600)*(E525&gt;=[1]Nifty_D!$B$2:$B$6600),[1]Nifty_D!$F$2:$F$6600,""))</f>
        <v>25867.3</v>
      </c>
      <c r="L525" s="92">
        <f t="shared" si="28"/>
        <v>5.431920256689704E-3</v>
      </c>
      <c r="M525" s="91">
        <f t="shared" si="29"/>
        <v>14243.4</v>
      </c>
      <c r="N525" s="93">
        <f t="array" ref="N525">INDEX([1]Nifty_D!$B$2:$B$6600,MATCH(E525,[1]Nifty_D!$B$2:$B$6600,0)-1)</f>
        <v>46059</v>
      </c>
      <c r="O525" s="89">
        <f>VLOOKUP(N525,[1]Nifty_D!$B$2:$F$6600,5,0)</f>
        <v>25693.7</v>
      </c>
      <c r="P525" s="92">
        <f t="shared" si="30"/>
        <v>-1.31571020170973E-3</v>
      </c>
      <c r="Q525" s="12" t="s">
        <v>40</v>
      </c>
      <c r="R525" s="10">
        <v>25500</v>
      </c>
      <c r="S525" s="103">
        <f>MROUND(G525,500)</f>
        <v>25500</v>
      </c>
      <c r="T525" s="103">
        <f>S525-R525</f>
        <v>0</v>
      </c>
      <c r="U525" s="12" t="s">
        <v>92</v>
      </c>
      <c r="V525" s="10">
        <v>65</v>
      </c>
      <c r="W525" s="11">
        <v>164.25</v>
      </c>
      <c r="X525" s="11">
        <v>84.55</v>
      </c>
      <c r="Y525" s="13">
        <v>-0.33019999999999999</v>
      </c>
      <c r="Z525" s="13">
        <v>0.1893</v>
      </c>
      <c r="AA525" s="10">
        <v>0</v>
      </c>
      <c r="AB525" s="14">
        <v>0</v>
      </c>
      <c r="AC525" s="11">
        <v>-79.7</v>
      </c>
      <c r="AD525" s="14">
        <v>-3.097846471972652E-3</v>
      </c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 t="s">
        <v>91</v>
      </c>
    </row>
    <row r="526" spans="1:52" ht="18" hidden="1" customHeight="1" x14ac:dyDescent="0.25">
      <c r="A526" s="4">
        <v>263</v>
      </c>
      <c r="B526" s="4">
        <v>1</v>
      </c>
      <c r="C526" s="4">
        <v>263</v>
      </c>
      <c r="D526" s="85">
        <v>46062</v>
      </c>
      <c r="E526" s="85">
        <v>46069</v>
      </c>
      <c r="F526" s="85">
        <v>46070</v>
      </c>
      <c r="G526" s="5">
        <v>25867.3</v>
      </c>
      <c r="H526" s="5">
        <v>25682.75</v>
      </c>
      <c r="I526" s="5">
        <v>-184.55</v>
      </c>
      <c r="J526" s="6">
        <v>-7.1344902637693157E-3</v>
      </c>
      <c r="K526" s="91">
        <f t="array" ref="K526">MAX(IF((D526&lt;[1]Nifty_D!$B$2:$B$6600)*(E526&gt;=[1]Nifty_D!$B$2:$B$6600),[1]Nifty_D!$F$2:$F$6600,""))</f>
        <v>25953.85</v>
      </c>
      <c r="L526" s="92">
        <f t="shared" si="28"/>
        <v>3.3459232312611498E-3</v>
      </c>
      <c r="M526" s="91">
        <f t="shared" si="29"/>
        <v>14329.949999999999</v>
      </c>
      <c r="N526" s="93">
        <f t="array" ref="N526">INDEX([1]Nifty_D!$B$2:$B$6600,MATCH(E526,[1]Nifty_D!$B$2:$B$6600,0)-1)</f>
        <v>46066</v>
      </c>
      <c r="O526" s="89">
        <f>VLOOKUP(N526,[1]Nifty_D!$B$2:$F$6600,5,0)</f>
        <v>25471.1</v>
      </c>
      <c r="P526" s="92">
        <f t="shared" si="30"/>
        <v>-1.5316635288568969E-2</v>
      </c>
      <c r="Q526" s="7" t="s">
        <v>28</v>
      </c>
      <c r="R526" s="4">
        <v>25900</v>
      </c>
      <c r="S526" s="102"/>
      <c r="T526" s="102"/>
      <c r="U526" s="7" t="s">
        <v>90</v>
      </c>
      <c r="V526" s="4">
        <v>65</v>
      </c>
      <c r="W526" s="5">
        <v>154.6</v>
      </c>
      <c r="X526" s="5">
        <v>20.6</v>
      </c>
      <c r="Y526" s="8">
        <v>-0.2215</v>
      </c>
      <c r="Z526" s="8">
        <v>0.57040000000000002</v>
      </c>
      <c r="AA526" s="4">
        <v>134</v>
      </c>
      <c r="AB526" s="6">
        <v>5.1802855342459398E-3</v>
      </c>
      <c r="AC526" s="4">
        <v>0</v>
      </c>
      <c r="AD526" s="6">
        <v>0</v>
      </c>
      <c r="AE526" s="5">
        <v>60441.15</v>
      </c>
      <c r="AF526" s="4">
        <v>59723</v>
      </c>
      <c r="AG526" s="5">
        <v>-718.15</v>
      </c>
      <c r="AH526" s="5">
        <v>-1.1881999999999999</v>
      </c>
      <c r="AI526" s="4">
        <v>7</v>
      </c>
      <c r="AJ526" s="5">
        <v>-0.11666700000000001</v>
      </c>
      <c r="AK526" s="5">
        <v>-788.66470000000004</v>
      </c>
      <c r="AL526" s="5">
        <v>-1.3048</v>
      </c>
      <c r="AM526" s="8">
        <v>-2.6347999999999998</v>
      </c>
      <c r="AN526" s="8">
        <v>0.60960000000000003</v>
      </c>
      <c r="AO526" s="9">
        <v>-639.26469999999995</v>
      </c>
      <c r="AP526" s="9">
        <v>-0.72719999999999996</v>
      </c>
      <c r="AQ526" s="5">
        <v>106.3201</v>
      </c>
      <c r="AR526" s="5">
        <v>107.099</v>
      </c>
      <c r="AS526" s="5">
        <v>-0.77880000000000005</v>
      </c>
      <c r="AT526" s="5">
        <v>-0.72719999999999996</v>
      </c>
      <c r="AU526" s="8">
        <v>0.22209999999999999</v>
      </c>
      <c r="AV526" s="8">
        <v>-1.5023</v>
      </c>
      <c r="AW526" s="8">
        <v>-1.5023</v>
      </c>
      <c r="AX526" s="5">
        <v>105.49</v>
      </c>
      <c r="AY526" s="5">
        <v>-1.5023</v>
      </c>
      <c r="AZ526" s="7" t="s">
        <v>91</v>
      </c>
    </row>
    <row r="527" spans="1:52" ht="18" customHeight="1" x14ac:dyDescent="0.25">
      <c r="A527" s="10">
        <v>263</v>
      </c>
      <c r="B527" s="10">
        <v>2</v>
      </c>
      <c r="C527" s="10">
        <v>263</v>
      </c>
      <c r="D527" s="86">
        <v>46062</v>
      </c>
      <c r="E527" s="86">
        <v>46069</v>
      </c>
      <c r="F527" s="86">
        <v>46077</v>
      </c>
      <c r="G527" s="11">
        <v>25867.3</v>
      </c>
      <c r="H527" s="11">
        <v>25682.75</v>
      </c>
      <c r="I527" s="12"/>
      <c r="J527" s="12"/>
      <c r="K527" s="91">
        <f t="array" ref="K527">MAX(IF((D527&lt;[1]Nifty_D!$B$2:$B$6600)*(E527&gt;=[1]Nifty_D!$B$2:$B$6600),[1]Nifty_D!$F$2:$F$6600,""))</f>
        <v>25953.85</v>
      </c>
      <c r="L527" s="92">
        <f t="shared" si="28"/>
        <v>3.3459232312611498E-3</v>
      </c>
      <c r="M527" s="91">
        <f t="shared" si="29"/>
        <v>14329.949999999999</v>
      </c>
      <c r="N527" s="93">
        <f t="array" ref="N527">INDEX([1]Nifty_D!$B$2:$B$6600,MATCH(E527,[1]Nifty_D!$B$2:$B$6600,0)-1)</f>
        <v>46066</v>
      </c>
      <c r="O527" s="89">
        <f>VLOOKUP(N527,[1]Nifty_D!$B$2:$F$6600,5,0)</f>
        <v>25471.1</v>
      </c>
      <c r="P527" s="92">
        <f t="shared" si="30"/>
        <v>-1.5316635288568969E-2</v>
      </c>
      <c r="Q527" s="12" t="s">
        <v>40</v>
      </c>
      <c r="R527" s="10">
        <v>25500</v>
      </c>
      <c r="S527" s="103">
        <f>MROUND(G527,500)</f>
        <v>26000</v>
      </c>
      <c r="T527" s="103">
        <f>S527-R527</f>
        <v>500</v>
      </c>
      <c r="U527" s="12" t="s">
        <v>92</v>
      </c>
      <c r="V527" s="10">
        <v>65</v>
      </c>
      <c r="W527" s="11">
        <v>84.55</v>
      </c>
      <c r="X527" s="11">
        <v>99.95</v>
      </c>
      <c r="Y527" s="13">
        <v>-0.16600000000000001</v>
      </c>
      <c r="Z527" s="13">
        <v>0.56210000000000004</v>
      </c>
      <c r="AA527" s="10">
        <v>0</v>
      </c>
      <c r="AB527" s="14">
        <v>0</v>
      </c>
      <c r="AC527" s="11">
        <v>15.4</v>
      </c>
      <c r="AD527" s="14">
        <v>5.9534624796557815E-4</v>
      </c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 t="s">
        <v>91</v>
      </c>
    </row>
    <row r="528" spans="1:52" ht="18" hidden="1" customHeight="1" x14ac:dyDescent="0.25">
      <c r="A528" s="4">
        <v>264</v>
      </c>
      <c r="B528" s="4">
        <v>1</v>
      </c>
      <c r="C528" s="4">
        <v>264</v>
      </c>
      <c r="D528" s="85">
        <v>46069</v>
      </c>
      <c r="E528" s="85">
        <v>46076</v>
      </c>
      <c r="F528" s="85">
        <v>46077</v>
      </c>
      <c r="G528" s="5">
        <v>25682.75</v>
      </c>
      <c r="H528" s="4">
        <v>25713</v>
      </c>
      <c r="I528" s="5">
        <v>30.25</v>
      </c>
      <c r="J528" s="6">
        <v>1.177833370647614E-3</v>
      </c>
      <c r="K528" s="91">
        <f t="array" ref="K528">MAX(IF((D528&lt;[1]Nifty_D!$B$2:$B$6600)*(E528&gt;=[1]Nifty_D!$B$2:$B$6600),[1]Nifty_D!$F$2:$F$6600,""))</f>
        <v>25819.35</v>
      </c>
      <c r="L528" s="92">
        <f t="shared" si="28"/>
        <v>5.318745072081299E-3</v>
      </c>
      <c r="M528" s="91">
        <f t="shared" si="29"/>
        <v>14195.449999999999</v>
      </c>
      <c r="N528" s="93">
        <f t="array" ref="N528">INDEX([1]Nifty_D!$B$2:$B$6600,MATCH(E528,[1]Nifty_D!$B$2:$B$6600,0)-1)</f>
        <v>46073</v>
      </c>
      <c r="O528" s="89">
        <f>VLOOKUP(N528,[1]Nifty_D!$B$2:$F$6600,5,0)</f>
        <v>25571.25</v>
      </c>
      <c r="P528" s="92">
        <f t="shared" si="30"/>
        <v>-4.3414353992465848E-3</v>
      </c>
      <c r="Q528" s="7" t="s">
        <v>28</v>
      </c>
      <c r="R528" s="4">
        <v>25700</v>
      </c>
      <c r="S528" s="102"/>
      <c r="T528" s="102"/>
      <c r="U528" s="7" t="s">
        <v>90</v>
      </c>
      <c r="V528" s="4">
        <v>65</v>
      </c>
      <c r="W528" s="5">
        <v>186.8</v>
      </c>
      <c r="X528" s="5">
        <v>89.7</v>
      </c>
      <c r="Y528" s="8">
        <v>-0.18379999999999999</v>
      </c>
      <c r="Z528" s="8">
        <v>0.59460000000000002</v>
      </c>
      <c r="AA528" s="5">
        <v>97.1</v>
      </c>
      <c r="AB528" s="6">
        <v>3.7807477781779601E-3</v>
      </c>
      <c r="AC528" s="4">
        <v>0</v>
      </c>
      <c r="AD528" s="6">
        <v>0</v>
      </c>
      <c r="AE528" s="4">
        <v>59723</v>
      </c>
      <c r="AF528" s="5">
        <v>59255.65</v>
      </c>
      <c r="AG528" s="5">
        <v>-467.35</v>
      </c>
      <c r="AH528" s="5">
        <v>-0.78249999999999997</v>
      </c>
      <c r="AI528" s="4">
        <v>7</v>
      </c>
      <c r="AJ528" s="5">
        <v>-0.11666700000000001</v>
      </c>
      <c r="AK528" s="5">
        <v>-537.02679999999998</v>
      </c>
      <c r="AL528" s="5">
        <v>-0.8992</v>
      </c>
      <c r="AM528" s="8">
        <v>-1.3018000000000001</v>
      </c>
      <c r="AN528" s="8">
        <v>0.98550000000000004</v>
      </c>
      <c r="AO528" s="9">
        <v>-510.8768</v>
      </c>
      <c r="AP528" s="9">
        <v>-0.7974</v>
      </c>
      <c r="AQ528" s="5">
        <v>105.4723</v>
      </c>
      <c r="AR528" s="5">
        <v>107.099</v>
      </c>
      <c r="AS528" s="5">
        <v>-1.6266</v>
      </c>
      <c r="AT528" s="5">
        <v>-1.5187999999999999</v>
      </c>
      <c r="AU528" s="8">
        <v>0.50729999999999997</v>
      </c>
      <c r="AV528" s="8">
        <v>-0.29620000000000002</v>
      </c>
      <c r="AW528" s="8">
        <v>-0.7974</v>
      </c>
      <c r="AX528" s="5">
        <v>105.4723</v>
      </c>
      <c r="AY528" s="5">
        <v>-1.5187999999999999</v>
      </c>
      <c r="AZ528" s="7" t="s">
        <v>91</v>
      </c>
    </row>
    <row r="529" spans="1:52" ht="18" customHeight="1" x14ac:dyDescent="0.25">
      <c r="A529" s="10">
        <v>264</v>
      </c>
      <c r="B529" s="10">
        <v>2</v>
      </c>
      <c r="C529" s="10">
        <v>264</v>
      </c>
      <c r="D529" s="86">
        <v>46069</v>
      </c>
      <c r="E529" s="86">
        <v>46076</v>
      </c>
      <c r="F529" s="86">
        <v>46077</v>
      </c>
      <c r="G529" s="11">
        <v>25682.75</v>
      </c>
      <c r="H529" s="10">
        <v>25713</v>
      </c>
      <c r="I529" s="12"/>
      <c r="J529" s="12"/>
      <c r="K529" s="91">
        <f t="array" ref="K529">MAX(IF((D529&lt;[1]Nifty_D!$B$2:$B$6600)*(E529&gt;=[1]Nifty_D!$B$2:$B$6600),[1]Nifty_D!$F$2:$F$6600,""))</f>
        <v>25819.35</v>
      </c>
      <c r="L529" s="92">
        <f t="shared" si="28"/>
        <v>5.318745072081299E-3</v>
      </c>
      <c r="M529" s="91">
        <f t="shared" si="29"/>
        <v>14195.449999999999</v>
      </c>
      <c r="N529" s="93">
        <f t="array" ref="N529">INDEX([1]Nifty_D!$B$2:$B$6600,MATCH(E529,[1]Nifty_D!$B$2:$B$6600,0)-1)</f>
        <v>46073</v>
      </c>
      <c r="O529" s="89">
        <f>VLOOKUP(N529,[1]Nifty_D!$B$2:$F$6600,5,0)</f>
        <v>25571.25</v>
      </c>
      <c r="P529" s="92">
        <f t="shared" si="30"/>
        <v>-4.3414353992465848E-3</v>
      </c>
      <c r="Q529" s="12" t="s">
        <v>40</v>
      </c>
      <c r="R529" s="10">
        <v>25500</v>
      </c>
      <c r="S529" s="103">
        <f>MROUND(G529,500)</f>
        <v>25500</v>
      </c>
      <c r="T529" s="103">
        <f>S529-R529</f>
        <v>0</v>
      </c>
      <c r="U529" s="12" t="s">
        <v>92</v>
      </c>
      <c r="V529" s="10">
        <v>65</v>
      </c>
      <c r="W529" s="11">
        <v>99.95</v>
      </c>
      <c r="X529" s="10">
        <v>29</v>
      </c>
      <c r="Y529" s="13">
        <v>-0.2944</v>
      </c>
      <c r="Z529" s="13">
        <v>0.41099999999999998</v>
      </c>
      <c r="AA529" s="10">
        <v>0</v>
      </c>
      <c r="AB529" s="14">
        <v>0</v>
      </c>
      <c r="AC529" s="11">
        <v>-70.95</v>
      </c>
      <c r="AD529" s="14">
        <v>-2.7625546329734939E-3</v>
      </c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 t="s">
        <v>91</v>
      </c>
    </row>
    <row r="530" spans="1:52" ht="18" hidden="1" customHeight="1" x14ac:dyDescent="0.25">
      <c r="A530" s="4">
        <v>265</v>
      </c>
      <c r="B530" s="4">
        <v>1</v>
      </c>
      <c r="C530" s="4">
        <v>265</v>
      </c>
      <c r="D530" s="85">
        <v>46076</v>
      </c>
      <c r="E530" s="85">
        <v>46080</v>
      </c>
      <c r="F530" s="85">
        <v>46083</v>
      </c>
      <c r="G530" s="4">
        <v>25713</v>
      </c>
      <c r="H530" s="5">
        <v>25178.65</v>
      </c>
      <c r="I530" s="5">
        <v>-534.35</v>
      </c>
      <c r="J530" s="6">
        <v>-2.078131684361996E-2</v>
      </c>
      <c r="K530" s="91">
        <f t="array" ref="K530">MAX(IF((D530&lt;[1]Nifty_D!$B$2:$B$6600)*(E530&gt;=[1]Nifty_D!$B$2:$B$6600),[1]Nifty_D!$F$2:$F$6600,""))</f>
        <v>25496.55</v>
      </c>
      <c r="L530" s="92">
        <f t="shared" si="28"/>
        <v>-8.4179208960448726E-3</v>
      </c>
      <c r="M530" s="91">
        <f t="shared" si="29"/>
        <v>13872.65</v>
      </c>
      <c r="N530" s="93">
        <f t="array" ref="N530">INDEX([1]Nifty_D!$B$2:$B$6600,MATCH(E530,[1]Nifty_D!$B$2:$B$6600,0)-1)</f>
        <v>46079</v>
      </c>
      <c r="O530" s="89">
        <f>VLOOKUP(N530,[1]Nifty_D!$B$2:$F$6600,5,0)</f>
        <v>25496.55</v>
      </c>
      <c r="P530" s="92">
        <f t="shared" si="30"/>
        <v>-8.4179208960448726E-3</v>
      </c>
      <c r="Q530" s="7" t="s">
        <v>28</v>
      </c>
      <c r="R530" s="4">
        <v>25700</v>
      </c>
      <c r="S530" s="102"/>
      <c r="T530" s="102"/>
      <c r="U530" s="7" t="s">
        <v>90</v>
      </c>
      <c r="V530" s="4">
        <v>65</v>
      </c>
      <c r="W530" s="5">
        <v>207.5</v>
      </c>
      <c r="X530" s="5">
        <v>10.35</v>
      </c>
      <c r="Y530" s="8">
        <v>7.3700000000000002E-2</v>
      </c>
      <c r="Z530" s="8">
        <v>0.77280000000000004</v>
      </c>
      <c r="AA530" s="5">
        <v>197.15</v>
      </c>
      <c r="AB530" s="6">
        <v>7.6673278108349866E-3</v>
      </c>
      <c r="AC530" s="4">
        <v>0</v>
      </c>
      <c r="AD530" s="6">
        <v>0</v>
      </c>
      <c r="AE530" s="5">
        <v>59255.65</v>
      </c>
      <c r="AF530" s="5">
        <v>59115.6</v>
      </c>
      <c r="AG530" s="5">
        <v>-140.05000000000001</v>
      </c>
      <c r="AH530" s="5">
        <v>-0.23630000000000001</v>
      </c>
      <c r="AI530" s="4">
        <v>4</v>
      </c>
      <c r="AJ530" s="5">
        <v>-6.6667000000000004E-2</v>
      </c>
      <c r="AK530" s="5">
        <v>-179.5538</v>
      </c>
      <c r="AL530" s="5">
        <v>-0.30299999999999999</v>
      </c>
      <c r="AM530" s="8">
        <v>-1.31</v>
      </c>
      <c r="AN530" s="8">
        <v>1.0024</v>
      </c>
      <c r="AO530" s="15">
        <v>209.59620000000001</v>
      </c>
      <c r="AP530" s="15">
        <v>1.2103999999999999</v>
      </c>
      <c r="AQ530" s="5">
        <v>106.749</v>
      </c>
      <c r="AR530" s="5">
        <v>107.099</v>
      </c>
      <c r="AS530" s="5">
        <v>-0.35</v>
      </c>
      <c r="AT530" s="5">
        <v>-0.32679999999999998</v>
      </c>
      <c r="AU530" s="8">
        <v>0.99439999999999995</v>
      </c>
      <c r="AV530" s="8">
        <v>0.34639999999999999</v>
      </c>
      <c r="AW530" s="8">
        <v>0.34639999999999999</v>
      </c>
      <c r="AX530" s="5">
        <v>105.8377</v>
      </c>
      <c r="AY530" s="5">
        <v>-1.1777</v>
      </c>
      <c r="AZ530" s="7" t="s">
        <v>91</v>
      </c>
    </row>
    <row r="531" spans="1:52" ht="18" customHeight="1" x14ac:dyDescent="0.25">
      <c r="A531" s="10">
        <v>265</v>
      </c>
      <c r="B531" s="10">
        <v>2</v>
      </c>
      <c r="C531" s="10">
        <v>265</v>
      </c>
      <c r="D531" s="86">
        <v>46076</v>
      </c>
      <c r="E531" s="86">
        <v>46080</v>
      </c>
      <c r="F531" s="86">
        <v>46111</v>
      </c>
      <c r="G531" s="10">
        <v>25713</v>
      </c>
      <c r="H531" s="11">
        <v>25178.65</v>
      </c>
      <c r="I531" s="12"/>
      <c r="J531" s="12"/>
      <c r="K531" s="91">
        <f t="array" ref="K531">MAX(IF((D531&lt;[1]Nifty_D!$B$2:$B$6600)*(E531&gt;=[1]Nifty_D!$B$2:$B$6600),[1]Nifty_D!$F$2:$F$6600,""))</f>
        <v>25496.55</v>
      </c>
      <c r="L531" s="92">
        <f t="shared" si="28"/>
        <v>-8.4179208960448726E-3</v>
      </c>
      <c r="M531" s="91">
        <f t="shared" si="29"/>
        <v>13872.65</v>
      </c>
      <c r="N531" s="93">
        <f t="array" ref="N531">INDEX([1]Nifty_D!$B$2:$B$6600,MATCH(E531,[1]Nifty_D!$B$2:$B$6600,0)-1)</f>
        <v>46079</v>
      </c>
      <c r="O531" s="89">
        <f>VLOOKUP(N531,[1]Nifty_D!$B$2:$F$6600,5,0)</f>
        <v>25496.55</v>
      </c>
      <c r="P531" s="92">
        <f t="shared" si="30"/>
        <v>-8.4179208960448726E-3</v>
      </c>
      <c r="Q531" s="12" t="s">
        <v>40</v>
      </c>
      <c r="R531" s="10">
        <v>25500</v>
      </c>
      <c r="S531" s="103">
        <f>MROUND(G531,500)</f>
        <v>25500</v>
      </c>
      <c r="T531" s="103">
        <f>S531-R531</f>
        <v>0</v>
      </c>
      <c r="U531" s="12" t="s">
        <v>92</v>
      </c>
      <c r="V531" s="10">
        <v>65</v>
      </c>
      <c r="W531" s="10">
        <v>241</v>
      </c>
      <c r="X531" s="10">
        <v>433</v>
      </c>
      <c r="Y531" s="13">
        <v>-8.1699999999999995E-2</v>
      </c>
      <c r="Z531" s="13">
        <v>0.88360000000000005</v>
      </c>
      <c r="AA531" s="10">
        <v>0</v>
      </c>
      <c r="AB531" s="14">
        <v>0</v>
      </c>
      <c r="AC531" s="10">
        <v>192</v>
      </c>
      <c r="AD531" s="14">
        <v>7.4670400186675999E-3</v>
      </c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 t="s">
        <v>91</v>
      </c>
    </row>
    <row r="532" spans="1:52" ht="18" hidden="1" customHeight="1" x14ac:dyDescent="0.25">
      <c r="A532" s="4">
        <v>266</v>
      </c>
      <c r="B532" s="4">
        <v>1</v>
      </c>
      <c r="C532" s="4">
        <v>266</v>
      </c>
      <c r="D532" s="85">
        <v>46080</v>
      </c>
      <c r="E532" s="85">
        <v>46090</v>
      </c>
      <c r="F532" s="85">
        <v>46091</v>
      </c>
      <c r="G532" s="5">
        <v>25178.65</v>
      </c>
      <c r="H532" s="5">
        <v>24028.05</v>
      </c>
      <c r="I532" s="5">
        <v>-1150.5999999999999</v>
      </c>
      <c r="J532" s="6">
        <v>-4.5697446050522957E-2</v>
      </c>
      <c r="K532" s="91">
        <f t="array" ref="K532">MAX(IF((D532&lt;[1]Nifty_D!$B$2:$B$6600)*(E532&gt;=[1]Nifty_D!$B$2:$B$6600),[1]Nifty_D!$F$2:$F$6600,""))</f>
        <v>24865.7</v>
      </c>
      <c r="L532" s="92">
        <f t="shared" si="28"/>
        <v>-1.2429181072059148E-2</v>
      </c>
      <c r="M532" s="91">
        <f t="shared" si="29"/>
        <v>13241.800000000001</v>
      </c>
      <c r="N532" s="93">
        <f t="array" ref="N532">INDEX([1]Nifty_D!$B$2:$B$6600,MATCH(E532,[1]Nifty_D!$B$2:$B$6600,0)-1)</f>
        <v>46087</v>
      </c>
      <c r="O532" s="89">
        <f>VLOOKUP(N532,[1]Nifty_D!$B$2:$F$6600,5,0)</f>
        <v>24450.45</v>
      </c>
      <c r="P532" s="92">
        <f t="shared" si="30"/>
        <v>-2.892132818876314E-2</v>
      </c>
      <c r="Q532" s="7" t="s">
        <v>28</v>
      </c>
      <c r="R532" s="4">
        <v>25200</v>
      </c>
      <c r="S532" s="102"/>
      <c r="T532" s="102"/>
      <c r="U532" s="7" t="s">
        <v>90</v>
      </c>
      <c r="V532" s="4">
        <v>65</v>
      </c>
      <c r="W532" s="5">
        <v>247.65</v>
      </c>
      <c r="X532" s="5">
        <v>3.95</v>
      </c>
      <c r="Y532" s="8">
        <v>0.247</v>
      </c>
      <c r="Z532" s="8">
        <v>0.97130000000000005</v>
      </c>
      <c r="AA532" s="5">
        <v>243.7</v>
      </c>
      <c r="AB532" s="6">
        <v>9.6788350447700715E-3</v>
      </c>
      <c r="AC532" s="4">
        <v>0</v>
      </c>
      <c r="AD532" s="6">
        <v>0</v>
      </c>
      <c r="AE532" s="5">
        <v>59115.6</v>
      </c>
      <c r="AF532" s="5">
        <v>56265.5</v>
      </c>
      <c r="AG532" s="5">
        <v>-2850.1</v>
      </c>
      <c r="AH532" s="5">
        <v>-4.8212000000000002</v>
      </c>
      <c r="AI532" s="4">
        <v>10</v>
      </c>
      <c r="AJ532" s="5">
        <v>-0.16666700000000001</v>
      </c>
      <c r="AK532" s="5">
        <v>-2948.6260000000002</v>
      </c>
      <c r="AL532" s="5">
        <v>-4.9878999999999998</v>
      </c>
      <c r="AM532" s="8">
        <v>-6.5396999999999998</v>
      </c>
      <c r="AN532" s="8">
        <v>-0.55930000000000002</v>
      </c>
      <c r="AO532" s="9">
        <v>-1729.376</v>
      </c>
      <c r="AP532" s="9">
        <v>-0.14549999999999999</v>
      </c>
      <c r="AQ532" s="5">
        <v>106.5937</v>
      </c>
      <c r="AR532" s="5">
        <v>107.099</v>
      </c>
      <c r="AS532" s="5">
        <v>-0.50529999999999997</v>
      </c>
      <c r="AT532" s="5">
        <v>-0.4718</v>
      </c>
      <c r="AU532" s="8">
        <v>0.19389999999999999</v>
      </c>
      <c r="AV532" s="8">
        <v>-0.36799999999999999</v>
      </c>
      <c r="AW532" s="8">
        <v>-0.36799999999999999</v>
      </c>
      <c r="AX532" s="5">
        <v>106.3561</v>
      </c>
      <c r="AY532" s="5">
        <v>-0.69359999999999999</v>
      </c>
      <c r="AZ532" s="7" t="s">
        <v>91</v>
      </c>
    </row>
    <row r="533" spans="1:52" ht="18" customHeight="1" x14ac:dyDescent="0.25">
      <c r="A533" s="10">
        <v>266</v>
      </c>
      <c r="B533" s="10">
        <v>2</v>
      </c>
      <c r="C533" s="10">
        <v>266</v>
      </c>
      <c r="D533" s="86">
        <v>46080</v>
      </c>
      <c r="E533" s="86">
        <v>46090</v>
      </c>
      <c r="F533" s="86">
        <v>46111</v>
      </c>
      <c r="G533" s="11">
        <v>25178.65</v>
      </c>
      <c r="H533" s="11">
        <v>24028.05</v>
      </c>
      <c r="I533" s="12"/>
      <c r="J533" s="12"/>
      <c r="K533" s="91">
        <f t="array" ref="K533">MAX(IF((D533&lt;[1]Nifty_D!$B$2:$B$6600)*(E533&gt;=[1]Nifty_D!$B$2:$B$6600),[1]Nifty_D!$F$2:$F$6600,""))</f>
        <v>24865.7</v>
      </c>
      <c r="L533" s="92">
        <f t="shared" si="28"/>
        <v>-1.2429181072059148E-2</v>
      </c>
      <c r="M533" s="91">
        <f t="shared" si="29"/>
        <v>13241.800000000001</v>
      </c>
      <c r="N533" s="93">
        <f t="array" ref="N533">INDEX([1]Nifty_D!$B$2:$B$6600,MATCH(E533,[1]Nifty_D!$B$2:$B$6600,0)-1)</f>
        <v>46087</v>
      </c>
      <c r="O533" s="89">
        <f>VLOOKUP(N533,[1]Nifty_D!$B$2:$F$6600,5,0)</f>
        <v>24450.45</v>
      </c>
      <c r="P533" s="92">
        <f t="shared" si="30"/>
        <v>-2.892132818876314E-2</v>
      </c>
      <c r="Q533" s="12" t="s">
        <v>40</v>
      </c>
      <c r="R533" s="10">
        <v>25500</v>
      </c>
      <c r="S533" s="103">
        <f>MROUND(G533,500)</f>
        <v>25000</v>
      </c>
      <c r="T533" s="103">
        <f>S533-R533</f>
        <v>-500</v>
      </c>
      <c r="U533" s="12" t="s">
        <v>92</v>
      </c>
      <c r="V533" s="10">
        <v>65</v>
      </c>
      <c r="W533" s="10">
        <v>433</v>
      </c>
      <c r="X533" s="11">
        <v>1408.55</v>
      </c>
      <c r="Y533" s="13">
        <v>0.50619999999999998</v>
      </c>
      <c r="Z533" s="13">
        <v>5.2004000000000001</v>
      </c>
      <c r="AA533" s="10">
        <v>0</v>
      </c>
      <c r="AB533" s="14">
        <v>0</v>
      </c>
      <c r="AC533" s="11">
        <v>975.55</v>
      </c>
      <c r="AD533" s="14">
        <v>3.8745127320170061E-2</v>
      </c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 t="s">
        <v>91</v>
      </c>
    </row>
    <row r="534" spans="1:52" ht="18" hidden="1" customHeight="1" x14ac:dyDescent="0.25">
      <c r="A534" s="4">
        <v>267</v>
      </c>
      <c r="B534" s="4">
        <v>1</v>
      </c>
      <c r="C534" s="4">
        <v>267</v>
      </c>
      <c r="D534" s="85">
        <v>46090</v>
      </c>
      <c r="E534" s="85">
        <v>46097</v>
      </c>
      <c r="F534" s="85">
        <v>46098</v>
      </c>
      <c r="G534" s="5">
        <v>24028.05</v>
      </c>
      <c r="H534" s="5">
        <v>23408.799999999999</v>
      </c>
      <c r="I534" s="5">
        <v>-619.25</v>
      </c>
      <c r="J534" s="6">
        <v>-2.5771962352334039E-2</v>
      </c>
      <c r="K534" s="91">
        <f t="array" ref="K534">MAX(IF((D534&lt;[1]Nifty_D!$B$2:$B$6600)*(E534&gt;=[1]Nifty_D!$B$2:$B$6600),[1]Nifty_D!$F$2:$F$6600,""))</f>
        <v>24261.599999999999</v>
      </c>
      <c r="L534" s="92">
        <f t="shared" si="28"/>
        <v>9.7198898787043131E-3</v>
      </c>
      <c r="M534" s="91">
        <f t="shared" si="29"/>
        <v>12637.699999999999</v>
      </c>
      <c r="N534" s="93">
        <f t="array" ref="N534">INDEX([1]Nifty_D!$B$2:$B$6600,MATCH(E534,[1]Nifty_D!$B$2:$B$6600,0)-1)</f>
        <v>46094</v>
      </c>
      <c r="O534" s="89">
        <f>VLOOKUP(N534,[1]Nifty_D!$B$2:$F$6600,5,0)</f>
        <v>23151.1</v>
      </c>
      <c r="P534" s="92">
        <f t="shared" si="30"/>
        <v>-3.649692754926015E-2</v>
      </c>
      <c r="Q534" s="7" t="s">
        <v>28</v>
      </c>
      <c r="R534" s="4">
        <v>24000</v>
      </c>
      <c r="S534" s="102"/>
      <c r="T534" s="102"/>
      <c r="U534" s="7" t="s">
        <v>90</v>
      </c>
      <c r="V534" s="4">
        <v>65</v>
      </c>
      <c r="W534" s="5">
        <v>458.2</v>
      </c>
      <c r="X534" s="5">
        <v>11.45</v>
      </c>
      <c r="Y534" s="8">
        <v>-0.4274</v>
      </c>
      <c r="Z534" s="8">
        <v>1.8813</v>
      </c>
      <c r="AA534" s="5">
        <v>446.75</v>
      </c>
      <c r="AB534" s="6">
        <v>1.859285293646384E-2</v>
      </c>
      <c r="AC534" s="4">
        <v>0</v>
      </c>
      <c r="AD534" s="6">
        <v>0</v>
      </c>
      <c r="AE534" s="5">
        <v>56265.5</v>
      </c>
      <c r="AF534" s="5">
        <v>54614.95</v>
      </c>
      <c r="AG534" s="5">
        <v>-1650.55</v>
      </c>
      <c r="AH534" s="5">
        <v>-2.9335</v>
      </c>
      <c r="AI534" s="4">
        <v>7</v>
      </c>
      <c r="AJ534" s="5">
        <v>-0.11666700000000001</v>
      </c>
      <c r="AK534" s="5">
        <v>-1716.1931</v>
      </c>
      <c r="AL534" s="5">
        <v>-3.0501999999999998</v>
      </c>
      <c r="AM534" s="8">
        <v>-4.6486000000000001</v>
      </c>
      <c r="AN534" s="8">
        <v>2.4388000000000001</v>
      </c>
      <c r="AO534" s="9">
        <v>-606.24310000000003</v>
      </c>
      <c r="AP534" s="9">
        <v>1.5691999999999999</v>
      </c>
      <c r="AQ534" s="5">
        <v>108.2663</v>
      </c>
      <c r="AR534" s="5">
        <v>108.2663</v>
      </c>
      <c r="AS534" s="4">
        <v>0</v>
      </c>
      <c r="AT534" s="4">
        <v>0</v>
      </c>
      <c r="AU534" s="8">
        <v>0.77470000000000006</v>
      </c>
      <c r="AV534" s="8">
        <v>1.6527000000000001</v>
      </c>
      <c r="AW534" s="8">
        <v>0.77470000000000006</v>
      </c>
      <c r="AX534" s="5">
        <v>107.4194</v>
      </c>
      <c r="AY534" s="5">
        <v>0.29920000000000002</v>
      </c>
      <c r="AZ534" s="7" t="s">
        <v>91</v>
      </c>
    </row>
    <row r="535" spans="1:52" ht="18" customHeight="1" x14ac:dyDescent="0.25">
      <c r="A535" s="10">
        <v>267</v>
      </c>
      <c r="B535" s="10">
        <v>2</v>
      </c>
      <c r="C535" s="10">
        <v>267</v>
      </c>
      <c r="D535" s="86">
        <v>46090</v>
      </c>
      <c r="E535" s="86">
        <v>46097</v>
      </c>
      <c r="F535" s="86">
        <v>46111</v>
      </c>
      <c r="G535" s="11">
        <v>24028.05</v>
      </c>
      <c r="H535" s="11">
        <v>23408.799999999999</v>
      </c>
      <c r="I535" s="12"/>
      <c r="J535" s="12"/>
      <c r="K535" s="91">
        <f t="array" ref="K535">MAX(IF((D535&lt;[1]Nifty_D!$B$2:$B$6600)*(E535&gt;=[1]Nifty_D!$B$2:$B$6600),[1]Nifty_D!$F$2:$F$6600,""))</f>
        <v>24261.599999999999</v>
      </c>
      <c r="L535" s="92">
        <f t="shared" si="28"/>
        <v>9.7198898787043131E-3</v>
      </c>
      <c r="M535" s="91">
        <f t="shared" si="29"/>
        <v>12637.699999999999</v>
      </c>
      <c r="N535" s="93">
        <f t="array" ref="N535">INDEX([1]Nifty_D!$B$2:$B$6600,MATCH(E535,[1]Nifty_D!$B$2:$B$6600,0)-1)</f>
        <v>46094</v>
      </c>
      <c r="O535" s="89">
        <f>VLOOKUP(N535,[1]Nifty_D!$B$2:$F$6600,5,0)</f>
        <v>23151.1</v>
      </c>
      <c r="P535" s="92">
        <f t="shared" si="30"/>
        <v>-3.649692754926015E-2</v>
      </c>
      <c r="Q535" s="12" t="s">
        <v>40</v>
      </c>
      <c r="R535" s="10">
        <v>25500</v>
      </c>
      <c r="S535" s="103">
        <f>MROUND(G535,500)</f>
        <v>24000</v>
      </c>
      <c r="T535" s="103">
        <f>S535-R535</f>
        <v>-1500</v>
      </c>
      <c r="U535" s="12" t="s">
        <v>92</v>
      </c>
      <c r="V535" s="10">
        <v>65</v>
      </c>
      <c r="W535" s="11">
        <v>1408.55</v>
      </c>
      <c r="X535" s="11">
        <v>2071.75</v>
      </c>
      <c r="Y535" s="13">
        <v>-1.2366999999999999</v>
      </c>
      <c r="Z535" s="13">
        <v>4.42</v>
      </c>
      <c r="AA535" s="10">
        <v>0</v>
      </c>
      <c r="AB535" s="14">
        <v>0</v>
      </c>
      <c r="AC535" s="11">
        <v>663.2</v>
      </c>
      <c r="AD535" s="14">
        <v>2.7601074577420979E-2</v>
      </c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 t="s">
        <v>91</v>
      </c>
    </row>
    <row r="536" spans="1:52" ht="18" hidden="1" customHeight="1" x14ac:dyDescent="0.25">
      <c r="A536" s="4">
        <v>268</v>
      </c>
      <c r="B536" s="4">
        <v>1</v>
      </c>
      <c r="C536" s="4">
        <v>268</v>
      </c>
      <c r="D536" s="85">
        <v>46097</v>
      </c>
      <c r="E536" s="85">
        <v>46099</v>
      </c>
      <c r="F536" s="85">
        <v>46105</v>
      </c>
      <c r="G536" s="5">
        <v>23408.799999999999</v>
      </c>
      <c r="H536" s="5">
        <v>23777.8</v>
      </c>
      <c r="I536" s="4">
        <v>369</v>
      </c>
      <c r="J536" s="6">
        <v>1.5763302689586822E-2</v>
      </c>
      <c r="K536" s="91">
        <f t="array" ref="K536">MAX(IF((D536&lt;[1]Nifty_D!$B$2:$B$6600)*(E536&gt;=[1]Nifty_D!$B$2:$B$6600),[1]Nifty_D!$F$2:$F$6600,""))</f>
        <v>23777.8</v>
      </c>
      <c r="L536" s="92">
        <f t="shared" si="28"/>
        <v>1.5763302689586922E-2</v>
      </c>
      <c r="M536" s="91">
        <f t="shared" si="29"/>
        <v>12153.9</v>
      </c>
      <c r="N536" s="93">
        <f t="array" ref="N536">INDEX([1]Nifty_D!$B$2:$B$6600,MATCH(E536,[1]Nifty_D!$B$2:$B$6600,0)-1)</f>
        <v>46098</v>
      </c>
      <c r="O536" s="89">
        <f>VLOOKUP(N536,[1]Nifty_D!$B$2:$F$6600,5,0)</f>
        <v>23581.15</v>
      </c>
      <c r="P536" s="92">
        <f t="shared" si="30"/>
        <v>7.3626157684290039E-3</v>
      </c>
      <c r="Q536" s="7" t="s">
        <v>28</v>
      </c>
      <c r="R536" s="4">
        <v>23400</v>
      </c>
      <c r="S536" s="102"/>
      <c r="T536" s="102"/>
      <c r="U536" s="7" t="s">
        <v>90</v>
      </c>
      <c r="V536" s="4">
        <v>65</v>
      </c>
      <c r="W536" s="5">
        <v>342.05</v>
      </c>
      <c r="X536" s="5">
        <v>463.9</v>
      </c>
      <c r="Y536" s="8">
        <v>-0.86250000000000004</v>
      </c>
      <c r="Z536" s="8">
        <v>0.32790000000000002</v>
      </c>
      <c r="AA536" s="5">
        <v>-121.85</v>
      </c>
      <c r="AB536" s="6">
        <v>-5.2053074057619346E-3</v>
      </c>
      <c r="AC536" s="4">
        <v>0</v>
      </c>
      <c r="AD536" s="6">
        <v>0</v>
      </c>
      <c r="AE536" s="5">
        <v>54614.95</v>
      </c>
      <c r="AF536" s="5">
        <v>56289.85</v>
      </c>
      <c r="AG536" s="5">
        <v>1674.9</v>
      </c>
      <c r="AH536" s="5">
        <v>3.0667</v>
      </c>
      <c r="AI536" s="4">
        <v>2</v>
      </c>
      <c r="AJ536" s="5">
        <v>-3.3333000000000002E-2</v>
      </c>
      <c r="AK536" s="5">
        <v>1656.6949999999999</v>
      </c>
      <c r="AL536" s="5">
        <v>3.0333999999999999</v>
      </c>
      <c r="AM536" s="8">
        <v>-0.32590000000000002</v>
      </c>
      <c r="AN536" s="8">
        <v>3.4129999999999998</v>
      </c>
      <c r="AO536" s="15">
        <v>1176.4949999999999</v>
      </c>
      <c r="AP536" s="15">
        <v>0.98199999999999998</v>
      </c>
      <c r="AQ536" s="5">
        <v>109.3295</v>
      </c>
      <c r="AR536" s="5">
        <v>109.3295</v>
      </c>
      <c r="AS536" s="4">
        <v>0</v>
      </c>
      <c r="AT536" s="4">
        <v>0</v>
      </c>
      <c r="AU536" s="8">
        <v>0.66339999999999999</v>
      </c>
      <c r="AV536" s="8">
        <v>0.22670000000000001</v>
      </c>
      <c r="AW536" s="8">
        <v>0.22670000000000001</v>
      </c>
      <c r="AX536" s="5">
        <v>108.51179999999999</v>
      </c>
      <c r="AY536" s="5">
        <v>0.22670000000000001</v>
      </c>
      <c r="AZ536" s="7" t="s">
        <v>95</v>
      </c>
    </row>
    <row r="537" spans="1:52" ht="18" customHeight="1" x14ac:dyDescent="0.25">
      <c r="A537" s="10">
        <v>268</v>
      </c>
      <c r="B537" s="10">
        <v>2</v>
      </c>
      <c r="C537" s="10">
        <v>268</v>
      </c>
      <c r="D537" s="86">
        <v>46097</v>
      </c>
      <c r="E537" s="86">
        <v>46099</v>
      </c>
      <c r="F537" s="86">
        <v>46111</v>
      </c>
      <c r="G537" s="11">
        <v>23408.799999999999</v>
      </c>
      <c r="H537" s="11">
        <v>23777.8</v>
      </c>
      <c r="I537" s="12"/>
      <c r="J537" s="12"/>
      <c r="K537" s="91">
        <f t="array" ref="K537">MAX(IF((D537&lt;[1]Nifty_D!$B$2:$B$6600)*(E537&gt;=[1]Nifty_D!$B$2:$B$6600),[1]Nifty_D!$F$2:$F$6600,""))</f>
        <v>23777.8</v>
      </c>
      <c r="L537" s="92">
        <f t="shared" si="28"/>
        <v>1.5763302689586922E-2</v>
      </c>
      <c r="M537" s="91">
        <f t="shared" si="29"/>
        <v>12153.9</v>
      </c>
      <c r="N537" s="93">
        <f t="array" ref="N537">INDEX([1]Nifty_D!$B$2:$B$6600,MATCH(E537,[1]Nifty_D!$B$2:$B$6600,0)-1)</f>
        <v>46098</v>
      </c>
      <c r="O537" s="89">
        <f>VLOOKUP(N537,[1]Nifty_D!$B$2:$F$6600,5,0)</f>
        <v>23581.15</v>
      </c>
      <c r="P537" s="92">
        <f t="shared" si="30"/>
        <v>7.3626157684290039E-3</v>
      </c>
      <c r="Q537" s="12" t="s">
        <v>40</v>
      </c>
      <c r="R537" s="10">
        <v>25500</v>
      </c>
      <c r="S537" s="103">
        <f>MROUND(G537,500)</f>
        <v>23500</v>
      </c>
      <c r="T537" s="103">
        <f>S537-R537</f>
        <v>-2000</v>
      </c>
      <c r="U537" s="12" t="s">
        <v>92</v>
      </c>
      <c r="V537" s="10">
        <v>65</v>
      </c>
      <c r="W537" s="11">
        <v>2071.75</v>
      </c>
      <c r="X537" s="11">
        <v>1713.4</v>
      </c>
      <c r="Y537" s="13">
        <v>-1.8871</v>
      </c>
      <c r="Z537" s="13">
        <v>0.22470000000000001</v>
      </c>
      <c r="AA537" s="10">
        <v>0</v>
      </c>
      <c r="AB537" s="14">
        <v>0</v>
      </c>
      <c r="AC537" s="11">
        <v>-358.35</v>
      </c>
      <c r="AD537" s="14">
        <v>-1.530834557944021E-2</v>
      </c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 t="s">
        <v>95</v>
      </c>
    </row>
    <row r="538" spans="1:52" ht="18" hidden="1" customHeight="1" x14ac:dyDescent="0.25">
      <c r="A538" s="4">
        <v>269</v>
      </c>
      <c r="B538" s="4">
        <v>1</v>
      </c>
      <c r="C538" s="4">
        <v>269</v>
      </c>
      <c r="D538" s="85">
        <v>46099</v>
      </c>
      <c r="E538" s="85">
        <v>46101</v>
      </c>
      <c r="F538" s="85">
        <v>46105</v>
      </c>
      <c r="G538" s="5">
        <v>23777.8</v>
      </c>
      <c r="H538" s="5">
        <v>23114.5</v>
      </c>
      <c r="I538" s="5">
        <v>-663.3</v>
      </c>
      <c r="J538" s="6">
        <v>-2.7895768321711849E-2</v>
      </c>
      <c r="K538" s="91">
        <f t="array" ref="K538">MAX(IF((D538&lt;[1]Nifty_D!$B$2:$B$6600)*(E538&gt;=[1]Nifty_D!$B$2:$B$6600),[1]Nifty_D!$F$2:$F$6600,""))</f>
        <v>23114.5</v>
      </c>
      <c r="L538" s="92">
        <f t="shared" si="28"/>
        <v>-2.7895768321711811E-2</v>
      </c>
      <c r="M538" s="91">
        <f t="shared" si="29"/>
        <v>11490.6</v>
      </c>
      <c r="N538" s="93">
        <f t="array" ref="N538">INDEX([1]Nifty_D!$B$2:$B$6600,MATCH(E538,[1]Nifty_D!$B$2:$B$6600,0)-1)</f>
        <v>46100</v>
      </c>
      <c r="O538" s="89">
        <f>VLOOKUP(N538,[1]Nifty_D!$B$2:$F$6600,5,0)</f>
        <v>23002.15</v>
      </c>
      <c r="P538" s="92">
        <f t="shared" si="30"/>
        <v>-3.2620763905828021E-2</v>
      </c>
      <c r="Q538" s="7" t="s">
        <v>28</v>
      </c>
      <c r="R538" s="4">
        <v>23800</v>
      </c>
      <c r="S538" s="102"/>
      <c r="T538" s="102"/>
      <c r="U538" s="7" t="s">
        <v>90</v>
      </c>
      <c r="V538" s="4">
        <v>65</v>
      </c>
      <c r="W538" s="5">
        <v>198.8</v>
      </c>
      <c r="X538" s="5">
        <v>36.65</v>
      </c>
      <c r="Y538" s="8">
        <v>0.5423</v>
      </c>
      <c r="Z538" s="8">
        <v>0.72709999999999997</v>
      </c>
      <c r="AA538" s="5">
        <v>162.15</v>
      </c>
      <c r="AB538" s="6">
        <v>6.8193861501064023E-3</v>
      </c>
      <c r="AC538" s="4">
        <v>0</v>
      </c>
      <c r="AD538" s="6">
        <v>0</v>
      </c>
      <c r="AE538" s="5">
        <v>56289.85</v>
      </c>
      <c r="AF538" s="5">
        <v>54855.5</v>
      </c>
      <c r="AG538" s="5">
        <v>-1434.35</v>
      </c>
      <c r="AH538" s="5">
        <v>-2.5482</v>
      </c>
      <c r="AI538" s="4">
        <v>2</v>
      </c>
      <c r="AJ538" s="5">
        <v>-3.3333000000000002E-2</v>
      </c>
      <c r="AK538" s="5">
        <v>-1453.1133</v>
      </c>
      <c r="AL538" s="5">
        <v>-2.5815000000000001</v>
      </c>
      <c r="AM538" s="8">
        <v>-3.6333000000000002</v>
      </c>
      <c r="AN538" s="8">
        <v>-1.3289</v>
      </c>
      <c r="AO538" s="9">
        <v>-651.36329999999998</v>
      </c>
      <c r="AP538" s="9">
        <v>0.7903</v>
      </c>
      <c r="AQ538" s="5">
        <v>110.1935</v>
      </c>
      <c r="AR538" s="5">
        <v>110.1935</v>
      </c>
      <c r="AS538" s="4">
        <v>0</v>
      </c>
      <c r="AT538" s="4">
        <v>0</v>
      </c>
      <c r="AU538" s="8">
        <v>0.9234</v>
      </c>
      <c r="AV538" s="8">
        <v>0.62670000000000003</v>
      </c>
      <c r="AW538" s="8">
        <v>0.62670000000000003</v>
      </c>
      <c r="AX538" s="5">
        <v>110.0147</v>
      </c>
      <c r="AY538" s="5">
        <v>0.62670000000000003</v>
      </c>
      <c r="AZ538" s="7" t="s">
        <v>94</v>
      </c>
    </row>
    <row r="539" spans="1:52" ht="18" customHeight="1" x14ac:dyDescent="0.25">
      <c r="A539" s="10">
        <v>269</v>
      </c>
      <c r="B539" s="10">
        <v>2</v>
      </c>
      <c r="C539" s="10">
        <v>269</v>
      </c>
      <c r="D539" s="86">
        <v>46099</v>
      </c>
      <c r="E539" s="86">
        <v>46101</v>
      </c>
      <c r="F539" s="86">
        <v>46111</v>
      </c>
      <c r="G539" s="11">
        <v>23777.8</v>
      </c>
      <c r="H539" s="11">
        <v>23114.5</v>
      </c>
      <c r="I539" s="12"/>
      <c r="J539" s="12"/>
      <c r="K539" s="91">
        <f t="array" ref="K539">MAX(IF((D539&lt;[1]Nifty_D!$B$2:$B$6600)*(E539&gt;=[1]Nifty_D!$B$2:$B$6600),[1]Nifty_D!$F$2:$F$6600,""))</f>
        <v>23114.5</v>
      </c>
      <c r="L539" s="92">
        <f t="shared" si="28"/>
        <v>-2.7895768321711811E-2</v>
      </c>
      <c r="M539" s="91">
        <f t="shared" si="29"/>
        <v>11490.6</v>
      </c>
      <c r="N539" s="93">
        <f t="array" ref="N539">INDEX([1]Nifty_D!$B$2:$B$6600,MATCH(E539,[1]Nifty_D!$B$2:$B$6600,0)-1)</f>
        <v>46100</v>
      </c>
      <c r="O539" s="89">
        <f>VLOOKUP(N539,[1]Nifty_D!$B$2:$F$6600,5,0)</f>
        <v>23002.15</v>
      </c>
      <c r="P539" s="92">
        <f t="shared" si="30"/>
        <v>-3.2620763905828021E-2</v>
      </c>
      <c r="Q539" s="12" t="s">
        <v>40</v>
      </c>
      <c r="R539" s="10">
        <v>25500</v>
      </c>
      <c r="S539" s="103">
        <f>MROUND(G539,500)</f>
        <v>24000</v>
      </c>
      <c r="T539" s="103">
        <f>S539-R539</f>
        <v>-1500</v>
      </c>
      <c r="U539" s="12" t="s">
        <v>92</v>
      </c>
      <c r="V539" s="10">
        <v>65</v>
      </c>
      <c r="W539" s="11">
        <v>1713.4</v>
      </c>
      <c r="X539" s="10">
        <v>2353</v>
      </c>
      <c r="Y539" s="13">
        <v>1.71</v>
      </c>
      <c r="Z539" s="13">
        <v>3.5329000000000002</v>
      </c>
      <c r="AA539" s="10">
        <v>0</v>
      </c>
      <c r="AB539" s="14">
        <v>0</v>
      </c>
      <c r="AC539" s="11">
        <v>639.6</v>
      </c>
      <c r="AD539" s="14">
        <v>2.689904028127077E-2</v>
      </c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 t="s">
        <v>94</v>
      </c>
    </row>
    <row r="540" spans="1:52" ht="18" hidden="1" customHeight="1" x14ac:dyDescent="0.25">
      <c r="A540" s="4">
        <v>270</v>
      </c>
      <c r="B540" s="4">
        <v>1</v>
      </c>
      <c r="C540" s="4">
        <v>270</v>
      </c>
      <c r="D540" s="85">
        <v>46142</v>
      </c>
      <c r="E540" s="85">
        <v>46146</v>
      </c>
      <c r="F540" s="85">
        <v>46147</v>
      </c>
      <c r="G540" s="5">
        <v>23997.55</v>
      </c>
      <c r="H540" s="5">
        <v>24119.3</v>
      </c>
      <c r="I540" s="5">
        <v>121.75</v>
      </c>
      <c r="J540" s="6">
        <v>5.0734345797800191E-3</v>
      </c>
      <c r="K540" s="91">
        <f t="array" ref="K540">MAX(IF((D540&lt;[1]Nifty_D!$B$2:$B$6600)*(E540&gt;=[1]Nifty_D!$B$2:$B$6600),[1]Nifty_D!$F$2:$F$6600,""))</f>
        <v>24119.3</v>
      </c>
      <c r="L540" s="92">
        <f t="shared" si="28"/>
        <v>5.0734345797800451E-3</v>
      </c>
      <c r="M540" s="91">
        <f t="shared" si="29"/>
        <v>12495.4</v>
      </c>
      <c r="N540" s="93">
        <f t="array" ref="N540">INDEX([1]Nifty_D!$B$2:$B$6600,MATCH(E540,[1]Nifty_D!$B$2:$B$6600,0)-1)</f>
        <v>46142</v>
      </c>
      <c r="O540" s="89">
        <f>VLOOKUP(N540,[1]Nifty_D!$B$2:$F$6600,5,0)</f>
        <v>23997.55</v>
      </c>
      <c r="P540" s="92">
        <f t="shared" si="30"/>
        <v>0</v>
      </c>
      <c r="Q540" s="7" t="s">
        <v>28</v>
      </c>
      <c r="R540" s="4">
        <v>24000</v>
      </c>
      <c r="S540" s="102"/>
      <c r="T540" s="102"/>
      <c r="U540" s="7" t="s">
        <v>90</v>
      </c>
      <c r="V540" s="4">
        <v>65</v>
      </c>
      <c r="W540" s="5">
        <v>206.6</v>
      </c>
      <c r="X540" s="5">
        <v>204.6</v>
      </c>
      <c r="Y540" s="8">
        <v>-0.60589999999999999</v>
      </c>
      <c r="Z540" s="8">
        <v>0.30840000000000001</v>
      </c>
      <c r="AA540" s="4">
        <v>2</v>
      </c>
      <c r="AB540" s="6">
        <v>8.3341841146283689E-5</v>
      </c>
      <c r="AC540" s="4">
        <v>0</v>
      </c>
      <c r="AD540" s="6">
        <v>0</v>
      </c>
      <c r="AE540" s="5">
        <v>59784.85</v>
      </c>
      <c r="AF540" s="5">
        <v>60159.75</v>
      </c>
      <c r="AG540" s="5">
        <v>374.9</v>
      </c>
      <c r="AH540" s="5">
        <v>0.62709999999999999</v>
      </c>
      <c r="AI540" s="4">
        <v>4</v>
      </c>
      <c r="AJ540" s="5">
        <v>-6.6667000000000004E-2</v>
      </c>
      <c r="AK540" s="5">
        <v>335.04340000000002</v>
      </c>
      <c r="AL540" s="5">
        <v>0.56040000000000001</v>
      </c>
      <c r="AM540" s="8">
        <v>-6.2E-2</v>
      </c>
      <c r="AN540" s="8">
        <v>1.2357</v>
      </c>
      <c r="AO540" s="15">
        <v>265.99340000000001</v>
      </c>
      <c r="AP540" s="15">
        <v>0.2727</v>
      </c>
      <c r="AQ540" s="5">
        <v>100.2727</v>
      </c>
      <c r="AR540" s="5">
        <v>100.2727</v>
      </c>
      <c r="AS540" s="4">
        <v>0</v>
      </c>
      <c r="AT540" s="4">
        <v>0</v>
      </c>
      <c r="AU540" s="8">
        <v>4.1599999999999998E-2</v>
      </c>
      <c r="AV540" s="8">
        <v>0.2341</v>
      </c>
      <c r="AW540" s="8">
        <v>4.1599999999999998E-2</v>
      </c>
      <c r="AX540" s="5">
        <v>100.0416</v>
      </c>
      <c r="AY540" s="5">
        <v>4.1599999999999998E-2</v>
      </c>
      <c r="AZ540" s="7" t="s">
        <v>91</v>
      </c>
    </row>
    <row r="541" spans="1:52" ht="18" customHeight="1" x14ac:dyDescent="0.25">
      <c r="A541" s="10">
        <v>270</v>
      </c>
      <c r="B541" s="10">
        <v>2</v>
      </c>
      <c r="C541" s="10">
        <v>270</v>
      </c>
      <c r="D541" s="86">
        <v>46142</v>
      </c>
      <c r="E541" s="86">
        <v>46146</v>
      </c>
      <c r="F541" s="86">
        <v>46168</v>
      </c>
      <c r="G541" s="11">
        <v>23997.55</v>
      </c>
      <c r="H541" s="11">
        <v>24119.3</v>
      </c>
      <c r="I541" s="12"/>
      <c r="J541" s="12"/>
      <c r="K541" s="91">
        <f t="array" ref="K541">MAX(IF((D541&lt;[1]Nifty_D!$B$2:$B$6600)*(E541&gt;=[1]Nifty_D!$B$2:$B$6600),[1]Nifty_D!$F$2:$F$6600,""))</f>
        <v>24119.3</v>
      </c>
      <c r="L541" s="92">
        <f t="shared" si="28"/>
        <v>5.0734345797800451E-3</v>
      </c>
      <c r="M541" s="91">
        <f t="shared" si="29"/>
        <v>12495.4</v>
      </c>
      <c r="N541" s="93">
        <f t="array" ref="N541">INDEX([1]Nifty_D!$B$2:$B$6600,MATCH(E541,[1]Nifty_D!$B$2:$B$6600,0)-1)</f>
        <v>46142</v>
      </c>
      <c r="O541" s="89">
        <f>VLOOKUP(N541,[1]Nifty_D!$B$2:$F$6600,5,0)</f>
        <v>23997.55</v>
      </c>
      <c r="P541" s="92">
        <f t="shared" si="30"/>
        <v>0</v>
      </c>
      <c r="Q541" s="12" t="s">
        <v>40</v>
      </c>
      <c r="R541" s="10">
        <v>24000</v>
      </c>
      <c r="S541" s="103">
        <f>MROUND(G541,500)</f>
        <v>24000</v>
      </c>
      <c r="T541" s="103">
        <f>S541-R541</f>
        <v>0</v>
      </c>
      <c r="U541" s="12" t="s">
        <v>92</v>
      </c>
      <c r="V541" s="10">
        <v>65</v>
      </c>
      <c r="W541" s="11">
        <v>396.2</v>
      </c>
      <c r="X541" s="11">
        <v>325.14999999999998</v>
      </c>
      <c r="Y541" s="13">
        <v>-0.58819999999999995</v>
      </c>
      <c r="Z541" s="13">
        <v>-1.23E-2</v>
      </c>
      <c r="AA541" s="10">
        <v>0</v>
      </c>
      <c r="AB541" s="14">
        <v>0</v>
      </c>
      <c r="AC541" s="11">
        <v>-71.05</v>
      </c>
      <c r="AD541" s="14">
        <v>-2.9607189067217279E-3</v>
      </c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 t="s">
        <v>91</v>
      </c>
    </row>
    <row r="542" spans="1:52" ht="18" hidden="1" customHeight="1" x14ac:dyDescent="0.25">
      <c r="A542" s="4">
        <v>271</v>
      </c>
      <c r="B542" s="4">
        <v>1</v>
      </c>
      <c r="C542" s="4">
        <v>271</v>
      </c>
      <c r="D542" s="85">
        <v>46146</v>
      </c>
      <c r="E542" s="85">
        <v>46148</v>
      </c>
      <c r="F542" s="85">
        <v>46154</v>
      </c>
      <c r="G542" s="5">
        <v>24119.3</v>
      </c>
      <c r="H542" s="5">
        <v>24330.95</v>
      </c>
      <c r="I542" s="5">
        <v>211.65</v>
      </c>
      <c r="J542" s="6">
        <v>8.7751302898508663E-3</v>
      </c>
      <c r="K542" s="91">
        <f t="array" ref="K542">MAX(IF((D542&lt;[1]Nifty_D!$B$2:$B$6600)*(E542&gt;=[1]Nifty_D!$B$2:$B$6600),[1]Nifty_D!$F$2:$F$6600,""))</f>
        <v>24330.95</v>
      </c>
      <c r="L542" s="92">
        <f t="shared" si="28"/>
        <v>8.7751302898508854E-3</v>
      </c>
      <c r="M542" s="91">
        <f t="shared" si="29"/>
        <v>12707.050000000001</v>
      </c>
      <c r="N542" s="93">
        <f t="array" ref="N542">INDEX([1]Nifty_D!$B$2:$B$6600,MATCH(E542,[1]Nifty_D!$B$2:$B$6600,0)-1)</f>
        <v>46147</v>
      </c>
      <c r="O542" s="89">
        <f>VLOOKUP(N542,[1]Nifty_D!$B$2:$F$6600,5,0)</f>
        <v>24032.799999999999</v>
      </c>
      <c r="P542" s="92">
        <f t="shared" si="30"/>
        <v>-3.5863395703855661E-3</v>
      </c>
      <c r="Q542" s="7" t="s">
        <v>28</v>
      </c>
      <c r="R542" s="4">
        <v>24100</v>
      </c>
      <c r="S542" s="102"/>
      <c r="T542" s="102"/>
      <c r="U542" s="7" t="s">
        <v>90</v>
      </c>
      <c r="V542" s="4">
        <v>65</v>
      </c>
      <c r="W542" s="5">
        <v>297.60000000000002</v>
      </c>
      <c r="X542" s="5">
        <v>397.35</v>
      </c>
      <c r="Y542" s="8">
        <v>-0.51949999999999996</v>
      </c>
      <c r="Z542" s="8">
        <v>0.64019999999999999</v>
      </c>
      <c r="AA542" s="5">
        <v>-99.75</v>
      </c>
      <c r="AB542" s="6">
        <v>-4.1356921635370848E-3</v>
      </c>
      <c r="AC542" s="4">
        <v>0</v>
      </c>
      <c r="AD542" s="6">
        <v>0</v>
      </c>
      <c r="AE542" s="5">
        <v>60159.75</v>
      </c>
      <c r="AF542" s="5">
        <v>61326.7</v>
      </c>
      <c r="AG542" s="5">
        <v>1166.95</v>
      </c>
      <c r="AH542" s="5">
        <v>1.9398</v>
      </c>
      <c r="AI542" s="4">
        <v>2</v>
      </c>
      <c r="AJ542" s="5">
        <v>-3.3333000000000002E-2</v>
      </c>
      <c r="AK542" s="5">
        <v>1146.8967</v>
      </c>
      <c r="AL542" s="5">
        <v>1.9064000000000001</v>
      </c>
      <c r="AM542" s="8">
        <v>-0.48430000000000001</v>
      </c>
      <c r="AN542" s="8">
        <v>2.0095999999999998</v>
      </c>
      <c r="AO542" s="15">
        <v>909.34670000000006</v>
      </c>
      <c r="AP542" s="15">
        <v>0.92149999999999999</v>
      </c>
      <c r="AQ542" s="5">
        <v>101.19670000000001</v>
      </c>
      <c r="AR542" s="5">
        <v>101.19670000000001</v>
      </c>
      <c r="AS542" s="4">
        <v>0</v>
      </c>
      <c r="AT542" s="4">
        <v>0</v>
      </c>
      <c r="AU542" s="8">
        <v>0.87980000000000003</v>
      </c>
      <c r="AV542" s="8">
        <v>0.64700000000000002</v>
      </c>
      <c r="AW542" s="8">
        <v>0.64700000000000002</v>
      </c>
      <c r="AX542" s="5">
        <v>100.92149999999999</v>
      </c>
      <c r="AY542" s="5">
        <v>0.64700000000000002</v>
      </c>
      <c r="AZ542" s="7" t="s">
        <v>96</v>
      </c>
    </row>
    <row r="543" spans="1:52" ht="18" customHeight="1" x14ac:dyDescent="0.25">
      <c r="A543" s="10">
        <v>271</v>
      </c>
      <c r="B543" s="10">
        <v>2</v>
      </c>
      <c r="C543" s="10">
        <v>271</v>
      </c>
      <c r="D543" s="86">
        <v>46146</v>
      </c>
      <c r="E543" s="86">
        <v>46148</v>
      </c>
      <c r="F543" s="86">
        <v>46168</v>
      </c>
      <c r="G543" s="11">
        <v>24119.3</v>
      </c>
      <c r="H543" s="11">
        <v>24330.95</v>
      </c>
      <c r="I543" s="12"/>
      <c r="J543" s="12"/>
      <c r="K543" s="91">
        <f t="array" ref="K543">MAX(IF((D543&lt;[1]Nifty_D!$B$2:$B$6600)*(E543&gt;=[1]Nifty_D!$B$2:$B$6600),[1]Nifty_D!$F$2:$F$6600,""))</f>
        <v>24330.95</v>
      </c>
      <c r="L543" s="92">
        <f t="shared" si="28"/>
        <v>8.7751302898508854E-3</v>
      </c>
      <c r="M543" s="91">
        <f t="shared" si="29"/>
        <v>12707.050000000001</v>
      </c>
      <c r="N543" s="93">
        <f t="array" ref="N543">INDEX([1]Nifty_D!$B$2:$B$6600,MATCH(E543,[1]Nifty_D!$B$2:$B$6600,0)-1)</f>
        <v>46147</v>
      </c>
      <c r="O543" s="89">
        <f>VLOOKUP(N543,[1]Nifty_D!$B$2:$F$6600,5,0)</f>
        <v>24032.799999999999</v>
      </c>
      <c r="P543" s="92">
        <f t="shared" si="30"/>
        <v>-3.5863395703855661E-3</v>
      </c>
      <c r="Q543" s="12" t="s">
        <v>40</v>
      </c>
      <c r="R543" s="10">
        <v>24000</v>
      </c>
      <c r="S543" s="103">
        <f>MROUND(G543,500)</f>
        <v>24000</v>
      </c>
      <c r="T543" s="103">
        <f>S543-R543</f>
        <v>0</v>
      </c>
      <c r="U543" s="12" t="s">
        <v>92</v>
      </c>
      <c r="V543" s="10">
        <v>65</v>
      </c>
      <c r="W543" s="11">
        <v>325.14999999999998</v>
      </c>
      <c r="X543" s="11">
        <v>187.35</v>
      </c>
      <c r="Y543" s="13">
        <v>-0.61029999999999995</v>
      </c>
      <c r="Z543" s="13">
        <v>0.49109999999999998</v>
      </c>
      <c r="AA543" s="10">
        <v>0</v>
      </c>
      <c r="AB543" s="14">
        <v>0</v>
      </c>
      <c r="AC543" s="11">
        <v>-137.80000000000001</v>
      </c>
      <c r="AD543" s="14">
        <v>-5.7132669687760427E-3</v>
      </c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 t="s">
        <v>96</v>
      </c>
    </row>
    <row r="544" spans="1:52" ht="18" hidden="1" customHeight="1" x14ac:dyDescent="0.25">
      <c r="A544" s="4">
        <v>272</v>
      </c>
      <c r="B544" s="4">
        <v>1</v>
      </c>
      <c r="C544" s="4">
        <v>272</v>
      </c>
      <c r="D544" s="85">
        <v>46148</v>
      </c>
      <c r="E544" s="85">
        <v>46153</v>
      </c>
      <c r="F544" s="85">
        <v>46154</v>
      </c>
      <c r="G544" s="5">
        <v>24330.95</v>
      </c>
      <c r="H544" s="5">
        <v>23815.85</v>
      </c>
      <c r="I544" s="5">
        <v>-515.1</v>
      </c>
      <c r="J544" s="6">
        <v>-2.117056670619109E-2</v>
      </c>
      <c r="K544" s="91">
        <f t="array" ref="K544">MAX(IF((D544&lt;[1]Nifty_D!$B$2:$B$6600)*(E544&gt;=[1]Nifty_D!$B$2:$B$6600),[1]Nifty_D!$F$2:$F$6600,""))</f>
        <v>24326.65</v>
      </c>
      <c r="L544" s="92">
        <f t="shared" si="28"/>
        <v>-1.7672963858783586E-4</v>
      </c>
      <c r="M544" s="91">
        <f t="shared" si="29"/>
        <v>12702.750000000002</v>
      </c>
      <c r="N544" s="93">
        <f t="array" ref="N544">INDEX([1]Nifty_D!$B$2:$B$6600,MATCH(E544,[1]Nifty_D!$B$2:$B$6600,0)-1)</f>
        <v>46150</v>
      </c>
      <c r="O544" s="89">
        <f>VLOOKUP(N544,[1]Nifty_D!$B$2:$F$6600,5,0)</f>
        <v>24176.15</v>
      </c>
      <c r="P544" s="92">
        <f t="shared" si="30"/>
        <v>-6.3622669891639783E-3</v>
      </c>
      <c r="Q544" s="7" t="s">
        <v>28</v>
      </c>
      <c r="R544" s="4">
        <v>24300</v>
      </c>
      <c r="S544" s="102"/>
      <c r="T544" s="102"/>
      <c r="U544" s="7" t="s">
        <v>90</v>
      </c>
      <c r="V544" s="4">
        <v>65</v>
      </c>
      <c r="W544" s="5">
        <v>260.85000000000002</v>
      </c>
      <c r="X544" s="5">
        <v>8.4499999999999993</v>
      </c>
      <c r="Y544" s="8">
        <v>-0.19789999999999999</v>
      </c>
      <c r="Z544" s="8">
        <v>1.0410999999999999</v>
      </c>
      <c r="AA544" s="5">
        <v>252.4</v>
      </c>
      <c r="AB544" s="6">
        <v>1.0373618785949581E-2</v>
      </c>
      <c r="AC544" s="4">
        <v>0</v>
      </c>
      <c r="AD544" s="6">
        <v>0</v>
      </c>
      <c r="AE544" s="5">
        <v>61326.7</v>
      </c>
      <c r="AF544" s="5">
        <v>61258.400000000001</v>
      </c>
      <c r="AG544" s="5">
        <v>-68.3</v>
      </c>
      <c r="AH544" s="5">
        <v>-0.1114</v>
      </c>
      <c r="AI544" s="4">
        <v>5</v>
      </c>
      <c r="AJ544" s="5">
        <v>-8.3333000000000004E-2</v>
      </c>
      <c r="AK544" s="5">
        <v>-119.40560000000001</v>
      </c>
      <c r="AL544" s="5">
        <v>-0.19470000000000001</v>
      </c>
      <c r="AM544" s="8">
        <v>-0.55840000000000001</v>
      </c>
      <c r="AN544" s="8">
        <v>1.2498</v>
      </c>
      <c r="AO544" s="15">
        <v>488.2944</v>
      </c>
      <c r="AP544" s="15">
        <v>2.3029000000000002</v>
      </c>
      <c r="AQ544" s="5">
        <v>103.52719999999999</v>
      </c>
      <c r="AR544" s="5">
        <v>103.52719999999999</v>
      </c>
      <c r="AS544" s="4">
        <v>0</v>
      </c>
      <c r="AT544" s="4">
        <v>0</v>
      </c>
      <c r="AU544" s="8">
        <v>0.85240000000000005</v>
      </c>
      <c r="AV544" s="8">
        <v>2.0065</v>
      </c>
      <c r="AW544" s="8">
        <v>0.85240000000000005</v>
      </c>
      <c r="AX544" s="5">
        <v>102.05929999999999</v>
      </c>
      <c r="AY544" s="5">
        <v>0.85240000000000005</v>
      </c>
      <c r="AZ544" s="7" t="s">
        <v>91</v>
      </c>
    </row>
    <row r="545" spans="1:52" ht="18" customHeight="1" x14ac:dyDescent="0.25">
      <c r="A545" s="10">
        <v>272</v>
      </c>
      <c r="B545" s="10">
        <v>2</v>
      </c>
      <c r="C545" s="10">
        <v>272</v>
      </c>
      <c r="D545" s="86">
        <v>46148</v>
      </c>
      <c r="E545" s="86">
        <v>46153</v>
      </c>
      <c r="F545" s="86">
        <v>46168</v>
      </c>
      <c r="G545" s="11">
        <v>24330.95</v>
      </c>
      <c r="H545" s="11">
        <v>23815.85</v>
      </c>
      <c r="I545" s="12"/>
      <c r="J545" s="12"/>
      <c r="K545" s="91">
        <f t="array" ref="K545">MAX(IF((D545&lt;[1]Nifty_D!$B$2:$B$6600)*(E545&gt;=[1]Nifty_D!$B$2:$B$6600),[1]Nifty_D!$F$2:$F$6600,""))</f>
        <v>24326.65</v>
      </c>
      <c r="L545" s="92">
        <f t="shared" si="28"/>
        <v>-1.7672963858783586E-4</v>
      </c>
      <c r="M545" s="91">
        <f t="shared" si="29"/>
        <v>12702.750000000002</v>
      </c>
      <c r="N545" s="93">
        <f t="array" ref="N545">INDEX([1]Nifty_D!$B$2:$B$6600,MATCH(E545,[1]Nifty_D!$B$2:$B$6600,0)-1)</f>
        <v>46150</v>
      </c>
      <c r="O545" s="89">
        <f>VLOOKUP(N545,[1]Nifty_D!$B$2:$F$6600,5,0)</f>
        <v>24176.15</v>
      </c>
      <c r="P545" s="92">
        <f t="shared" si="30"/>
        <v>-6.3622669891639783E-3</v>
      </c>
      <c r="Q545" s="12" t="s">
        <v>40</v>
      </c>
      <c r="R545" s="10">
        <v>24500</v>
      </c>
      <c r="S545" s="103">
        <f>MROUND(G545,500)</f>
        <v>24500</v>
      </c>
      <c r="T545" s="103">
        <f>S545-R545</f>
        <v>0</v>
      </c>
      <c r="U545" s="12" t="s">
        <v>92</v>
      </c>
      <c r="V545" s="10">
        <v>65</v>
      </c>
      <c r="W545" s="11">
        <v>372.25</v>
      </c>
      <c r="X545" s="11">
        <v>727.55</v>
      </c>
      <c r="Y545" s="13">
        <v>-0.19950000000000001</v>
      </c>
      <c r="Z545" s="13">
        <v>1.5238</v>
      </c>
      <c r="AA545" s="10">
        <v>0</v>
      </c>
      <c r="AB545" s="14">
        <v>0</v>
      </c>
      <c r="AC545" s="11">
        <v>355.3</v>
      </c>
      <c r="AD545" s="14">
        <v>1.4602800137273719E-2</v>
      </c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 t="s">
        <v>91</v>
      </c>
    </row>
    <row r="546" spans="1:52" ht="18" hidden="1" customHeight="1" x14ac:dyDescent="0.25">
      <c r="A546" s="4">
        <v>273</v>
      </c>
      <c r="B546" s="4">
        <v>1</v>
      </c>
      <c r="C546" s="4">
        <v>273</v>
      </c>
      <c r="D546" s="85">
        <v>46153</v>
      </c>
      <c r="E546" s="85">
        <v>46160</v>
      </c>
      <c r="F546" s="85">
        <v>46161</v>
      </c>
      <c r="G546" s="5">
        <v>23815.85</v>
      </c>
      <c r="H546" s="5">
        <v>23649.95</v>
      </c>
      <c r="I546" s="5">
        <v>-165.9</v>
      </c>
      <c r="J546" s="6">
        <v>-6.9659491473115596E-3</v>
      </c>
      <c r="K546" s="91">
        <f t="array" ref="K546">MAX(IF((D546&lt;[1]Nifty_D!$B$2:$B$6600)*(E546&gt;=[1]Nifty_D!$B$2:$B$6600),[1]Nifty_D!$F$2:$F$6600,""))</f>
        <v>23689.599999999999</v>
      </c>
      <c r="L546" s="92">
        <f t="shared" si="28"/>
        <v>-5.3010914999884751E-3</v>
      </c>
      <c r="M546" s="91">
        <f t="shared" si="29"/>
        <v>12065.699999999999</v>
      </c>
      <c r="N546" s="93">
        <f t="array" ref="N546">INDEX([1]Nifty_D!$B$2:$B$6600,MATCH(E546,[1]Nifty_D!$B$2:$B$6600,0)-1)</f>
        <v>46157</v>
      </c>
      <c r="O546" s="89">
        <f>VLOOKUP(N546,[1]Nifty_D!$B$2:$F$6600,5,0)</f>
        <v>23643.5</v>
      </c>
      <c r="P546" s="92">
        <f t="shared" si="30"/>
        <v>-7.236777188300958E-3</v>
      </c>
      <c r="Q546" s="7" t="s">
        <v>28</v>
      </c>
      <c r="R546" s="4">
        <v>23800</v>
      </c>
      <c r="S546" s="102"/>
      <c r="T546" s="102"/>
      <c r="U546" s="7" t="s">
        <v>90</v>
      </c>
      <c r="V546" s="4">
        <v>65</v>
      </c>
      <c r="W546" s="5">
        <v>290.3</v>
      </c>
      <c r="X546" s="5">
        <v>44.85</v>
      </c>
      <c r="Y546" s="8">
        <v>8.5900000000000004E-2</v>
      </c>
      <c r="Z546" s="8">
        <v>1.1671</v>
      </c>
      <c r="AA546" s="5">
        <v>245.45</v>
      </c>
      <c r="AB546" s="6">
        <v>1.030616165284884E-2</v>
      </c>
      <c r="AC546" s="4">
        <v>0</v>
      </c>
      <c r="AD546" s="6">
        <v>0</v>
      </c>
      <c r="AE546" s="5">
        <v>61258.400000000001</v>
      </c>
      <c r="AF546" s="5">
        <v>60473.8</v>
      </c>
      <c r="AG546" s="5">
        <v>-784.6</v>
      </c>
      <c r="AH546" s="5">
        <v>-1.2807999999999999</v>
      </c>
      <c r="AI546" s="4">
        <v>7</v>
      </c>
      <c r="AJ546" s="5">
        <v>-0.11666700000000001</v>
      </c>
      <c r="AK546" s="5">
        <v>-856.06809999999996</v>
      </c>
      <c r="AL546" s="5">
        <v>-1.3975</v>
      </c>
      <c r="AM546" s="8">
        <v>-3.0527000000000002</v>
      </c>
      <c r="AN546" s="8">
        <v>9.2600000000000002E-2</v>
      </c>
      <c r="AO546" s="9">
        <v>-476.2681</v>
      </c>
      <c r="AP546" s="9">
        <v>0.19719999999999999</v>
      </c>
      <c r="AQ546" s="5">
        <v>103.7313</v>
      </c>
      <c r="AR546" s="5">
        <v>103.7313</v>
      </c>
      <c r="AS546" s="4">
        <v>0</v>
      </c>
      <c r="AT546" s="4">
        <v>0</v>
      </c>
      <c r="AU546" s="8">
        <v>0.10059999999999999</v>
      </c>
      <c r="AV546" s="8">
        <v>0.1303</v>
      </c>
      <c r="AW546" s="8">
        <v>0.10059999999999999</v>
      </c>
      <c r="AX546" s="5">
        <v>103.6313</v>
      </c>
      <c r="AY546" s="5">
        <v>0.10059999999999999</v>
      </c>
      <c r="AZ546" s="7" t="s">
        <v>91</v>
      </c>
    </row>
    <row r="547" spans="1:52" ht="18" customHeight="1" x14ac:dyDescent="0.25">
      <c r="A547" s="10">
        <v>273</v>
      </c>
      <c r="B547" s="10">
        <v>2</v>
      </c>
      <c r="C547" s="10">
        <v>273</v>
      </c>
      <c r="D547" s="86">
        <v>46153</v>
      </c>
      <c r="E547" s="86">
        <v>46160</v>
      </c>
      <c r="F547" s="86">
        <v>46168</v>
      </c>
      <c r="G547" s="11">
        <v>23815.85</v>
      </c>
      <c r="H547" s="11">
        <v>23649.95</v>
      </c>
      <c r="I547" s="12"/>
      <c r="J547" s="12"/>
      <c r="K547" s="91">
        <f t="array" ref="K547">MAX(IF((D547&lt;[1]Nifty_D!$B$2:$B$6600)*(E547&gt;=[1]Nifty_D!$B$2:$B$6600),[1]Nifty_D!$F$2:$F$6600,""))</f>
        <v>23689.599999999999</v>
      </c>
      <c r="L547" s="92">
        <f t="shared" si="28"/>
        <v>-5.3010914999884751E-3</v>
      </c>
      <c r="M547" s="91">
        <f t="shared" si="29"/>
        <v>12065.699999999999</v>
      </c>
      <c r="N547" s="93">
        <f t="array" ref="N547">INDEX([1]Nifty_D!$B$2:$B$6600,MATCH(E547,[1]Nifty_D!$B$2:$B$6600,0)-1)</f>
        <v>46157</v>
      </c>
      <c r="O547" s="89">
        <f>VLOOKUP(N547,[1]Nifty_D!$B$2:$F$6600,5,0)</f>
        <v>23643.5</v>
      </c>
      <c r="P547" s="92">
        <f t="shared" si="30"/>
        <v>-7.236777188300958E-3</v>
      </c>
      <c r="Q547" s="12" t="s">
        <v>40</v>
      </c>
      <c r="R547" s="10">
        <v>24500</v>
      </c>
      <c r="S547" s="103">
        <f>MROUND(G547,500)</f>
        <v>24000</v>
      </c>
      <c r="T547" s="103">
        <f>S547-R547</f>
        <v>-500</v>
      </c>
      <c r="U547" s="12" t="s">
        <v>92</v>
      </c>
      <c r="V547" s="10">
        <v>65</v>
      </c>
      <c r="W547" s="11">
        <v>727.55</v>
      </c>
      <c r="X547" s="11">
        <v>861.9</v>
      </c>
      <c r="Y547" s="13">
        <v>-7.7899999999999997E-2</v>
      </c>
      <c r="Z547" s="13">
        <v>2.0158999999999998</v>
      </c>
      <c r="AA547" s="10">
        <v>0</v>
      </c>
      <c r="AB547" s="14">
        <v>0</v>
      </c>
      <c r="AC547" s="11">
        <v>134.35</v>
      </c>
      <c r="AD547" s="14">
        <v>5.6412011328589992E-3</v>
      </c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 t="s">
        <v>91</v>
      </c>
    </row>
    <row r="548" spans="1:52" ht="18" hidden="1" customHeight="1" x14ac:dyDescent="0.25">
      <c r="A548" s="4">
        <v>274</v>
      </c>
      <c r="B548" s="4">
        <v>1</v>
      </c>
      <c r="C548" s="4">
        <v>274</v>
      </c>
      <c r="D548" s="85">
        <v>46160</v>
      </c>
      <c r="E548" s="85">
        <v>46167</v>
      </c>
      <c r="F548" s="85">
        <v>46168</v>
      </c>
      <c r="G548" s="5">
        <v>23649.95</v>
      </c>
      <c r="H548" s="5">
        <v>24031.7</v>
      </c>
      <c r="I548" s="5">
        <v>381.75</v>
      </c>
      <c r="J548" s="6">
        <v>1.6141683174805861E-2</v>
      </c>
      <c r="K548" s="91">
        <f t="array" ref="K548">MAX(IF((D548&lt;[1]Nifty_D!$B$2:$B$6600)*(E548&gt;=[1]Nifty_D!$B$2:$B$6600),[1]Nifty_D!$F$2:$F$6600,""))</f>
        <v>24031.7</v>
      </c>
      <c r="L548" s="92">
        <f t="shared" si="28"/>
        <v>1.6141683174805799E-2</v>
      </c>
      <c r="M548" s="91">
        <f t="shared" si="29"/>
        <v>12407.800000000001</v>
      </c>
      <c r="N548" s="93">
        <f t="array" ref="N548">INDEX([1]Nifty_D!$B$2:$B$6600,MATCH(E548,[1]Nifty_D!$B$2:$B$6600,0)-1)</f>
        <v>46164</v>
      </c>
      <c r="O548" s="89">
        <f>VLOOKUP(N548,[1]Nifty_D!$B$2:$F$6600,5,0)</f>
        <v>23719.3</v>
      </c>
      <c r="P548" s="92">
        <f t="shared" si="30"/>
        <v>2.9323529225220302E-3</v>
      </c>
      <c r="Q548" s="7" t="s">
        <v>28</v>
      </c>
      <c r="R548" s="4">
        <v>23600</v>
      </c>
      <c r="S548" s="102"/>
      <c r="T548" s="102"/>
      <c r="U548" s="7" t="s">
        <v>90</v>
      </c>
      <c r="V548" s="4">
        <v>65</v>
      </c>
      <c r="W548" s="5">
        <v>299.3</v>
      </c>
      <c r="X548" s="5">
        <v>458.3</v>
      </c>
      <c r="Y548" s="8">
        <v>-0.9385</v>
      </c>
      <c r="Z548" s="8">
        <v>0.77059999999999995</v>
      </c>
      <c r="AA548" s="4">
        <v>-159</v>
      </c>
      <c r="AB548" s="6">
        <v>-6.7230586111175711E-3</v>
      </c>
      <c r="AC548" s="4">
        <v>0</v>
      </c>
      <c r="AD548" s="6">
        <v>0</v>
      </c>
      <c r="AE548" s="5">
        <v>60473.8</v>
      </c>
      <c r="AF548" s="5">
        <v>61966.6</v>
      </c>
      <c r="AG548" s="5">
        <v>1492.8</v>
      </c>
      <c r="AH548" s="5">
        <v>2.4685000000000001</v>
      </c>
      <c r="AI548" s="4">
        <v>7</v>
      </c>
      <c r="AJ548" s="5">
        <v>-0.11666700000000001</v>
      </c>
      <c r="AK548" s="5">
        <v>1422.2472</v>
      </c>
      <c r="AL548" s="5">
        <v>2.3517999999999999</v>
      </c>
      <c r="AM548" s="8">
        <v>-2.5700000000000001E-2</v>
      </c>
      <c r="AN548" s="8">
        <v>2.4615999999999998</v>
      </c>
      <c r="AO548" s="15">
        <v>849.84720000000004</v>
      </c>
      <c r="AP548" s="15">
        <v>-6.8500000000000005E-2</v>
      </c>
      <c r="AQ548" s="5">
        <v>103.66030000000001</v>
      </c>
      <c r="AR548" s="5">
        <v>103.7313</v>
      </c>
      <c r="AS548" s="5">
        <v>-7.1099999999999997E-2</v>
      </c>
      <c r="AT548" s="5">
        <v>-6.8500000000000005E-2</v>
      </c>
      <c r="AU548" s="8">
        <v>-0.46300000000000002</v>
      </c>
      <c r="AV548" s="8">
        <v>1.8601000000000001</v>
      </c>
      <c r="AW548" s="8">
        <v>-0.46300000000000002</v>
      </c>
      <c r="AX548" s="5">
        <v>103.25109999999999</v>
      </c>
      <c r="AY548" s="5">
        <v>-0.46300000000000002</v>
      </c>
      <c r="AZ548" s="7" t="s">
        <v>98</v>
      </c>
    </row>
    <row r="549" spans="1:52" ht="18" customHeight="1" x14ac:dyDescent="0.25">
      <c r="A549" s="10">
        <v>274</v>
      </c>
      <c r="B549" s="10">
        <v>2</v>
      </c>
      <c r="C549" s="10">
        <v>274</v>
      </c>
      <c r="D549" s="86">
        <v>46160</v>
      </c>
      <c r="E549" s="86">
        <v>46167</v>
      </c>
      <c r="F549" s="86">
        <v>46168</v>
      </c>
      <c r="G549" s="11">
        <v>23649.95</v>
      </c>
      <c r="H549" s="11">
        <v>24031.7</v>
      </c>
      <c r="I549" s="12"/>
      <c r="J549" s="12"/>
      <c r="K549" s="91">
        <f t="array" ref="K549">MAX(IF((D549&lt;[1]Nifty_D!$B$2:$B$6600)*(E549&gt;=[1]Nifty_D!$B$2:$B$6600),[1]Nifty_D!$F$2:$F$6600,""))</f>
        <v>24031.7</v>
      </c>
      <c r="L549" s="92">
        <f t="shared" si="28"/>
        <v>1.6141683174805799E-2</v>
      </c>
      <c r="M549" s="91">
        <f t="shared" si="29"/>
        <v>12407.800000000001</v>
      </c>
      <c r="N549" s="93">
        <f t="array" ref="N549">INDEX([1]Nifty_D!$B$2:$B$6600,MATCH(E549,[1]Nifty_D!$B$2:$B$6600,0)-1)</f>
        <v>46164</v>
      </c>
      <c r="O549" s="89">
        <f>VLOOKUP(N549,[1]Nifty_D!$B$2:$F$6600,5,0)</f>
        <v>23719.3</v>
      </c>
      <c r="P549" s="92">
        <f t="shared" si="30"/>
        <v>2.9323529225220302E-3</v>
      </c>
      <c r="Q549" s="12" t="s">
        <v>40</v>
      </c>
      <c r="R549" s="10">
        <v>24500</v>
      </c>
      <c r="S549" s="103">
        <f>MROUND(G549,500)</f>
        <v>23500</v>
      </c>
      <c r="T549" s="103">
        <f>S549-R549</f>
        <v>-1000</v>
      </c>
      <c r="U549" s="12" t="s">
        <v>92</v>
      </c>
      <c r="V549" s="10">
        <v>65</v>
      </c>
      <c r="W549" s="11">
        <v>861.9</v>
      </c>
      <c r="X549" s="11">
        <v>448.5</v>
      </c>
      <c r="Y549" s="13">
        <v>-1.9861</v>
      </c>
      <c r="Z549" s="13">
        <v>1.1152</v>
      </c>
      <c r="AA549" s="10">
        <v>0</v>
      </c>
      <c r="AB549" s="14">
        <v>0</v>
      </c>
      <c r="AC549" s="11">
        <v>-413.4</v>
      </c>
      <c r="AD549" s="14">
        <v>-1.7479952388905678E-2</v>
      </c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 t="s">
        <v>98</v>
      </c>
    </row>
    <row r="550" spans="1:52" ht="18" hidden="1" customHeight="1" x14ac:dyDescent="0.25">
      <c r="A550" s="4">
        <v>275</v>
      </c>
      <c r="B550" s="4">
        <v>1</v>
      </c>
      <c r="C550" s="4">
        <v>275</v>
      </c>
      <c r="D550" s="85">
        <v>46167</v>
      </c>
      <c r="E550" s="85">
        <v>46174</v>
      </c>
      <c r="F550" s="85">
        <v>46175</v>
      </c>
      <c r="G550" s="5">
        <v>24031.7</v>
      </c>
      <c r="H550" s="5">
        <v>23382.6</v>
      </c>
      <c r="I550" s="5">
        <v>-649.1</v>
      </c>
      <c r="J550" s="6">
        <v>-2.7010157417078271E-2</v>
      </c>
      <c r="K550" s="91">
        <f t="array" ref="K550">MAX(IF((D550&lt;[1]Nifty_D!$B$2:$B$6600)*(E550&gt;=[1]Nifty_D!$B$2:$B$6600),[1]Nifty_D!$F$2:$F$6600,""))</f>
        <v>23913.7</v>
      </c>
      <c r="L550" s="92">
        <f t="shared" si="28"/>
        <v>-4.9101811357498137E-3</v>
      </c>
      <c r="M550" s="91">
        <f t="shared" si="29"/>
        <v>12289.800000000001</v>
      </c>
      <c r="N550" s="93">
        <f t="array" ref="N550">INDEX([1]Nifty_D!$B$2:$B$6600,MATCH(E550,[1]Nifty_D!$B$2:$B$6600,0)-1)</f>
        <v>46171</v>
      </c>
      <c r="O550" s="89">
        <f>VLOOKUP(N550,[1]Nifty_D!$B$2:$F$6600,5,0)</f>
        <v>23547.75</v>
      </c>
      <c r="P550" s="92">
        <f t="shared" si="30"/>
        <v>-2.0137984412255561E-2</v>
      </c>
      <c r="Q550" s="7" t="s">
        <v>28</v>
      </c>
      <c r="R550" s="4">
        <v>24000</v>
      </c>
      <c r="S550" s="102"/>
      <c r="T550" s="102"/>
      <c r="U550" s="7" t="s">
        <v>90</v>
      </c>
      <c r="V550" s="4">
        <v>65</v>
      </c>
      <c r="W550" s="5">
        <v>246.45</v>
      </c>
      <c r="X550" s="5">
        <v>6.1</v>
      </c>
      <c r="Y550" s="8">
        <v>-1.06E-2</v>
      </c>
      <c r="Z550" s="8">
        <v>1.0041</v>
      </c>
      <c r="AA550" s="5">
        <v>240.35</v>
      </c>
      <c r="AB550" s="6">
        <v>1.0001373186249831E-2</v>
      </c>
      <c r="AC550" s="4">
        <v>0</v>
      </c>
      <c r="AD550" s="6">
        <v>0</v>
      </c>
      <c r="AE550" s="5">
        <v>61966.6</v>
      </c>
      <c r="AF550" s="5">
        <v>60827.95</v>
      </c>
      <c r="AG550" s="5">
        <v>-1138.6500000000001</v>
      </c>
      <c r="AH550" s="5">
        <v>-1.8374999999999999</v>
      </c>
      <c r="AI550" s="4">
        <v>7</v>
      </c>
      <c r="AJ550" s="5">
        <v>-0.11666700000000001</v>
      </c>
      <c r="AK550" s="5">
        <v>-1210.9444000000001</v>
      </c>
      <c r="AL550" s="5">
        <v>-1.9541999999999999</v>
      </c>
      <c r="AM550" s="8">
        <v>-2.1004</v>
      </c>
      <c r="AN550" s="8">
        <v>1.4508000000000001</v>
      </c>
      <c r="AO550" s="9">
        <v>-646.84439999999995</v>
      </c>
      <c r="AP550" s="9">
        <v>0.3931</v>
      </c>
      <c r="AQ550" s="5">
        <v>104.06780000000001</v>
      </c>
      <c r="AR550" s="5">
        <v>104.06780000000001</v>
      </c>
      <c r="AS550" s="4">
        <v>0</v>
      </c>
      <c r="AT550" s="4">
        <v>0</v>
      </c>
      <c r="AU550" s="8">
        <v>1.31</v>
      </c>
      <c r="AV550" s="8">
        <v>0.34279999999999999</v>
      </c>
      <c r="AW550" s="8">
        <v>0.34279999999999999</v>
      </c>
      <c r="AX550" s="5">
        <v>104.01560000000001</v>
      </c>
      <c r="AY550" s="5">
        <v>0.27410000000000001</v>
      </c>
      <c r="AZ550" s="7" t="s">
        <v>91</v>
      </c>
    </row>
    <row r="551" spans="1:52" ht="18" customHeight="1" x14ac:dyDescent="0.25">
      <c r="A551" s="10">
        <v>275</v>
      </c>
      <c r="B551" s="10">
        <v>2</v>
      </c>
      <c r="C551" s="10">
        <v>275</v>
      </c>
      <c r="D551" s="86">
        <v>46167</v>
      </c>
      <c r="E551" s="86">
        <v>46174</v>
      </c>
      <c r="F551" s="86">
        <v>46203</v>
      </c>
      <c r="G551" s="11">
        <v>24031.7</v>
      </c>
      <c r="H551" s="11">
        <v>23382.6</v>
      </c>
      <c r="I551" s="12"/>
      <c r="J551" s="12"/>
      <c r="K551" s="91">
        <f t="array" ref="K551">MAX(IF((D551&lt;[1]Nifty_D!$B$2:$B$6600)*(E551&gt;=[1]Nifty_D!$B$2:$B$6600),[1]Nifty_D!$F$2:$F$6600,""))</f>
        <v>23913.7</v>
      </c>
      <c r="L551" s="92">
        <f t="shared" si="28"/>
        <v>-4.9101811357498137E-3</v>
      </c>
      <c r="M551" s="91">
        <f t="shared" si="29"/>
        <v>12289.800000000001</v>
      </c>
      <c r="N551" s="93">
        <f t="array" ref="N551">INDEX([1]Nifty_D!$B$2:$B$6600,MATCH(E551,[1]Nifty_D!$B$2:$B$6600,0)-1)</f>
        <v>46171</v>
      </c>
      <c r="O551" s="89">
        <f>VLOOKUP(N551,[1]Nifty_D!$B$2:$F$6600,5,0)</f>
        <v>23547.75</v>
      </c>
      <c r="P551" s="92">
        <f t="shared" si="30"/>
        <v>-2.0137984412255561E-2</v>
      </c>
      <c r="Q551" s="12" t="s">
        <v>40</v>
      </c>
      <c r="R551" s="10">
        <v>24000</v>
      </c>
      <c r="S551" s="103">
        <f>MROUND(G551,500)</f>
        <v>24000</v>
      </c>
      <c r="T551" s="103">
        <f>S551-R551</f>
        <v>0</v>
      </c>
      <c r="U551" s="12" t="s">
        <v>92</v>
      </c>
      <c r="V551" s="10">
        <v>65</v>
      </c>
      <c r="W551" s="11">
        <v>375.5</v>
      </c>
      <c r="X551" s="11">
        <v>699.25</v>
      </c>
      <c r="Y551" s="13">
        <v>-0.13020000000000001</v>
      </c>
      <c r="Z551" s="13">
        <v>1.4391</v>
      </c>
      <c r="AA551" s="10">
        <v>0</v>
      </c>
      <c r="AB551" s="14">
        <v>0</v>
      </c>
      <c r="AC551" s="11">
        <v>323.75</v>
      </c>
      <c r="AD551" s="14">
        <v>1.3471789344906931E-2</v>
      </c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 t="s">
        <v>91</v>
      </c>
    </row>
    <row r="552" spans="1:52" ht="18" hidden="1" customHeight="1" x14ac:dyDescent="0.25">
      <c r="A552" s="4">
        <v>276</v>
      </c>
      <c r="B552" s="4">
        <v>1</v>
      </c>
      <c r="C552" s="4">
        <v>276</v>
      </c>
      <c r="D552" s="85">
        <v>46174</v>
      </c>
      <c r="E552" s="85">
        <v>46181</v>
      </c>
      <c r="F552" s="85">
        <v>46182</v>
      </c>
      <c r="G552" s="5">
        <v>23382.6</v>
      </c>
      <c r="H552" s="4">
        <v>23123</v>
      </c>
      <c r="I552" s="5">
        <v>-259.60000000000002</v>
      </c>
      <c r="J552" s="6">
        <v>-1.110227263007536E-2</v>
      </c>
      <c r="K552" s="91">
        <f t="array" ref="K552">MAX(IF((D552&lt;[1]Nifty_D!$B$2:$B$6600)*(E552&gt;=[1]Nifty_D!$B$2:$B$6600),[1]Nifty_D!$F$2:$F$6600,""))</f>
        <v>23483.55</v>
      </c>
      <c r="L552" s="92">
        <f t="shared" si="28"/>
        <v>4.3173128736753164E-3</v>
      </c>
      <c r="M552" s="91">
        <f t="shared" si="29"/>
        <v>11859.65</v>
      </c>
      <c r="N552" s="93">
        <f t="array" ref="N552">INDEX([1]Nifty_D!$B$2:$B$6600,MATCH(E552,[1]Nifty_D!$B$2:$B$6600,0)-1)</f>
        <v>46178</v>
      </c>
      <c r="O552" s="89">
        <f>VLOOKUP(N552,[1]Nifty_D!$B$2:$F$6600,5,0)</f>
        <v>23366.7</v>
      </c>
      <c r="P552" s="92">
        <f t="shared" si="30"/>
        <v>-6.7999281517017174E-4</v>
      </c>
      <c r="Q552" s="7" t="s">
        <v>28</v>
      </c>
      <c r="R552" s="4">
        <v>23400</v>
      </c>
      <c r="S552" s="102"/>
      <c r="T552" s="102"/>
      <c r="U552" s="7" t="s">
        <v>90</v>
      </c>
      <c r="V552" s="4">
        <v>65</v>
      </c>
      <c r="W552" s="5">
        <v>257.55</v>
      </c>
      <c r="X552" s="5">
        <v>18.850000000000001</v>
      </c>
      <c r="Y552" s="8">
        <v>-0.29270000000000002</v>
      </c>
      <c r="Z552" s="8">
        <v>1.0382</v>
      </c>
      <c r="AA552" s="5">
        <v>238.7</v>
      </c>
      <c r="AB552" s="6">
        <v>1.0208445596298099E-2</v>
      </c>
      <c r="AC552" s="4">
        <v>0</v>
      </c>
      <c r="AD552" s="6">
        <v>0</v>
      </c>
      <c r="AE552" s="5">
        <v>60827.95</v>
      </c>
      <c r="AF552" s="5">
        <v>59905.65</v>
      </c>
      <c r="AG552" s="5">
        <v>-922.3</v>
      </c>
      <c r="AH552" s="5">
        <v>-1.5162</v>
      </c>
      <c r="AI552" s="4">
        <v>7</v>
      </c>
      <c r="AJ552" s="5">
        <v>-0.11666700000000001</v>
      </c>
      <c r="AK552" s="5">
        <v>-993.26589999999999</v>
      </c>
      <c r="AL552" s="5">
        <v>-1.6329</v>
      </c>
      <c r="AM552" s="8">
        <v>-2.0527000000000002</v>
      </c>
      <c r="AN552" s="8">
        <v>0.80610000000000004</v>
      </c>
      <c r="AO552" s="9">
        <v>-553.11590000000001</v>
      </c>
      <c r="AP552" s="9">
        <v>0.2495</v>
      </c>
      <c r="AQ552" s="5">
        <v>104.3274</v>
      </c>
      <c r="AR552" s="5">
        <v>104.3274</v>
      </c>
      <c r="AS552" s="4">
        <v>0</v>
      </c>
      <c r="AT552" s="4">
        <v>0</v>
      </c>
      <c r="AU552" s="8">
        <v>-0.1057</v>
      </c>
      <c r="AV552" s="8">
        <v>-4.9299999999999997E-2</v>
      </c>
      <c r="AW552" s="8">
        <v>-0.1057</v>
      </c>
      <c r="AX552" s="5">
        <v>103.95780000000001</v>
      </c>
      <c r="AY552" s="5">
        <v>-0.1057</v>
      </c>
      <c r="AZ552" s="7" t="s">
        <v>91</v>
      </c>
    </row>
    <row r="553" spans="1:52" ht="18" customHeight="1" x14ac:dyDescent="0.25">
      <c r="A553" s="10">
        <v>276</v>
      </c>
      <c r="B553" s="10">
        <v>2</v>
      </c>
      <c r="C553" s="10">
        <v>276</v>
      </c>
      <c r="D553" s="86">
        <v>46174</v>
      </c>
      <c r="E553" s="86">
        <v>46181</v>
      </c>
      <c r="F553" s="86">
        <v>46203</v>
      </c>
      <c r="G553" s="11">
        <v>23382.6</v>
      </c>
      <c r="H553" s="10">
        <v>23123</v>
      </c>
      <c r="I553" s="12"/>
      <c r="J553" s="12"/>
      <c r="K553" s="91">
        <f t="array" ref="K553">MAX(IF((D553&lt;[1]Nifty_D!$B$2:$B$6600)*(E553&gt;=[1]Nifty_D!$B$2:$B$6600),[1]Nifty_D!$F$2:$F$6600,""))</f>
        <v>23483.55</v>
      </c>
      <c r="L553" s="92">
        <f t="shared" si="28"/>
        <v>4.3173128736753164E-3</v>
      </c>
      <c r="M553" s="91">
        <f t="shared" si="29"/>
        <v>11859.65</v>
      </c>
      <c r="N553" s="93">
        <f t="array" ref="N553">INDEX([1]Nifty_D!$B$2:$B$6600,MATCH(E553,[1]Nifty_D!$B$2:$B$6600,0)-1)</f>
        <v>46178</v>
      </c>
      <c r="O553" s="89">
        <f>VLOOKUP(N553,[1]Nifty_D!$B$2:$F$6600,5,0)</f>
        <v>23366.7</v>
      </c>
      <c r="P553" s="92">
        <f t="shared" si="30"/>
        <v>-6.7999281517017174E-4</v>
      </c>
      <c r="Q553" s="12" t="s">
        <v>40</v>
      </c>
      <c r="R553" s="10">
        <v>24000</v>
      </c>
      <c r="S553" s="103">
        <f>MROUND(G553,500)</f>
        <v>23500</v>
      </c>
      <c r="T553" s="103">
        <f>S553-R553</f>
        <v>-500</v>
      </c>
      <c r="U553" s="12" t="s">
        <v>92</v>
      </c>
      <c r="V553" s="10">
        <v>65</v>
      </c>
      <c r="W553" s="11">
        <v>699.25</v>
      </c>
      <c r="X553" s="11">
        <v>900.7</v>
      </c>
      <c r="Y553" s="13">
        <v>-0.61909999999999998</v>
      </c>
      <c r="Z553" s="13">
        <v>0.96519999999999995</v>
      </c>
      <c r="AA553" s="10">
        <v>0</v>
      </c>
      <c r="AB553" s="14">
        <v>0</v>
      </c>
      <c r="AC553" s="11">
        <v>201.45</v>
      </c>
      <c r="AD553" s="14">
        <v>8.6153806676759637E-3</v>
      </c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 t="s">
        <v>91</v>
      </c>
    </row>
    <row r="554" spans="1:52" ht="18" hidden="1" customHeight="1" x14ac:dyDescent="0.25">
      <c r="A554" s="4">
        <v>277</v>
      </c>
      <c r="B554" s="4">
        <v>1</v>
      </c>
      <c r="C554" s="4">
        <v>277</v>
      </c>
      <c r="D554" s="85">
        <v>46181</v>
      </c>
      <c r="E554" s="85">
        <v>46185</v>
      </c>
      <c r="F554" s="85">
        <v>46189</v>
      </c>
      <c r="G554" s="4">
        <v>23123</v>
      </c>
      <c r="H554" s="5">
        <v>23622.9</v>
      </c>
      <c r="I554" s="5">
        <v>499.9</v>
      </c>
      <c r="J554" s="6">
        <v>2.1619167063097348E-2</v>
      </c>
      <c r="K554" s="91">
        <f t="array" ref="K554">MAX(IF((D554&lt;[1]Nifty_D!$B$2:$B$6600)*(E554&gt;=[1]Nifty_D!$B$2:$B$6600),[1]Nifty_D!$F$2:$F$6600,""))</f>
        <v>23622.9</v>
      </c>
      <c r="L554" s="92">
        <f t="shared" si="28"/>
        <v>2.1619167063097411E-2</v>
      </c>
      <c r="M554" s="91">
        <f t="shared" si="29"/>
        <v>11999.000000000002</v>
      </c>
      <c r="N554" s="93">
        <f t="array" ref="N554">INDEX([1]Nifty_D!$B$2:$B$6600,MATCH(E554,[1]Nifty_D!$B$2:$B$6600,0)-1)</f>
        <v>46184</v>
      </c>
      <c r="O554" s="89">
        <f>VLOOKUP(N554,[1]Nifty_D!$B$2:$F$6600,5,0)</f>
        <v>23161.599999999999</v>
      </c>
      <c r="P554" s="92">
        <f t="shared" si="30"/>
        <v>1.6693335639839102E-3</v>
      </c>
      <c r="Q554" s="7" t="s">
        <v>28</v>
      </c>
      <c r="R554" s="4">
        <v>23100</v>
      </c>
      <c r="S554" s="102"/>
      <c r="T554" s="102"/>
      <c r="U554" s="7" t="s">
        <v>90</v>
      </c>
      <c r="V554" s="4">
        <v>65</v>
      </c>
      <c r="W554" s="5">
        <v>266.85000000000002</v>
      </c>
      <c r="X554" s="5">
        <v>566.6</v>
      </c>
      <c r="Y554" s="8">
        <v>-1.4656</v>
      </c>
      <c r="Z554" s="8">
        <v>0.46360000000000001</v>
      </c>
      <c r="AA554" s="5">
        <v>-299.75</v>
      </c>
      <c r="AB554" s="6">
        <v>-1.296328331098906E-2</v>
      </c>
      <c r="AC554" s="4">
        <v>0</v>
      </c>
      <c r="AD554" s="6">
        <v>0</v>
      </c>
      <c r="AE554" s="5">
        <v>59905.65</v>
      </c>
      <c r="AF554" s="5">
        <v>60768.1</v>
      </c>
      <c r="AG554" s="5">
        <v>862.45</v>
      </c>
      <c r="AH554" s="5">
        <v>1.4397</v>
      </c>
      <c r="AI554" s="4">
        <v>4</v>
      </c>
      <c r="AJ554" s="5">
        <v>-6.6667000000000004E-2</v>
      </c>
      <c r="AK554" s="5">
        <v>822.51289999999995</v>
      </c>
      <c r="AL554" s="5">
        <v>1.373</v>
      </c>
      <c r="AM554" s="8">
        <v>-1.1987000000000001</v>
      </c>
      <c r="AN554" s="8">
        <v>1.4816</v>
      </c>
      <c r="AO554" s="15">
        <v>81.862899999999996</v>
      </c>
      <c r="AP554" s="15">
        <v>-1.8301000000000001</v>
      </c>
      <c r="AQ554" s="5">
        <v>102.4181</v>
      </c>
      <c r="AR554" s="5">
        <v>104.3274</v>
      </c>
      <c r="AS554" s="5">
        <v>-1.9093</v>
      </c>
      <c r="AT554" s="5">
        <v>-1.8301000000000001</v>
      </c>
      <c r="AU554" s="8">
        <v>-1.9978</v>
      </c>
      <c r="AV554" s="8">
        <v>-0.54349999999999998</v>
      </c>
      <c r="AW554" s="8">
        <v>-1.9978</v>
      </c>
      <c r="AX554" s="5">
        <v>102.2432</v>
      </c>
      <c r="AY554" s="5">
        <v>-1.9978</v>
      </c>
      <c r="AZ554" s="7" t="s">
        <v>95</v>
      </c>
    </row>
    <row r="555" spans="1:52" ht="18" customHeight="1" x14ac:dyDescent="0.25">
      <c r="A555" s="10">
        <v>277</v>
      </c>
      <c r="B555" s="10">
        <v>2</v>
      </c>
      <c r="C555" s="10">
        <v>277</v>
      </c>
      <c r="D555" s="86">
        <v>46181</v>
      </c>
      <c r="E555" s="86">
        <v>46185</v>
      </c>
      <c r="F555" s="86">
        <v>46203</v>
      </c>
      <c r="G555" s="10">
        <v>23123</v>
      </c>
      <c r="H555" s="11">
        <v>23622.9</v>
      </c>
      <c r="I555" s="12"/>
      <c r="J555" s="12"/>
      <c r="K555" s="91">
        <f t="array" ref="K555">MAX(IF((D555&lt;[1]Nifty_D!$B$2:$B$6600)*(E555&gt;=[1]Nifty_D!$B$2:$B$6600),[1]Nifty_D!$F$2:$F$6600,""))</f>
        <v>23622.9</v>
      </c>
      <c r="L555" s="92">
        <f t="shared" si="28"/>
        <v>2.1619167063097411E-2</v>
      </c>
      <c r="M555" s="91">
        <f t="shared" si="29"/>
        <v>11999.000000000002</v>
      </c>
      <c r="N555" s="93">
        <f t="array" ref="N555">INDEX([1]Nifty_D!$B$2:$B$6600,MATCH(E555,[1]Nifty_D!$B$2:$B$6600,0)-1)</f>
        <v>46184</v>
      </c>
      <c r="O555" s="89">
        <f>VLOOKUP(N555,[1]Nifty_D!$B$2:$F$6600,5,0)</f>
        <v>23161.599999999999</v>
      </c>
      <c r="P555" s="92">
        <f t="shared" si="30"/>
        <v>1.6693335639839102E-3</v>
      </c>
      <c r="Q555" s="12" t="s">
        <v>40</v>
      </c>
      <c r="R555" s="10">
        <v>24000</v>
      </c>
      <c r="S555" s="103">
        <f>MROUND(G555,500)</f>
        <v>23000</v>
      </c>
      <c r="T555" s="103">
        <f>S555-R555</f>
        <v>-1000</v>
      </c>
      <c r="U555" s="12" t="s">
        <v>92</v>
      </c>
      <c r="V555" s="10">
        <v>65</v>
      </c>
      <c r="W555" s="11">
        <v>900.7</v>
      </c>
      <c r="X555" s="11">
        <v>459.8</v>
      </c>
      <c r="Y555" s="13">
        <v>-2.0137999999999998</v>
      </c>
      <c r="Z555" s="13">
        <v>0.19159999999999999</v>
      </c>
      <c r="AA555" s="10">
        <v>0</v>
      </c>
      <c r="AB555" s="14">
        <v>0</v>
      </c>
      <c r="AC555" s="11">
        <v>-440.9</v>
      </c>
      <c r="AD555" s="14">
        <v>-1.9067595035246292E-2</v>
      </c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 t="s">
        <v>95</v>
      </c>
    </row>
    <row r="556" spans="1:52" ht="18" hidden="1" customHeight="1" x14ac:dyDescent="0.25">
      <c r="A556" s="4">
        <v>278</v>
      </c>
      <c r="B556" s="4">
        <v>1</v>
      </c>
      <c r="C556" s="4">
        <v>278</v>
      </c>
      <c r="D556" s="85">
        <v>46185</v>
      </c>
      <c r="E556" s="85">
        <v>46188</v>
      </c>
      <c r="F556" s="85">
        <v>46189</v>
      </c>
      <c r="G556" s="5">
        <v>23622.9</v>
      </c>
      <c r="H556" s="5">
        <v>23853.9</v>
      </c>
      <c r="I556" s="4">
        <v>231</v>
      </c>
      <c r="J556" s="6">
        <v>9.7786469908436296E-3</v>
      </c>
      <c r="K556" s="91">
        <f t="array" ref="K556">MAX(IF((D556&lt;[1]Nifty_D!$B$2:$B$6600)*(E556&gt;=[1]Nifty_D!$B$2:$B$6600),[1]Nifty_D!$F$2:$F$6600,""))</f>
        <v>23853.9</v>
      </c>
      <c r="L556" s="92">
        <f t="shared" si="28"/>
        <v>9.7786469908436313E-3</v>
      </c>
      <c r="M556" s="91">
        <f t="shared" si="29"/>
        <v>12230.000000000002</v>
      </c>
      <c r="N556" s="93">
        <f t="array" ref="N556">INDEX([1]Nifty_D!$B$2:$B$6600,MATCH(E556,[1]Nifty_D!$B$2:$B$6600,0)-1)</f>
        <v>46185</v>
      </c>
      <c r="O556" s="89">
        <f>VLOOKUP(N556,[1]Nifty_D!$B$2:$F$6600,5,0)</f>
        <v>23622.9</v>
      </c>
      <c r="P556" s="92">
        <f t="shared" si="30"/>
        <v>0</v>
      </c>
      <c r="Q556" s="7" t="s">
        <v>28</v>
      </c>
      <c r="R556" s="4">
        <v>23600</v>
      </c>
      <c r="S556" s="102"/>
      <c r="T556" s="102"/>
      <c r="U556" s="7" t="s">
        <v>90</v>
      </c>
      <c r="V556" s="4">
        <v>65</v>
      </c>
      <c r="W556" s="5">
        <v>166.5</v>
      </c>
      <c r="X556" s="5">
        <v>285.95</v>
      </c>
      <c r="Y556" s="8">
        <v>-1.0778000000000001</v>
      </c>
      <c r="Z556" s="8">
        <v>-0.36020000000000002</v>
      </c>
      <c r="AA556" s="5">
        <v>-119.45</v>
      </c>
      <c r="AB556" s="6">
        <v>-5.0565341257847261E-3</v>
      </c>
      <c r="AC556" s="4">
        <v>0</v>
      </c>
      <c r="AD556" s="6">
        <v>0</v>
      </c>
      <c r="AE556" s="5">
        <v>60768.1</v>
      </c>
      <c r="AF556" s="5">
        <v>61549.65</v>
      </c>
      <c r="AG556" s="5">
        <v>781.55</v>
      </c>
      <c r="AH556" s="5">
        <v>1.2861</v>
      </c>
      <c r="AI556" s="4">
        <v>3</v>
      </c>
      <c r="AJ556" s="5">
        <v>-0.05</v>
      </c>
      <c r="AK556" s="5">
        <v>751.16600000000005</v>
      </c>
      <c r="AL556" s="5">
        <v>1.2361</v>
      </c>
      <c r="AM556" s="8">
        <v>1.0663</v>
      </c>
      <c r="AN556" s="8">
        <v>1.7895000000000001</v>
      </c>
      <c r="AO556" s="15">
        <v>469.21600000000001</v>
      </c>
      <c r="AP556" s="15">
        <v>4.2599999999999999E-2</v>
      </c>
      <c r="AQ556" s="5">
        <v>102.46169999999999</v>
      </c>
      <c r="AR556" s="5">
        <v>104.3274</v>
      </c>
      <c r="AS556" s="5">
        <v>-1.8656999999999999</v>
      </c>
      <c r="AT556" s="5">
        <v>-1.7883</v>
      </c>
      <c r="AU556" s="8">
        <v>-0.21410000000000001</v>
      </c>
      <c r="AV556" s="8">
        <v>0.13550000000000001</v>
      </c>
      <c r="AW556" s="8">
        <v>-0.21410000000000001</v>
      </c>
      <c r="AX556" s="5">
        <v>102.19880000000001</v>
      </c>
      <c r="AY556" s="5">
        <v>-2.0402999999999998</v>
      </c>
      <c r="AZ556" s="7" t="s">
        <v>91</v>
      </c>
    </row>
    <row r="557" spans="1:52" ht="18" customHeight="1" x14ac:dyDescent="0.25">
      <c r="A557" s="10">
        <v>278</v>
      </c>
      <c r="B557" s="10">
        <v>2</v>
      </c>
      <c r="C557" s="10">
        <v>278</v>
      </c>
      <c r="D557" s="86">
        <v>46185</v>
      </c>
      <c r="E557" s="86">
        <v>46188</v>
      </c>
      <c r="F557" s="86">
        <v>46203</v>
      </c>
      <c r="G557" s="11">
        <v>23622.9</v>
      </c>
      <c r="H557" s="11">
        <v>23853.9</v>
      </c>
      <c r="I557" s="12"/>
      <c r="J557" s="12"/>
      <c r="K557" s="91">
        <f t="array" ref="K557">MAX(IF((D557&lt;[1]Nifty_D!$B$2:$B$6600)*(E557&gt;=[1]Nifty_D!$B$2:$B$6600),[1]Nifty_D!$F$2:$F$6600,""))</f>
        <v>23853.9</v>
      </c>
      <c r="L557" s="92">
        <f t="shared" si="28"/>
        <v>9.7786469908436313E-3</v>
      </c>
      <c r="M557" s="91">
        <f t="shared" si="29"/>
        <v>12230.000000000002</v>
      </c>
      <c r="N557" s="93">
        <f t="array" ref="N557">INDEX([1]Nifty_D!$B$2:$B$6600,MATCH(E557,[1]Nifty_D!$B$2:$B$6600,0)-1)</f>
        <v>46185</v>
      </c>
      <c r="O557" s="89">
        <f>VLOOKUP(N557,[1]Nifty_D!$B$2:$F$6600,5,0)</f>
        <v>23622.9</v>
      </c>
      <c r="P557" s="92">
        <f t="shared" si="30"/>
        <v>0</v>
      </c>
      <c r="Q557" s="12" t="s">
        <v>40</v>
      </c>
      <c r="R557" s="10">
        <v>24000</v>
      </c>
      <c r="S557" s="103">
        <f>MROUND(G557,500)</f>
        <v>23500</v>
      </c>
      <c r="T557" s="103">
        <f>S557-R557</f>
        <v>-500</v>
      </c>
      <c r="U557" s="12" t="s">
        <v>92</v>
      </c>
      <c r="V557" s="10">
        <v>65</v>
      </c>
      <c r="W557" s="11">
        <v>459.8</v>
      </c>
      <c r="X557" s="11">
        <v>297.3</v>
      </c>
      <c r="Y557" s="13">
        <v>-0.92579999999999996</v>
      </c>
      <c r="Z557" s="13">
        <v>-0.5706</v>
      </c>
      <c r="AA557" s="10">
        <v>0</v>
      </c>
      <c r="AB557" s="14">
        <v>0</v>
      </c>
      <c r="AC557" s="11">
        <v>-162.5</v>
      </c>
      <c r="AD557" s="14">
        <v>-6.8789183377146752E-3</v>
      </c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 t="s">
        <v>91</v>
      </c>
    </row>
    <row r="558" spans="1:52" ht="18" hidden="1" customHeight="1" x14ac:dyDescent="0.25">
      <c r="A558" s="4">
        <v>279</v>
      </c>
      <c r="B558" s="4">
        <v>1</v>
      </c>
      <c r="C558" s="4">
        <v>279</v>
      </c>
      <c r="D558" s="85">
        <v>46188</v>
      </c>
      <c r="E558" s="85">
        <v>46191</v>
      </c>
      <c r="F558" s="85">
        <v>46196</v>
      </c>
      <c r="G558" s="5">
        <v>23853.9</v>
      </c>
      <c r="H558" s="4">
        <v>24168</v>
      </c>
      <c r="I558" s="5">
        <v>314.10000000000002</v>
      </c>
      <c r="J558" s="6">
        <v>1.316765811879818E-2</v>
      </c>
      <c r="K558" s="91">
        <f t="array" ref="K558">MAX(IF((D558&lt;[1]Nifty_D!$B$2:$B$6600)*(E558&gt;=[1]Nifty_D!$B$2:$B$6600),[1]Nifty_D!$F$2:$F$6600,""))</f>
        <v>24168</v>
      </c>
      <c r="L558" s="92">
        <f t="shared" si="28"/>
        <v>1.3167658118798053E-2</v>
      </c>
      <c r="M558" s="91">
        <f t="shared" si="29"/>
        <v>12544.1</v>
      </c>
      <c r="N558" s="93">
        <f t="array" ref="N558">INDEX([1]Nifty_D!$B$2:$B$6600,MATCH(E558,[1]Nifty_D!$B$2:$B$6600,0)-1)</f>
        <v>46190</v>
      </c>
      <c r="O558" s="89">
        <f>VLOOKUP(N558,[1]Nifty_D!$B$2:$F$6600,5,0)</f>
        <v>24085.7</v>
      </c>
      <c r="P558" s="92">
        <f t="shared" si="30"/>
        <v>9.7174885448501058E-3</v>
      </c>
      <c r="Q558" s="7" t="s">
        <v>28</v>
      </c>
      <c r="R558" s="4">
        <v>23900</v>
      </c>
      <c r="S558" s="102"/>
      <c r="T558" s="102"/>
      <c r="U558" s="7" t="s">
        <v>90</v>
      </c>
      <c r="V558" s="4">
        <v>65</v>
      </c>
      <c r="W558" s="5">
        <v>193.5</v>
      </c>
      <c r="X558" s="5">
        <v>295.60000000000002</v>
      </c>
      <c r="Y558" s="8">
        <v>-0.51819999999999999</v>
      </c>
      <c r="Z558" s="8">
        <v>0.1067</v>
      </c>
      <c r="AA558" s="5">
        <v>-102.1</v>
      </c>
      <c r="AB558" s="6">
        <v>-4.2802225212648657E-3</v>
      </c>
      <c r="AC558" s="4">
        <v>0</v>
      </c>
      <c r="AD558" s="6">
        <v>0</v>
      </c>
      <c r="AE558" s="5">
        <v>61549.65</v>
      </c>
      <c r="AF558" s="5">
        <v>62379.25</v>
      </c>
      <c r="AG558" s="5">
        <v>829.6</v>
      </c>
      <c r="AH558" s="5">
        <v>1.3479000000000001</v>
      </c>
      <c r="AI558" s="4">
        <v>3</v>
      </c>
      <c r="AJ558" s="5">
        <v>-0.05</v>
      </c>
      <c r="AK558" s="5">
        <v>798.8252</v>
      </c>
      <c r="AL558" s="5">
        <v>1.2979000000000001</v>
      </c>
      <c r="AM558" s="8">
        <v>-0.2465</v>
      </c>
      <c r="AN558" s="8">
        <v>1.3665</v>
      </c>
      <c r="AO558" s="15">
        <v>510.42520000000002</v>
      </c>
      <c r="AP558" s="15">
        <v>8.8900000000000007E-2</v>
      </c>
      <c r="AQ558" s="5">
        <v>102.5528</v>
      </c>
      <c r="AR558" s="5">
        <v>104.3274</v>
      </c>
      <c r="AS558" s="5">
        <v>-1.7746</v>
      </c>
      <c r="AT558" s="5">
        <v>-1.7010000000000001</v>
      </c>
      <c r="AU558" s="8">
        <v>4.1099999999999998E-2</v>
      </c>
      <c r="AV558" s="8">
        <v>-0.22220000000000001</v>
      </c>
      <c r="AW558" s="8">
        <v>-0.22220000000000001</v>
      </c>
      <c r="AX558" s="5">
        <v>102.2341</v>
      </c>
      <c r="AY558" s="5">
        <v>-2.0065</v>
      </c>
      <c r="AZ558" s="7" t="s">
        <v>95</v>
      </c>
    </row>
    <row r="559" spans="1:52" ht="18" customHeight="1" x14ac:dyDescent="0.25">
      <c r="A559" s="10">
        <v>279</v>
      </c>
      <c r="B559" s="10">
        <v>2</v>
      </c>
      <c r="C559" s="10">
        <v>279</v>
      </c>
      <c r="D559" s="86">
        <v>46188</v>
      </c>
      <c r="E559" s="86">
        <v>46191</v>
      </c>
      <c r="F559" s="86">
        <v>46203</v>
      </c>
      <c r="G559" s="11">
        <v>23853.9</v>
      </c>
      <c r="H559" s="10">
        <v>24168</v>
      </c>
      <c r="I559" s="12"/>
      <c r="J559" s="12"/>
      <c r="K559" s="91">
        <f t="array" ref="K559">MAX(IF((D559&lt;[1]Nifty_D!$B$2:$B$6600)*(E559&gt;=[1]Nifty_D!$B$2:$B$6600),[1]Nifty_D!$F$2:$F$6600,""))</f>
        <v>24168</v>
      </c>
      <c r="L559" s="92">
        <f t="shared" si="28"/>
        <v>1.3167658118798053E-2</v>
      </c>
      <c r="M559" s="91">
        <f t="shared" si="29"/>
        <v>12544.1</v>
      </c>
      <c r="N559" s="93">
        <f t="array" ref="N559">INDEX([1]Nifty_D!$B$2:$B$6600,MATCH(E559,[1]Nifty_D!$B$2:$B$6600,0)-1)</f>
        <v>46190</v>
      </c>
      <c r="O559" s="89">
        <f>VLOOKUP(N559,[1]Nifty_D!$B$2:$F$6600,5,0)</f>
        <v>24085.7</v>
      </c>
      <c r="P559" s="92">
        <f t="shared" si="30"/>
        <v>9.7174885448501058E-3</v>
      </c>
      <c r="Q559" s="12" t="s">
        <v>40</v>
      </c>
      <c r="R559" s="10">
        <v>24000</v>
      </c>
      <c r="S559" s="103">
        <f>MROUND(G559,500)</f>
        <v>24000</v>
      </c>
      <c r="T559" s="103">
        <f>S559-R559</f>
        <v>0</v>
      </c>
      <c r="U559" s="12" t="s">
        <v>92</v>
      </c>
      <c r="V559" s="10">
        <v>65</v>
      </c>
      <c r="W559" s="11">
        <v>297.3</v>
      </c>
      <c r="X559" s="10">
        <v>111</v>
      </c>
      <c r="Y559" s="13">
        <v>-0.80720000000000003</v>
      </c>
      <c r="Z559" s="13">
        <v>-8.2400000000000001E-2</v>
      </c>
      <c r="AA559" s="10">
        <v>0</v>
      </c>
      <c r="AB559" s="14">
        <v>0</v>
      </c>
      <c r="AC559" s="11">
        <v>-186.3</v>
      </c>
      <c r="AD559" s="14">
        <v>-7.8100436406625326E-3</v>
      </c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 t="s">
        <v>95</v>
      </c>
    </row>
    <row r="560" spans="1:52" ht="18" hidden="1" customHeight="1" x14ac:dyDescent="0.25">
      <c r="A560" s="4">
        <v>280</v>
      </c>
      <c r="B560" s="4">
        <v>1</v>
      </c>
      <c r="C560" s="4">
        <v>280</v>
      </c>
      <c r="D560" s="85">
        <v>46191</v>
      </c>
      <c r="E560" s="85">
        <v>46195</v>
      </c>
      <c r="F560" s="85">
        <v>46196</v>
      </c>
      <c r="G560" s="4">
        <v>24168</v>
      </c>
      <c r="H560" s="5">
        <v>24102.9</v>
      </c>
      <c r="I560" s="5">
        <v>-65.099999999999994</v>
      </c>
      <c r="J560" s="6">
        <v>-2.6936444885799402E-3</v>
      </c>
      <c r="K560" s="91">
        <f t="array" ref="K560">MAX(IF((D560&lt;[1]Nifty_D!$B$2:$B$6600)*(E560&gt;=[1]Nifty_D!$B$2:$B$6600),[1]Nifty_D!$F$2:$F$6600,""))</f>
        <v>24102.9</v>
      </c>
      <c r="L560" s="92">
        <f t="shared" si="28"/>
        <v>-2.6936444885798938E-3</v>
      </c>
      <c r="M560" s="91">
        <f t="shared" si="29"/>
        <v>12479.000000000002</v>
      </c>
      <c r="N560" s="93">
        <f t="array" ref="N560">INDEX([1]Nifty_D!$B$2:$B$6600,MATCH(E560,[1]Nifty_D!$B$2:$B$6600,0)-1)</f>
        <v>46192</v>
      </c>
      <c r="O560" s="89">
        <f>VLOOKUP(N560,[1]Nifty_D!$B$2:$F$6600,5,0)</f>
        <v>24013.1</v>
      </c>
      <c r="P560" s="92">
        <f t="shared" si="30"/>
        <v>-6.4093015557763477E-3</v>
      </c>
      <c r="Q560" s="7" t="s">
        <v>28</v>
      </c>
      <c r="R560" s="4">
        <v>24200</v>
      </c>
      <c r="S560" s="102"/>
      <c r="T560" s="102"/>
      <c r="U560" s="7" t="s">
        <v>90</v>
      </c>
      <c r="V560" s="4">
        <v>65</v>
      </c>
      <c r="W560" s="5">
        <v>100.9</v>
      </c>
      <c r="X560" s="5">
        <v>30.65</v>
      </c>
      <c r="Y560" s="8">
        <v>0.161</v>
      </c>
      <c r="Z560" s="8">
        <v>0.32029999999999997</v>
      </c>
      <c r="AA560" s="5">
        <v>70.25</v>
      </c>
      <c r="AB560" s="6">
        <v>2.906736180072823E-3</v>
      </c>
      <c r="AC560" s="4">
        <v>0</v>
      </c>
      <c r="AD560" s="6">
        <v>0</v>
      </c>
      <c r="AE560" s="5">
        <v>62379.25</v>
      </c>
      <c r="AF560" s="5">
        <v>62729.1</v>
      </c>
      <c r="AG560" s="5">
        <v>349.85</v>
      </c>
      <c r="AH560" s="5">
        <v>0.56079999999999997</v>
      </c>
      <c r="AI560" s="4">
        <v>4</v>
      </c>
      <c r="AJ560" s="5">
        <v>-6.6667000000000004E-2</v>
      </c>
      <c r="AK560" s="5">
        <v>308.2638</v>
      </c>
      <c r="AL560" s="5">
        <v>0.49419999999999997</v>
      </c>
      <c r="AM560" s="8">
        <v>-0.70909999999999995</v>
      </c>
      <c r="AN560" s="8">
        <v>0.72850000000000004</v>
      </c>
      <c r="AO560" s="15">
        <v>370.41379999999998</v>
      </c>
      <c r="AP560" s="15">
        <v>0.75139999999999996</v>
      </c>
      <c r="AQ560" s="5">
        <v>103.32340000000001</v>
      </c>
      <c r="AR560" s="5">
        <v>104.3274</v>
      </c>
      <c r="AS560" s="5">
        <v>-1.004</v>
      </c>
      <c r="AT560" s="5">
        <v>-0.96240000000000003</v>
      </c>
      <c r="AU560" s="8">
        <v>0.80379999999999996</v>
      </c>
      <c r="AV560" s="8">
        <v>9.9400000000000002E-2</v>
      </c>
      <c r="AW560" s="8">
        <v>9.9400000000000002E-2</v>
      </c>
      <c r="AX560" s="5">
        <v>102.65479999999999</v>
      </c>
      <c r="AY560" s="5">
        <v>-1.6032999999999999</v>
      </c>
      <c r="AZ560" s="7" t="s">
        <v>91</v>
      </c>
    </row>
    <row r="561" spans="1:52" ht="18" customHeight="1" x14ac:dyDescent="0.25">
      <c r="A561" s="10">
        <v>280</v>
      </c>
      <c r="B561" s="10">
        <v>2</v>
      </c>
      <c r="C561" s="10">
        <v>280</v>
      </c>
      <c r="D561" s="86">
        <v>46191</v>
      </c>
      <c r="E561" s="86">
        <v>46195</v>
      </c>
      <c r="F561" s="86">
        <v>46203</v>
      </c>
      <c r="G561" s="10">
        <v>24168</v>
      </c>
      <c r="H561" s="11">
        <v>24102.9</v>
      </c>
      <c r="I561" s="12"/>
      <c r="J561" s="12"/>
      <c r="K561" s="91">
        <f t="array" ref="K561">MAX(IF((D561&lt;[1]Nifty_D!$B$2:$B$6600)*(E561&gt;=[1]Nifty_D!$B$2:$B$6600),[1]Nifty_D!$F$2:$F$6600,""))</f>
        <v>24102.9</v>
      </c>
      <c r="L561" s="92">
        <f t="shared" si="28"/>
        <v>-2.6936444885798938E-3</v>
      </c>
      <c r="M561" s="91">
        <f t="shared" si="29"/>
        <v>12479.000000000002</v>
      </c>
      <c r="N561" s="93">
        <f t="array" ref="N561">INDEX([1]Nifty_D!$B$2:$B$6600,MATCH(E561,[1]Nifty_D!$B$2:$B$6600,0)-1)</f>
        <v>46192</v>
      </c>
      <c r="O561" s="89">
        <f>VLOOKUP(N561,[1]Nifty_D!$B$2:$F$6600,5,0)</f>
        <v>24013.1</v>
      </c>
      <c r="P561" s="92">
        <f t="shared" si="30"/>
        <v>-6.4093015557763477E-3</v>
      </c>
      <c r="Q561" s="12" t="s">
        <v>40</v>
      </c>
      <c r="R561" s="10">
        <v>24000</v>
      </c>
      <c r="S561" s="103">
        <f>MROUND(G561,500)</f>
        <v>24000</v>
      </c>
      <c r="T561" s="103">
        <f>S561-R561</f>
        <v>0</v>
      </c>
      <c r="U561" s="12" t="s">
        <v>92</v>
      </c>
      <c r="V561" s="10">
        <v>65</v>
      </c>
      <c r="W561" s="10">
        <v>111</v>
      </c>
      <c r="X561" s="11">
        <v>102.9</v>
      </c>
      <c r="Y561" s="13">
        <v>-8.5699999999999998E-2</v>
      </c>
      <c r="Z561" s="13">
        <v>0.48820000000000002</v>
      </c>
      <c r="AA561" s="10">
        <v>0</v>
      </c>
      <c r="AB561" s="14">
        <v>0</v>
      </c>
      <c r="AC561" s="11">
        <v>-8.1</v>
      </c>
      <c r="AD561" s="14">
        <v>-3.3515392254220461E-4</v>
      </c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 t="s">
        <v>91</v>
      </c>
    </row>
    <row r="562" spans="1:52" ht="18" hidden="1" customHeight="1" x14ac:dyDescent="0.25">
      <c r="A562" s="4">
        <v>281</v>
      </c>
      <c r="B562" s="4">
        <v>1</v>
      </c>
      <c r="C562" s="4">
        <v>281</v>
      </c>
      <c r="D562" s="85">
        <v>46195</v>
      </c>
      <c r="E562" s="85">
        <v>46202</v>
      </c>
      <c r="F562" s="85">
        <v>46203</v>
      </c>
      <c r="G562" s="5">
        <v>24102.9</v>
      </c>
      <c r="H562" s="5">
        <v>23946.25</v>
      </c>
      <c r="I562" s="5">
        <v>-156.65</v>
      </c>
      <c r="J562" s="6">
        <v>-6.4992179364308858E-3</v>
      </c>
      <c r="K562" s="91">
        <f t="array" ref="K562">MAX(IF((D562&lt;[1]Nifty_D!$B$2:$B$6600)*(E562&gt;=[1]Nifty_D!$B$2:$B$6600),[1]Nifty_D!$F$2:$F$6600,""))</f>
        <v>24056</v>
      </c>
      <c r="L562" s="92">
        <f t="shared" si="28"/>
        <v>-1.9458239464961169E-3</v>
      </c>
      <c r="M562" s="91">
        <f t="shared" si="29"/>
        <v>12432.1</v>
      </c>
      <c r="N562" s="93">
        <f t="array" ref="N562">INDEX([1]Nifty_D!$B$2:$B$6600,MATCH(E562,[1]Nifty_D!$B$2:$B$6600,0)-1)</f>
        <v>46198</v>
      </c>
      <c r="O562" s="89">
        <f>VLOOKUP(N562,[1]Nifty_D!$B$2:$F$6600,5,0)</f>
        <v>24056</v>
      </c>
      <c r="P562" s="92">
        <f t="shared" si="30"/>
        <v>-1.9458239464961169E-3</v>
      </c>
      <c r="Q562" s="7" t="s">
        <v>28</v>
      </c>
      <c r="R562" s="4">
        <v>24100</v>
      </c>
      <c r="S562" s="102"/>
      <c r="T562" s="102"/>
      <c r="U562" s="7" t="s">
        <v>90</v>
      </c>
      <c r="V562" s="4">
        <v>65</v>
      </c>
      <c r="W562" s="5">
        <v>171.35</v>
      </c>
      <c r="X562" s="5">
        <v>32.35</v>
      </c>
      <c r="Y562" s="8">
        <v>-0.26279999999999998</v>
      </c>
      <c r="Z562" s="8">
        <v>0.60429999999999995</v>
      </c>
      <c r="AA562" s="4">
        <v>139</v>
      </c>
      <c r="AB562" s="6">
        <v>5.76694090752565E-3</v>
      </c>
      <c r="AC562" s="4">
        <v>0</v>
      </c>
      <c r="AD562" s="6">
        <v>0</v>
      </c>
      <c r="AE562" s="5">
        <v>62729.1</v>
      </c>
      <c r="AF562" s="5">
        <v>61567.3</v>
      </c>
      <c r="AG562" s="5">
        <v>-1161.8</v>
      </c>
      <c r="AH562" s="5">
        <v>-1.8521000000000001</v>
      </c>
      <c r="AI562" s="4">
        <v>7</v>
      </c>
      <c r="AJ562" s="5">
        <v>-0.11666700000000001</v>
      </c>
      <c r="AK562" s="5">
        <v>-1234.9838999999999</v>
      </c>
      <c r="AL562" s="5">
        <v>-1.9688000000000001</v>
      </c>
      <c r="AM562" s="8">
        <v>-2.5533999999999999</v>
      </c>
      <c r="AN562" s="8">
        <v>0.27100000000000002</v>
      </c>
      <c r="AO562" s="9">
        <v>-1102.4339</v>
      </c>
      <c r="AP562" s="9">
        <v>-1.4189000000000001</v>
      </c>
      <c r="AQ562" s="5">
        <v>101.8574</v>
      </c>
      <c r="AR562" s="5">
        <v>104.3274</v>
      </c>
      <c r="AS562" s="5">
        <v>-2.4701</v>
      </c>
      <c r="AT562" s="5">
        <v>-2.3675999999999999</v>
      </c>
      <c r="AU562" s="8">
        <v>-0.26519999999999999</v>
      </c>
      <c r="AV562" s="8">
        <v>-1.2035</v>
      </c>
      <c r="AW562" s="8">
        <v>-1.4189000000000001</v>
      </c>
      <c r="AX562" s="5">
        <v>101.8574</v>
      </c>
      <c r="AY562" s="5">
        <v>-2.3675999999999999</v>
      </c>
      <c r="AZ562" s="7" t="s">
        <v>94</v>
      </c>
    </row>
    <row r="563" spans="1:52" ht="18" customHeight="1" x14ac:dyDescent="0.25">
      <c r="A563" s="10">
        <v>281</v>
      </c>
      <c r="B563" s="10">
        <v>2</v>
      </c>
      <c r="C563" s="10">
        <v>281</v>
      </c>
      <c r="D563" s="86">
        <v>46195</v>
      </c>
      <c r="E563" s="86">
        <v>46202</v>
      </c>
      <c r="F563" s="86">
        <v>46203</v>
      </c>
      <c r="G563" s="11">
        <v>24102.9</v>
      </c>
      <c r="H563" s="11">
        <v>23946.25</v>
      </c>
      <c r="I563" s="12"/>
      <c r="J563" s="12"/>
      <c r="K563" s="91">
        <f t="array" ref="K563">MAX(IF((D563&lt;[1]Nifty_D!$B$2:$B$6600)*(E563&gt;=[1]Nifty_D!$B$2:$B$6600),[1]Nifty_D!$F$2:$F$6600,""))</f>
        <v>24056</v>
      </c>
      <c r="L563" s="92">
        <f t="shared" si="28"/>
        <v>-1.9458239464961169E-3</v>
      </c>
      <c r="M563" s="91">
        <f t="shared" si="29"/>
        <v>12432.1</v>
      </c>
      <c r="N563" s="93">
        <f t="array" ref="N563">INDEX([1]Nifty_D!$B$2:$B$6600,MATCH(E563,[1]Nifty_D!$B$2:$B$6600,0)-1)</f>
        <v>46198</v>
      </c>
      <c r="O563" s="89">
        <f>VLOOKUP(N563,[1]Nifty_D!$B$2:$F$6600,5,0)</f>
        <v>24056</v>
      </c>
      <c r="P563" s="92">
        <f t="shared" si="30"/>
        <v>-1.9458239464961169E-3</v>
      </c>
      <c r="Q563" s="12" t="s">
        <v>40</v>
      </c>
      <c r="R563" s="10">
        <v>24000</v>
      </c>
      <c r="S563" s="103">
        <f>MROUND(G563,500)</f>
        <v>24000</v>
      </c>
      <c r="T563" s="103">
        <f>S563-R563</f>
        <v>0</v>
      </c>
      <c r="U563" s="12" t="s">
        <v>92</v>
      </c>
      <c r="V563" s="10">
        <v>65</v>
      </c>
      <c r="W563" s="11">
        <v>102.9</v>
      </c>
      <c r="X563" s="11">
        <v>96.45</v>
      </c>
      <c r="Y563" s="13">
        <v>-0.27339999999999998</v>
      </c>
      <c r="Z563" s="13">
        <v>0.74560000000000004</v>
      </c>
      <c r="AA563" s="10">
        <v>0</v>
      </c>
      <c r="AB563" s="14">
        <v>0</v>
      </c>
      <c r="AC563" s="11">
        <v>-6.45</v>
      </c>
      <c r="AD563" s="14">
        <v>-2.6760265362259309E-4</v>
      </c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 t="s">
        <v>94</v>
      </c>
    </row>
  </sheetData>
  <autoFilter ref="A1:AZ563">
    <filterColumn colId="16">
      <filters>
        <filter val="P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75" t="s">
        <v>100</v>
      </c>
      <c r="B1" s="68"/>
      <c r="C1" s="68"/>
      <c r="D1" s="68"/>
      <c r="E1" s="68"/>
    </row>
    <row r="2" spans="1:5" ht="15.95" customHeight="1" x14ac:dyDescent="0.25">
      <c r="A2" s="71" t="s">
        <v>101</v>
      </c>
      <c r="B2" s="68"/>
      <c r="C2" s="68"/>
      <c r="D2" s="68"/>
      <c r="E2" s="68"/>
    </row>
    <row r="4" spans="1:5" ht="20.100000000000001" customHeight="1" x14ac:dyDescent="0.25">
      <c r="A4" s="67" t="s">
        <v>102</v>
      </c>
      <c r="B4" s="68"/>
      <c r="C4" s="68"/>
      <c r="D4" s="68"/>
      <c r="E4" s="68"/>
    </row>
    <row r="5" spans="1:5" ht="18" customHeight="1" x14ac:dyDescent="0.25">
      <c r="A5" s="1" t="s">
        <v>103</v>
      </c>
      <c r="B5" s="16" t="s">
        <v>104</v>
      </c>
      <c r="D5" s="1" t="s">
        <v>105</v>
      </c>
      <c r="E5" s="17">
        <v>281</v>
      </c>
    </row>
    <row r="6" spans="1:5" ht="18" customHeight="1" x14ac:dyDescent="0.25">
      <c r="A6" s="18" t="s">
        <v>106</v>
      </c>
      <c r="B6" s="19" t="s">
        <v>107</v>
      </c>
      <c r="D6" s="18" t="s">
        <v>108</v>
      </c>
      <c r="E6" s="20" t="s">
        <v>109</v>
      </c>
    </row>
    <row r="7" spans="1:5" ht="18" customHeight="1" x14ac:dyDescent="0.25">
      <c r="A7" s="1" t="s">
        <v>110</v>
      </c>
      <c r="B7" s="16" t="s">
        <v>111</v>
      </c>
      <c r="D7" s="1" t="s">
        <v>112</v>
      </c>
      <c r="E7" s="21" t="s">
        <v>113</v>
      </c>
    </row>
    <row r="8" spans="1:5" ht="18" customHeight="1" x14ac:dyDescent="0.25">
      <c r="A8" s="18" t="s">
        <v>114</v>
      </c>
      <c r="B8" s="19" t="s">
        <v>115</v>
      </c>
      <c r="D8" s="18" t="s">
        <v>116</v>
      </c>
      <c r="E8" s="19" t="s">
        <v>117</v>
      </c>
    </row>
    <row r="9" spans="1:5" ht="18" customHeight="1" x14ac:dyDescent="0.25">
      <c r="A9" s="1" t="s">
        <v>118</v>
      </c>
      <c r="B9" s="16" t="s">
        <v>119</v>
      </c>
    </row>
    <row r="10" spans="1:5" ht="18" customHeight="1" x14ac:dyDescent="0.25">
      <c r="A10" s="1" t="s">
        <v>120</v>
      </c>
      <c r="B10" s="16" t="s">
        <v>121</v>
      </c>
      <c r="D10" s="1" t="s">
        <v>122</v>
      </c>
      <c r="E10" s="21" t="s">
        <v>123</v>
      </c>
    </row>
    <row r="11" spans="1:5" ht="18" customHeight="1" x14ac:dyDescent="0.25">
      <c r="A11" s="18" t="s">
        <v>124</v>
      </c>
      <c r="B11" s="19" t="s">
        <v>125</v>
      </c>
      <c r="D11" s="18" t="s">
        <v>126</v>
      </c>
      <c r="E11" s="19" t="s">
        <v>127</v>
      </c>
    </row>
    <row r="13" spans="1:5" ht="20.100000000000001" customHeight="1" x14ac:dyDescent="0.25">
      <c r="A13" s="3" t="s">
        <v>56</v>
      </c>
      <c r="B13" s="3" t="s">
        <v>128</v>
      </c>
      <c r="C13" s="3" t="s">
        <v>129</v>
      </c>
      <c r="D13" s="72" t="s">
        <v>130</v>
      </c>
      <c r="E13" s="68"/>
    </row>
    <row r="14" spans="1:5" ht="18" customHeight="1" x14ac:dyDescent="0.25">
      <c r="A14" s="1" t="s">
        <v>54</v>
      </c>
      <c r="B14" s="16" t="s">
        <v>131</v>
      </c>
      <c r="C14" s="16" t="s">
        <v>132</v>
      </c>
      <c r="D14" s="74">
        <v>1.8736088055148941</v>
      </c>
      <c r="E14" s="68"/>
    </row>
    <row r="15" spans="1:5" ht="18" customHeight="1" x14ac:dyDescent="0.25">
      <c r="A15" s="1" t="s">
        <v>64</v>
      </c>
      <c r="B15" s="16" t="s">
        <v>133</v>
      </c>
      <c r="C15" s="16" t="s">
        <v>134</v>
      </c>
    </row>
    <row r="16" spans="1:5" ht="18" customHeight="1" x14ac:dyDescent="0.25">
      <c r="A16" s="1" t="s">
        <v>66</v>
      </c>
      <c r="B16" s="21" t="s">
        <v>135</v>
      </c>
      <c r="C16" s="21" t="s">
        <v>136</v>
      </c>
    </row>
    <row r="17" spans="1:16" ht="18" customHeight="1" x14ac:dyDescent="0.25">
      <c r="A17" s="1" t="s">
        <v>137</v>
      </c>
      <c r="B17" s="16" t="s">
        <v>138</v>
      </c>
      <c r="C17" s="16" t="s">
        <v>139</v>
      </c>
    </row>
    <row r="18" spans="1:16" ht="18" customHeight="1" x14ac:dyDescent="0.25">
      <c r="A18" s="1" t="s">
        <v>140</v>
      </c>
      <c r="B18" s="16" t="s">
        <v>141</v>
      </c>
      <c r="C18" s="16" t="s">
        <v>142</v>
      </c>
    </row>
    <row r="19" spans="1:16" ht="18" customHeight="1" x14ac:dyDescent="0.25">
      <c r="A19" s="1" t="s">
        <v>143</v>
      </c>
      <c r="B19" s="16" t="s">
        <v>144</v>
      </c>
      <c r="C19" s="16" t="s">
        <v>104</v>
      </c>
    </row>
    <row r="20" spans="1:16" ht="18" customHeight="1" x14ac:dyDescent="0.25">
      <c r="A20" s="1" t="s">
        <v>145</v>
      </c>
      <c r="B20" s="16" t="s">
        <v>144</v>
      </c>
      <c r="C20" s="16" t="s">
        <v>104</v>
      </c>
    </row>
    <row r="22" spans="1:16" ht="20.100000000000001" customHeight="1" x14ac:dyDescent="0.25">
      <c r="A22" s="67" t="s">
        <v>146</v>
      </c>
      <c r="B22" s="68"/>
      <c r="C22" s="68"/>
      <c r="D22" s="68"/>
      <c r="E22" s="68"/>
    </row>
    <row r="23" spans="1:16" ht="18" customHeight="1" x14ac:dyDescent="0.25">
      <c r="A23" s="1" t="s">
        <v>147</v>
      </c>
      <c r="B23" s="21" t="s">
        <v>148</v>
      </c>
      <c r="D23" s="1" t="s">
        <v>149</v>
      </c>
      <c r="E23" s="21" t="s">
        <v>150</v>
      </c>
    </row>
    <row r="24" spans="1:16" ht="18" customHeight="1" x14ac:dyDescent="0.25">
      <c r="A24" s="70" t="s">
        <v>151</v>
      </c>
      <c r="B24" s="68"/>
      <c r="C24" s="68"/>
      <c r="D24" s="68"/>
      <c r="E24" s="68"/>
    </row>
    <row r="25" spans="1:16" ht="18" customHeight="1" x14ac:dyDescent="0.25">
      <c r="A25" s="18" t="s">
        <v>152</v>
      </c>
      <c r="B25" s="19" t="s">
        <v>153</v>
      </c>
    </row>
    <row r="27" spans="1:16" ht="20.100000000000001" customHeight="1" x14ac:dyDescent="0.25">
      <c r="A27" s="67" t="s">
        <v>154</v>
      </c>
      <c r="B27" s="68"/>
      <c r="C27" s="68"/>
      <c r="D27" s="68"/>
      <c r="E27" s="68"/>
    </row>
    <row r="28" spans="1:16" ht="18" customHeight="1" x14ac:dyDescent="0.25">
      <c r="A28" s="1" t="s">
        <v>155</v>
      </c>
      <c r="B28" s="16" t="s">
        <v>156</v>
      </c>
      <c r="D28" s="1" t="s">
        <v>157</v>
      </c>
      <c r="E28" s="21" t="s">
        <v>158</v>
      </c>
    </row>
    <row r="30" spans="1:16" ht="20.100000000000001" customHeight="1" x14ac:dyDescent="0.25">
      <c r="A30" s="67" t="s">
        <v>159</v>
      </c>
      <c r="B30" s="68"/>
      <c r="C30" s="68"/>
      <c r="D30" s="68"/>
      <c r="E30" s="68"/>
    </row>
    <row r="31" spans="1:16" ht="20.100000000000001" customHeight="1" x14ac:dyDescent="0.25">
      <c r="A31" s="3" t="s">
        <v>160</v>
      </c>
      <c r="B31" s="3" t="s">
        <v>161</v>
      </c>
      <c r="C31" s="3" t="s">
        <v>162</v>
      </c>
      <c r="D31" s="3" t="s">
        <v>163</v>
      </c>
      <c r="E31" s="3" t="s">
        <v>164</v>
      </c>
      <c r="F31" s="3" t="s">
        <v>165</v>
      </c>
      <c r="G31" s="3" t="s">
        <v>166</v>
      </c>
      <c r="H31" s="3" t="s">
        <v>167</v>
      </c>
      <c r="I31" s="3" t="s">
        <v>168</v>
      </c>
      <c r="J31" s="3" t="s">
        <v>169</v>
      </c>
      <c r="K31" s="3" t="s">
        <v>170</v>
      </c>
      <c r="L31" s="3" t="s">
        <v>171</v>
      </c>
      <c r="M31" s="3" t="s">
        <v>172</v>
      </c>
      <c r="N31" s="3" t="s">
        <v>173</v>
      </c>
      <c r="O31" s="3" t="s">
        <v>174</v>
      </c>
      <c r="P31" s="3" t="s">
        <v>175</v>
      </c>
    </row>
    <row r="32" spans="1:16" ht="18" customHeight="1" x14ac:dyDescent="0.25">
      <c r="A32" s="23" t="s">
        <v>176</v>
      </c>
      <c r="B32" s="24">
        <v>0</v>
      </c>
      <c r="C32" s="24">
        <v>0</v>
      </c>
      <c r="D32" s="24">
        <v>0</v>
      </c>
      <c r="E32" s="22">
        <v>-716.93</v>
      </c>
      <c r="F32" s="22">
        <v>-196.68</v>
      </c>
      <c r="G32" s="24">
        <v>0</v>
      </c>
      <c r="H32" s="24">
        <v>0</v>
      </c>
      <c r="I32" s="24">
        <v>0</v>
      </c>
      <c r="J32" s="24">
        <v>0</v>
      </c>
      <c r="K32" s="25">
        <v>243.68</v>
      </c>
      <c r="L32" s="25">
        <v>70.53</v>
      </c>
      <c r="M32" s="22">
        <v>-316.69</v>
      </c>
      <c r="N32" s="22">
        <v>-916.08</v>
      </c>
      <c r="O32" s="26">
        <v>-4.8297999999999996</v>
      </c>
      <c r="P32" s="24">
        <v>-0.71</v>
      </c>
    </row>
    <row r="33" spans="1:16" ht="18" customHeight="1" x14ac:dyDescent="0.25">
      <c r="A33" s="23" t="s">
        <v>177</v>
      </c>
      <c r="B33" s="25">
        <v>1550.38</v>
      </c>
      <c r="C33" s="22">
        <v>-724.68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5">
        <v>825.7</v>
      </c>
      <c r="O33" s="28">
        <v>-1.6839</v>
      </c>
      <c r="P33" s="27">
        <v>1.1399999999999999</v>
      </c>
    </row>
    <row r="34" spans="1:16" ht="18" customHeight="1" x14ac:dyDescent="0.25">
      <c r="A34" s="23" t="s">
        <v>178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5">
        <v>1302.68</v>
      </c>
      <c r="J34" s="22">
        <v>-98.49</v>
      </c>
      <c r="K34" s="22">
        <v>-297.02</v>
      </c>
      <c r="L34" s="22">
        <v>-18.989999999999998</v>
      </c>
      <c r="M34" s="22">
        <v>-708.85</v>
      </c>
      <c r="N34" s="25">
        <v>179.33</v>
      </c>
      <c r="O34" s="26">
        <v>-5.8886000000000003</v>
      </c>
      <c r="P34" s="24">
        <v>0.11</v>
      </c>
    </row>
    <row r="35" spans="1:16" ht="18" customHeight="1" x14ac:dyDescent="0.25">
      <c r="A35" s="23" t="s">
        <v>179</v>
      </c>
      <c r="B35" s="27">
        <v>0</v>
      </c>
      <c r="C35" s="27">
        <v>0</v>
      </c>
      <c r="D35" s="27">
        <v>0</v>
      </c>
      <c r="E35" s="27">
        <v>0</v>
      </c>
      <c r="F35" s="25">
        <v>1468.9</v>
      </c>
      <c r="G35" s="25">
        <v>1347.09</v>
      </c>
      <c r="H35" s="25">
        <v>701.85</v>
      </c>
      <c r="I35" s="25">
        <v>2568.86</v>
      </c>
      <c r="J35" s="25">
        <v>1070.33</v>
      </c>
      <c r="K35" s="22">
        <v>-1839.46</v>
      </c>
      <c r="L35" s="25">
        <v>2999.11</v>
      </c>
      <c r="M35" s="25">
        <v>1255.03</v>
      </c>
      <c r="N35" s="25">
        <v>9571.7199999999993</v>
      </c>
      <c r="O35" s="28">
        <v>-3.8613</v>
      </c>
      <c r="P35" s="27">
        <v>4.45</v>
      </c>
    </row>
    <row r="36" spans="1:16" ht="18" customHeight="1" x14ac:dyDescent="0.25">
      <c r="A36" s="23" t="s">
        <v>180</v>
      </c>
      <c r="B36" s="25">
        <v>3106.2</v>
      </c>
      <c r="C36" s="22">
        <v>-630.13</v>
      </c>
      <c r="D36" s="22">
        <v>-717.28</v>
      </c>
      <c r="E36" s="24">
        <v>0</v>
      </c>
      <c r="F36" s="25">
        <v>1037.1300000000001</v>
      </c>
      <c r="G36" s="25">
        <v>1657.02</v>
      </c>
      <c r="H36" s="25">
        <v>2647.82</v>
      </c>
      <c r="I36" s="22">
        <v>-510.67</v>
      </c>
      <c r="J36" s="25">
        <v>61.65</v>
      </c>
      <c r="K36" s="22">
        <v>-2326.11</v>
      </c>
      <c r="L36" s="22">
        <v>-494.26</v>
      </c>
      <c r="M36" s="25">
        <v>1609.71</v>
      </c>
      <c r="N36" s="25">
        <v>5441.07</v>
      </c>
      <c r="O36" s="26">
        <v>-6.9499000000000004</v>
      </c>
      <c r="P36" s="24">
        <v>1.17</v>
      </c>
    </row>
    <row r="37" spans="1:16" ht="18" customHeight="1" x14ac:dyDescent="0.25">
      <c r="A37" s="23" t="s">
        <v>181</v>
      </c>
      <c r="B37" s="27">
        <v>0</v>
      </c>
      <c r="C37" s="27">
        <v>0</v>
      </c>
      <c r="D37" s="27">
        <v>0</v>
      </c>
      <c r="E37" s="25">
        <v>1822.83</v>
      </c>
      <c r="F37" s="25">
        <v>1986.16</v>
      </c>
      <c r="G37" s="25">
        <v>1091.55</v>
      </c>
      <c r="H37" s="22">
        <v>-666.82</v>
      </c>
      <c r="I37" s="22">
        <v>-1330.86</v>
      </c>
      <c r="J37" s="22">
        <v>-364.1</v>
      </c>
      <c r="K37" s="25">
        <v>1841.41</v>
      </c>
      <c r="L37" s="25">
        <v>177.4</v>
      </c>
      <c r="M37" s="22">
        <v>-253.61</v>
      </c>
      <c r="N37" s="25">
        <v>4303.96</v>
      </c>
      <c r="O37" s="28">
        <v>-3.1983000000000001</v>
      </c>
      <c r="P37" s="27">
        <v>1.41</v>
      </c>
    </row>
    <row r="38" spans="1:16" ht="18" customHeight="1" x14ac:dyDescent="0.25">
      <c r="A38" s="23" t="s">
        <v>182</v>
      </c>
      <c r="B38" s="22">
        <v>-816.72</v>
      </c>
      <c r="C38" s="25">
        <v>437.49</v>
      </c>
      <c r="D38" s="22">
        <v>-1810.49</v>
      </c>
      <c r="E38" s="24">
        <v>0</v>
      </c>
      <c r="F38" s="25">
        <v>2037.21</v>
      </c>
      <c r="G38" s="22">
        <v>-870.48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2">
        <v>-1022.98</v>
      </c>
      <c r="O38" s="26">
        <v>-2.3675999999999999</v>
      </c>
      <c r="P38" s="24">
        <v>-0.25</v>
      </c>
    </row>
    <row r="40" spans="1:16" ht="20.100000000000001" customHeight="1" x14ac:dyDescent="0.25">
      <c r="A40" s="67" t="s">
        <v>183</v>
      </c>
      <c r="B40" s="68"/>
      <c r="C40" s="68"/>
      <c r="D40" s="68"/>
      <c r="E40" s="68"/>
    </row>
    <row r="41" spans="1:16" ht="20.100000000000001" customHeight="1" x14ac:dyDescent="0.25">
      <c r="A41" s="3" t="s">
        <v>160</v>
      </c>
      <c r="B41" s="3" t="s">
        <v>161</v>
      </c>
      <c r="C41" s="3" t="s">
        <v>162</v>
      </c>
      <c r="D41" s="3" t="s">
        <v>163</v>
      </c>
      <c r="E41" s="3" t="s">
        <v>164</v>
      </c>
      <c r="F41" s="3" t="s">
        <v>165</v>
      </c>
      <c r="G41" s="3" t="s">
        <v>166</v>
      </c>
      <c r="H41" s="3" t="s">
        <v>167</v>
      </c>
      <c r="I41" s="3" t="s">
        <v>168</v>
      </c>
      <c r="J41" s="3" t="s">
        <v>169</v>
      </c>
      <c r="K41" s="3" t="s">
        <v>170</v>
      </c>
      <c r="L41" s="3" t="s">
        <v>171</v>
      </c>
      <c r="M41" s="3" t="s">
        <v>172</v>
      </c>
      <c r="N41" s="3" t="s">
        <v>173</v>
      </c>
      <c r="O41" s="3" t="s">
        <v>174</v>
      </c>
      <c r="P41" s="3" t="s">
        <v>175</v>
      </c>
    </row>
    <row r="42" spans="1:16" ht="18" customHeight="1" x14ac:dyDescent="0.25">
      <c r="A42" s="23" t="s">
        <v>176</v>
      </c>
      <c r="B42" s="26">
        <v>0</v>
      </c>
      <c r="C42" s="26">
        <v>0</v>
      </c>
      <c r="D42" s="26">
        <v>0</v>
      </c>
      <c r="E42" s="29">
        <v>-3.7599999999999988E-2</v>
      </c>
      <c r="F42" s="29">
        <v>-4.0000000000000002E-4</v>
      </c>
      <c r="G42" s="26">
        <v>0</v>
      </c>
      <c r="H42" s="26">
        <v>0</v>
      </c>
      <c r="I42" s="26">
        <v>0</v>
      </c>
      <c r="J42" s="26">
        <v>0</v>
      </c>
      <c r="K42" s="30">
        <v>9.7000000000000003E-3</v>
      </c>
      <c r="L42" s="29">
        <v>-3.3999999999999998E-3</v>
      </c>
      <c r="M42" s="29">
        <v>-1.9800000000000002E-2</v>
      </c>
      <c r="N42" s="29">
        <v>-5.1499999999999997E-2</v>
      </c>
      <c r="O42" s="26">
        <v>-4.8297999999999996</v>
      </c>
      <c r="P42" s="24">
        <v>-0.01</v>
      </c>
    </row>
    <row r="43" spans="1:16" ht="18" customHeight="1" x14ac:dyDescent="0.25">
      <c r="A43" s="23" t="s">
        <v>177</v>
      </c>
      <c r="B43" s="30">
        <v>9.4200000000000006E-2</v>
      </c>
      <c r="C43" s="29">
        <v>-1.6899999999999998E-2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30">
        <v>7.7300000000000008E-2</v>
      </c>
      <c r="O43" s="28">
        <v>-1.6839</v>
      </c>
      <c r="P43" s="27">
        <v>0.05</v>
      </c>
    </row>
    <row r="44" spans="1:16" ht="18" customHeight="1" x14ac:dyDescent="0.25">
      <c r="A44" s="23" t="s">
        <v>178</v>
      </c>
      <c r="B44" s="26">
        <v>0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30">
        <v>3.3700000000000001E-2</v>
      </c>
      <c r="J44" s="30">
        <v>1.9199999999999998E-2</v>
      </c>
      <c r="K44" s="29">
        <v>-3.2099999999999997E-2</v>
      </c>
      <c r="L44" s="29">
        <v>-1.11E-2</v>
      </c>
      <c r="M44" s="30">
        <v>7.8000000000000014E-3</v>
      </c>
      <c r="N44" s="30">
        <v>1.7600000000000001E-2</v>
      </c>
      <c r="O44" s="26">
        <v>-5.8886000000000003</v>
      </c>
      <c r="P44" s="24">
        <v>0</v>
      </c>
    </row>
    <row r="45" spans="1:16" ht="18" customHeight="1" x14ac:dyDescent="0.25">
      <c r="A45" s="23" t="s">
        <v>179</v>
      </c>
      <c r="B45" s="28">
        <v>0</v>
      </c>
      <c r="C45" s="28">
        <v>0</v>
      </c>
      <c r="D45" s="28">
        <v>0</v>
      </c>
      <c r="E45" s="28">
        <v>0</v>
      </c>
      <c r="F45" s="30">
        <v>3.73E-2</v>
      </c>
      <c r="G45" s="30">
        <v>2.7699999999999999E-2</v>
      </c>
      <c r="H45" s="30">
        <v>8.6999999999999994E-3</v>
      </c>
      <c r="I45" s="30">
        <v>8.6800000000000002E-2</v>
      </c>
      <c r="J45" s="30">
        <v>1.9400000000000001E-2</v>
      </c>
      <c r="K45" s="29">
        <v>-3.4500000000000003E-2</v>
      </c>
      <c r="L45" s="30">
        <v>5.2900000000000003E-2</v>
      </c>
      <c r="M45" s="29">
        <v>-7.8000000000000014E-3</v>
      </c>
      <c r="N45" s="30">
        <v>0.19040000000000001</v>
      </c>
      <c r="O45" s="28">
        <v>-3.8613</v>
      </c>
      <c r="P45" s="27">
        <v>0.05</v>
      </c>
    </row>
    <row r="46" spans="1:16" ht="18" customHeight="1" x14ac:dyDescent="0.25">
      <c r="A46" s="23" t="s">
        <v>180</v>
      </c>
      <c r="B46" s="30">
        <v>7.5399999999999995E-2</v>
      </c>
      <c r="C46" s="29">
        <v>-1.06E-2</v>
      </c>
      <c r="D46" s="29">
        <v>-2.46E-2</v>
      </c>
      <c r="E46" s="26">
        <v>0</v>
      </c>
      <c r="F46" s="30">
        <v>2.0899999999999998E-2</v>
      </c>
      <c r="G46" s="30">
        <v>2.0999999999999999E-3</v>
      </c>
      <c r="H46" s="30">
        <v>2.86E-2</v>
      </c>
      <c r="I46" s="29">
        <v>-1.78E-2</v>
      </c>
      <c r="J46" s="29">
        <v>-2.12E-2</v>
      </c>
      <c r="K46" s="30">
        <v>9.7999999999999997E-3</v>
      </c>
      <c r="L46" s="29">
        <v>-1.14E-2</v>
      </c>
      <c r="M46" s="30">
        <v>5.3400000000000003E-2</v>
      </c>
      <c r="N46" s="30">
        <v>0.1046</v>
      </c>
      <c r="O46" s="26">
        <v>-6.9499000000000004</v>
      </c>
      <c r="P46" s="24">
        <v>0.02</v>
      </c>
    </row>
    <row r="47" spans="1:16" ht="18" customHeight="1" x14ac:dyDescent="0.25">
      <c r="A47" s="23" t="s">
        <v>181</v>
      </c>
      <c r="B47" s="28">
        <v>0</v>
      </c>
      <c r="C47" s="28">
        <v>0</v>
      </c>
      <c r="D47" s="28">
        <v>0</v>
      </c>
      <c r="E47" s="30">
        <v>1.5800000000000002E-2</v>
      </c>
      <c r="F47" s="30">
        <v>2.86E-2</v>
      </c>
      <c r="G47" s="30">
        <v>2.8999999999999998E-3</v>
      </c>
      <c r="H47" s="30">
        <v>1.04E-2</v>
      </c>
      <c r="I47" s="29">
        <v>-2.0500000000000001E-2</v>
      </c>
      <c r="J47" s="29">
        <v>-1.2999999999999999E-3</v>
      </c>
      <c r="K47" s="30">
        <v>6.6E-3</v>
      </c>
      <c r="L47" s="30">
        <v>6.6E-3</v>
      </c>
      <c r="M47" s="30">
        <v>2.9999999999999997E-4</v>
      </c>
      <c r="N47" s="30">
        <v>4.9400000000000013E-2</v>
      </c>
      <c r="O47" s="28">
        <v>-3.1983000000000001</v>
      </c>
      <c r="P47" s="27">
        <v>0.02</v>
      </c>
    </row>
    <row r="48" spans="1:16" ht="18" customHeight="1" x14ac:dyDescent="0.25">
      <c r="A48" s="23" t="s">
        <v>182</v>
      </c>
      <c r="B48" s="30">
        <v>1.0500000000000001E-2</v>
      </c>
      <c r="C48" s="30">
        <v>8.8999999999999999E-3</v>
      </c>
      <c r="D48" s="30">
        <v>3.2000000000000001E-2</v>
      </c>
      <c r="E48" s="26">
        <v>0</v>
      </c>
      <c r="F48" s="30">
        <v>3.6299999999999999E-2</v>
      </c>
      <c r="G48" s="29">
        <v>-1.72E-2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30">
        <v>7.0400000000000004E-2</v>
      </c>
      <c r="O48" s="26">
        <v>-2.3675999999999999</v>
      </c>
      <c r="P48" s="24">
        <v>0.03</v>
      </c>
    </row>
    <row r="50" spans="1:5" ht="20.100000000000001" customHeight="1" x14ac:dyDescent="0.25">
      <c r="A50" s="67" t="s">
        <v>184</v>
      </c>
      <c r="B50" s="68"/>
      <c r="C50" s="68"/>
      <c r="D50" s="68"/>
      <c r="E50" s="68"/>
    </row>
    <row r="51" spans="1:5" ht="18" customHeight="1" x14ac:dyDescent="0.25">
      <c r="A51" s="1" t="s">
        <v>185</v>
      </c>
      <c r="B51" s="21" t="s">
        <v>186</v>
      </c>
      <c r="D51" s="1" t="s">
        <v>187</v>
      </c>
      <c r="E51" s="21" t="s">
        <v>188</v>
      </c>
    </row>
    <row r="52" spans="1:5" ht="18" customHeight="1" x14ac:dyDescent="0.25">
      <c r="A52" s="1" t="s">
        <v>189</v>
      </c>
      <c r="B52" s="21" t="s">
        <v>190</v>
      </c>
    </row>
    <row r="53" spans="1:5" ht="18" customHeight="1" x14ac:dyDescent="0.25">
      <c r="A53" s="18" t="s">
        <v>191</v>
      </c>
      <c r="B53" s="19" t="s">
        <v>153</v>
      </c>
      <c r="D53" s="18" t="s">
        <v>192</v>
      </c>
      <c r="E53" s="19" t="s">
        <v>193</v>
      </c>
    </row>
    <row r="55" spans="1:5" ht="18" customHeight="1" x14ac:dyDescent="0.25">
      <c r="A55" s="1" t="s">
        <v>194</v>
      </c>
      <c r="B55" s="16" t="s">
        <v>195</v>
      </c>
      <c r="D55" s="1" t="s">
        <v>196</v>
      </c>
      <c r="E55" s="21" t="s">
        <v>197</v>
      </c>
    </row>
    <row r="56" spans="1:5" ht="18" customHeight="1" x14ac:dyDescent="0.25">
      <c r="A56" s="18" t="s">
        <v>198</v>
      </c>
      <c r="B56" s="20" t="s">
        <v>199</v>
      </c>
      <c r="D56" s="18" t="s">
        <v>200</v>
      </c>
      <c r="E56" s="20" t="s">
        <v>201</v>
      </c>
    </row>
    <row r="57" spans="1:5" ht="18" customHeight="1" x14ac:dyDescent="0.25">
      <c r="A57" s="1" t="s">
        <v>202</v>
      </c>
      <c r="B57" s="16" t="s">
        <v>203</v>
      </c>
      <c r="D57" s="1" t="s">
        <v>204</v>
      </c>
      <c r="E57" s="21" t="s">
        <v>205</v>
      </c>
    </row>
    <row r="58" spans="1:5" ht="18" customHeight="1" x14ac:dyDescent="0.25">
      <c r="A58" s="18" t="s">
        <v>206</v>
      </c>
      <c r="B58" s="20" t="s">
        <v>199</v>
      </c>
      <c r="D58" s="18" t="s">
        <v>207</v>
      </c>
      <c r="E58" s="20" t="s">
        <v>201</v>
      </c>
    </row>
    <row r="59" spans="1:5" ht="18" customHeight="1" x14ac:dyDescent="0.25">
      <c r="A59" s="1" t="s">
        <v>208</v>
      </c>
      <c r="B59" s="16" t="s">
        <v>209</v>
      </c>
      <c r="D59" s="1" t="s">
        <v>210</v>
      </c>
      <c r="E59" s="21" t="s">
        <v>211</v>
      </c>
    </row>
    <row r="60" spans="1:5" ht="18" customHeight="1" x14ac:dyDescent="0.25">
      <c r="A60" s="18" t="s">
        <v>212</v>
      </c>
      <c r="B60" s="20" t="s">
        <v>199</v>
      </c>
      <c r="D60" s="18" t="s">
        <v>213</v>
      </c>
      <c r="E60" s="20" t="s">
        <v>214</v>
      </c>
    </row>
    <row r="62" spans="1:5" ht="18" customHeight="1" x14ac:dyDescent="0.25">
      <c r="A62" s="73" t="s">
        <v>215</v>
      </c>
      <c r="B62" s="68"/>
      <c r="C62" s="68"/>
      <c r="D62" s="68"/>
      <c r="E62" s="31" t="s">
        <v>216</v>
      </c>
    </row>
    <row r="63" spans="1:5" ht="18" customHeight="1" x14ac:dyDescent="0.25">
      <c r="A63" s="76" t="s">
        <v>217</v>
      </c>
      <c r="B63" s="68"/>
      <c r="C63" s="68"/>
      <c r="D63" s="68"/>
      <c r="E63" s="32" t="s">
        <v>218</v>
      </c>
    </row>
    <row r="64" spans="1:5" ht="18" customHeight="1" x14ac:dyDescent="0.25">
      <c r="A64" s="73" t="s">
        <v>219</v>
      </c>
      <c r="B64" s="68"/>
      <c r="C64" s="68"/>
      <c r="D64" s="68"/>
      <c r="E64" s="31" t="s">
        <v>220</v>
      </c>
    </row>
  </sheetData>
  <mergeCells count="14">
    <mergeCell ref="A62:D62"/>
    <mergeCell ref="A64:D64"/>
    <mergeCell ref="D14:E14"/>
    <mergeCell ref="A1:E1"/>
    <mergeCell ref="A63:D63"/>
    <mergeCell ref="A22:E22"/>
    <mergeCell ref="A40:E40"/>
    <mergeCell ref="A27:E27"/>
    <mergeCell ref="A30:E30"/>
    <mergeCell ref="A50:E50"/>
    <mergeCell ref="A4:E4"/>
    <mergeCell ref="A24:E24"/>
    <mergeCell ref="A2:E2"/>
    <mergeCell ref="D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9" width="12" customWidth="1"/>
    <col min="11" max="15" width="12" customWidth="1"/>
    <col min="17" max="24" width="12" customWidth="1"/>
    <col min="26" max="30" width="12" customWidth="1"/>
    <col min="32" max="39" width="12" customWidth="1"/>
    <col min="41" max="45" width="12" customWidth="1"/>
  </cols>
  <sheetData>
    <row r="1" spans="1:45" x14ac:dyDescent="0.25">
      <c r="A1" s="78" t="s">
        <v>221</v>
      </c>
      <c r="B1" s="68"/>
      <c r="C1" s="68"/>
      <c r="D1" s="68"/>
      <c r="E1" s="68"/>
      <c r="F1" s="68"/>
      <c r="G1" s="68"/>
      <c r="H1" s="68"/>
      <c r="I1" s="68"/>
      <c r="Q1" s="78" t="s">
        <v>222</v>
      </c>
      <c r="R1" s="68"/>
      <c r="S1" s="68"/>
      <c r="T1" s="68"/>
      <c r="U1" s="68"/>
      <c r="V1" s="68"/>
      <c r="W1" s="68"/>
      <c r="X1" s="68"/>
      <c r="AF1" s="78" t="s">
        <v>223</v>
      </c>
      <c r="AG1" s="68"/>
      <c r="AH1" s="68"/>
      <c r="AI1" s="68"/>
      <c r="AJ1" s="68"/>
      <c r="AK1" s="68"/>
      <c r="AL1" s="68"/>
      <c r="AM1" s="68"/>
    </row>
    <row r="2" spans="1:45" x14ac:dyDescent="0.25">
      <c r="A2" s="77" t="s">
        <v>224</v>
      </c>
      <c r="B2" s="68"/>
      <c r="C2" s="68"/>
      <c r="D2" s="68"/>
      <c r="E2" s="68"/>
      <c r="F2" s="68"/>
      <c r="G2" s="68"/>
      <c r="H2" s="68"/>
      <c r="I2" s="68"/>
      <c r="Q2" s="77" t="s">
        <v>224</v>
      </c>
      <c r="R2" s="68"/>
      <c r="S2" s="68"/>
      <c r="T2" s="68"/>
      <c r="U2" s="68"/>
      <c r="V2" s="68"/>
      <c r="W2" s="68"/>
      <c r="X2" s="68"/>
      <c r="AF2" s="77" t="s">
        <v>224</v>
      </c>
      <c r="AG2" s="68"/>
      <c r="AH2" s="68"/>
      <c r="AI2" s="68"/>
      <c r="AJ2" s="68"/>
      <c r="AK2" s="68"/>
      <c r="AL2" s="68"/>
      <c r="AM2" s="68"/>
    </row>
    <row r="4" spans="1:45" x14ac:dyDescent="0.25">
      <c r="A4" s="3" t="s">
        <v>50</v>
      </c>
      <c r="B4" s="3" t="s">
        <v>51</v>
      </c>
      <c r="C4" s="3" t="s">
        <v>75</v>
      </c>
      <c r="D4" s="3" t="s">
        <v>225</v>
      </c>
      <c r="E4" s="3" t="s">
        <v>226</v>
      </c>
      <c r="F4" s="3" t="s">
        <v>227</v>
      </c>
      <c r="G4" s="3" t="s">
        <v>228</v>
      </c>
      <c r="H4" s="3" t="s">
        <v>229</v>
      </c>
      <c r="I4" s="3" t="s">
        <v>230</v>
      </c>
      <c r="K4" s="33" t="s">
        <v>231</v>
      </c>
      <c r="L4" s="33" t="s">
        <v>232</v>
      </c>
      <c r="M4" s="33" t="s">
        <v>233</v>
      </c>
      <c r="N4" s="33" t="s">
        <v>234</v>
      </c>
      <c r="O4" s="33" t="s">
        <v>230</v>
      </c>
      <c r="Q4" s="3" t="s">
        <v>235</v>
      </c>
      <c r="R4" s="3" t="s">
        <v>236</v>
      </c>
      <c r="S4" s="3" t="s">
        <v>226</v>
      </c>
      <c r="T4" s="3" t="s">
        <v>237</v>
      </c>
      <c r="U4" s="3" t="s">
        <v>238</v>
      </c>
      <c r="V4" s="3" t="s">
        <v>62</v>
      </c>
      <c r="W4" s="3" t="s">
        <v>229</v>
      </c>
      <c r="X4" s="3" t="s">
        <v>239</v>
      </c>
      <c r="Z4" s="33" t="s">
        <v>231</v>
      </c>
      <c r="AA4" s="33" t="s">
        <v>232</v>
      </c>
      <c r="AB4" s="33" t="s">
        <v>233</v>
      </c>
      <c r="AC4" s="33" t="s">
        <v>235</v>
      </c>
      <c r="AD4" s="33" t="s">
        <v>230</v>
      </c>
      <c r="AF4" s="3" t="s">
        <v>235</v>
      </c>
      <c r="AG4" s="3" t="s">
        <v>236</v>
      </c>
      <c r="AH4" s="3" t="s">
        <v>226</v>
      </c>
      <c r="AI4" s="3" t="s">
        <v>237</v>
      </c>
      <c r="AJ4" s="3" t="s">
        <v>238</v>
      </c>
      <c r="AK4" s="3" t="s">
        <v>62</v>
      </c>
      <c r="AL4" s="3" t="s">
        <v>229</v>
      </c>
      <c r="AM4" s="3" t="s">
        <v>239</v>
      </c>
      <c r="AO4" s="33" t="s">
        <v>231</v>
      </c>
      <c r="AP4" s="33" t="s">
        <v>232</v>
      </c>
      <c r="AQ4" s="33" t="s">
        <v>233</v>
      </c>
      <c r="AR4" s="33" t="s">
        <v>235</v>
      </c>
      <c r="AS4" s="33" t="s">
        <v>230</v>
      </c>
    </row>
    <row r="5" spans="1:45" x14ac:dyDescent="0.25">
      <c r="A5" s="34" t="s">
        <v>240</v>
      </c>
      <c r="B5" s="34" t="s">
        <v>241</v>
      </c>
      <c r="C5" s="34">
        <v>-0.75319999999999998</v>
      </c>
      <c r="D5" s="34">
        <v>99.246800000000007</v>
      </c>
      <c r="E5" s="34">
        <v>100</v>
      </c>
      <c r="F5" s="34">
        <v>18258.5</v>
      </c>
      <c r="G5" s="35">
        <v>-0.90410000000000001</v>
      </c>
      <c r="H5" s="34">
        <v>99.0959</v>
      </c>
      <c r="I5" s="35">
        <v>-0.90409999999999657</v>
      </c>
      <c r="K5" s="34" t="s">
        <v>240</v>
      </c>
      <c r="L5" s="34" t="s">
        <v>242</v>
      </c>
      <c r="M5" s="35">
        <v>-48.689599449689283</v>
      </c>
      <c r="N5" s="34">
        <v>-7.5634999999999986</v>
      </c>
      <c r="O5" s="34">
        <v>-8.428035738326356</v>
      </c>
      <c r="Q5" s="34">
        <v>-0.13076506164024121</v>
      </c>
      <c r="R5" s="34">
        <v>99.869234938359767</v>
      </c>
      <c r="S5" s="34">
        <v>100</v>
      </c>
      <c r="T5" s="34">
        <v>-0.13076506164023269</v>
      </c>
      <c r="U5" s="34">
        <v>-1.307650616402327E-3</v>
      </c>
      <c r="V5" s="34">
        <v>-1.1639999999999999</v>
      </c>
      <c r="W5" s="34">
        <v>98.835999999999999</v>
      </c>
      <c r="X5" s="34">
        <v>-1.1639999999999979</v>
      </c>
      <c r="Z5" s="34" t="s">
        <v>240</v>
      </c>
      <c r="AA5" s="34" t="s">
        <v>242</v>
      </c>
      <c r="AB5" s="35">
        <v>38.086955986594987</v>
      </c>
      <c r="AC5" s="34">
        <v>3.7642286043216702</v>
      </c>
      <c r="AD5" s="34">
        <v>-1.7273530260783929</v>
      </c>
      <c r="AF5" s="34">
        <v>-0.88400000000000001</v>
      </c>
      <c r="AG5" s="34">
        <v>99.116</v>
      </c>
      <c r="AH5" s="34">
        <v>100</v>
      </c>
      <c r="AI5" s="34">
        <v>-0.88400000000000034</v>
      </c>
      <c r="AJ5" s="34">
        <v>-8.8400000000000041E-3</v>
      </c>
      <c r="AK5" s="34">
        <v>-0.88400000000000001</v>
      </c>
      <c r="AL5" s="34">
        <v>99.116</v>
      </c>
      <c r="AM5" s="34">
        <v>-0.8839999999999959</v>
      </c>
      <c r="AO5" s="34" t="s">
        <v>240</v>
      </c>
      <c r="AP5" s="34" t="s">
        <v>242</v>
      </c>
      <c r="AQ5" s="35">
        <v>-28.365461730850189</v>
      </c>
      <c r="AR5" s="34">
        <v>-3.799300000000001</v>
      </c>
      <c r="AS5" s="34">
        <v>-4.8945704933134104</v>
      </c>
    </row>
    <row r="6" spans="1:45" x14ac:dyDescent="0.25">
      <c r="A6" s="34" t="s">
        <v>241</v>
      </c>
      <c r="B6" s="34" t="s">
        <v>243</v>
      </c>
      <c r="C6" s="34">
        <v>-0.45050000000000001</v>
      </c>
      <c r="D6" s="34">
        <v>98.799693166000012</v>
      </c>
      <c r="E6" s="34">
        <v>100</v>
      </c>
      <c r="F6" s="34">
        <v>18136.2</v>
      </c>
      <c r="G6" s="35">
        <v>-1.1991000000000001</v>
      </c>
      <c r="H6" s="34">
        <v>98.056731621200015</v>
      </c>
      <c r="I6" s="35">
        <v>-1.9432683787999889</v>
      </c>
      <c r="K6" s="34" t="s">
        <v>244</v>
      </c>
      <c r="L6" s="34" t="s">
        <v>245</v>
      </c>
      <c r="M6" s="35">
        <v>5.2520916491680891</v>
      </c>
      <c r="N6" s="34">
        <v>2.4597000000000002</v>
      </c>
      <c r="O6" s="34">
        <v>-9.7753386977790573</v>
      </c>
      <c r="Q6" s="34">
        <v>0.81973900609329309</v>
      </c>
      <c r="R6" s="34">
        <v>100.68790201223641</v>
      </c>
      <c r="S6" s="34">
        <v>100.68790201223641</v>
      </c>
      <c r="T6" s="34"/>
      <c r="U6" s="34">
        <v>0</v>
      </c>
      <c r="V6" s="34">
        <v>-0.4642</v>
      </c>
      <c r="W6" s="34">
        <v>99.405641949775898</v>
      </c>
      <c r="X6" s="34">
        <v>-0.59435805022409749</v>
      </c>
      <c r="Z6" s="34" t="s">
        <v>244</v>
      </c>
      <c r="AA6" s="34" t="s">
        <v>245</v>
      </c>
      <c r="AB6" s="35">
        <v>9.1344045657222104</v>
      </c>
      <c r="AC6" s="34">
        <v>3.922293206082867</v>
      </c>
      <c r="AD6" s="34">
        <v>-8.2663218676734438</v>
      </c>
      <c r="AF6" s="34">
        <v>0.36919999999999997</v>
      </c>
      <c r="AG6" s="34">
        <v>99.481936271999999</v>
      </c>
      <c r="AH6" s="34">
        <v>100</v>
      </c>
      <c r="AI6" s="34">
        <v>-0.51806372800000133</v>
      </c>
      <c r="AJ6" s="34">
        <v>-5.1806372800000137E-3</v>
      </c>
      <c r="AK6" s="34">
        <v>-6.7599999999999993E-2</v>
      </c>
      <c r="AL6" s="34">
        <v>99.048997584000006</v>
      </c>
      <c r="AM6" s="34">
        <v>-0.9510024159999908</v>
      </c>
      <c r="AO6" s="34" t="s">
        <v>244</v>
      </c>
      <c r="AP6" s="34" t="s">
        <v>245</v>
      </c>
      <c r="AQ6" s="35">
        <v>16.24598435743259</v>
      </c>
      <c r="AR6" s="34">
        <v>6.3818000000000001</v>
      </c>
      <c r="AS6" s="34">
        <v>-2.94005058909601</v>
      </c>
    </row>
    <row r="7" spans="1:45" x14ac:dyDescent="0.25">
      <c r="A7" s="34" t="s">
        <v>243</v>
      </c>
      <c r="B7" s="34" t="s">
        <v>246</v>
      </c>
      <c r="C7" s="34">
        <v>0.85599999999999998</v>
      </c>
      <c r="D7" s="34">
        <v>99.645418539500966</v>
      </c>
      <c r="E7" s="34">
        <v>100</v>
      </c>
      <c r="F7" s="34">
        <v>18075.650000000001</v>
      </c>
      <c r="G7" s="35">
        <v>-0.49790000000000001</v>
      </c>
      <c r="H7" s="34">
        <v>98.307769493726497</v>
      </c>
      <c r="I7" s="35">
        <v>-1.692230506273507</v>
      </c>
      <c r="K7" s="34" t="s">
        <v>247</v>
      </c>
      <c r="L7" s="34" t="s">
        <v>248</v>
      </c>
      <c r="M7" s="35">
        <v>-1.7264083613757639</v>
      </c>
      <c r="N7" s="34">
        <v>-0.12649999999999831</v>
      </c>
      <c r="O7" s="34">
        <v>-8.649271330348185</v>
      </c>
      <c r="Q7" s="34">
        <v>-1.2957192061669669</v>
      </c>
      <c r="R7" s="34">
        <v>99.383269527577326</v>
      </c>
      <c r="S7" s="34">
        <v>100.68790201223641</v>
      </c>
      <c r="T7" s="34">
        <v>-1.3046324846591231</v>
      </c>
      <c r="U7" s="34">
        <v>-1.295719206166967E-2</v>
      </c>
      <c r="V7" s="34">
        <v>-1.5038</v>
      </c>
      <c r="W7" s="34">
        <v>99.173757341776437</v>
      </c>
      <c r="X7" s="34">
        <v>-1.5038</v>
      </c>
      <c r="Z7" s="34" t="s">
        <v>247</v>
      </c>
      <c r="AA7" s="34" t="s">
        <v>248</v>
      </c>
      <c r="AB7" s="35">
        <v>3.6287904933153921</v>
      </c>
      <c r="AC7" s="34">
        <v>1.8846176663718639</v>
      </c>
      <c r="AD7" s="34">
        <v>-9.4663479223905611</v>
      </c>
      <c r="AF7" s="34">
        <v>-0.43969999999999998</v>
      </c>
      <c r="AG7" s="34">
        <v>99.044514198212013</v>
      </c>
      <c r="AH7" s="34">
        <v>100</v>
      </c>
      <c r="AI7" s="34">
        <v>-0.95548580178798659</v>
      </c>
      <c r="AJ7" s="34">
        <v>-9.5548580178798654E-3</v>
      </c>
      <c r="AK7" s="34">
        <v>-0.43969999999999998</v>
      </c>
      <c r="AL7" s="34">
        <v>99.044514198212013</v>
      </c>
      <c r="AM7" s="34">
        <v>-0.95548580178799192</v>
      </c>
      <c r="AO7" s="34" t="s">
        <v>247</v>
      </c>
      <c r="AP7" s="34" t="s">
        <v>248</v>
      </c>
      <c r="AQ7" s="35">
        <v>4.0073363002682383</v>
      </c>
      <c r="AR7" s="34">
        <v>1.7583</v>
      </c>
      <c r="AS7" s="34">
        <v>-6.0007744771647156</v>
      </c>
    </row>
    <row r="8" spans="1:45" x14ac:dyDescent="0.25">
      <c r="A8" s="34" t="s">
        <v>246</v>
      </c>
      <c r="B8" s="34" t="s">
        <v>249</v>
      </c>
      <c r="C8" s="34">
        <v>-2.3472</v>
      </c>
      <c r="D8" s="34">
        <v>97.30654127554179</v>
      </c>
      <c r="E8" s="34">
        <v>100</v>
      </c>
      <c r="F8" s="34">
        <v>18248.45</v>
      </c>
      <c r="G8" s="35">
        <v>-3.1349</v>
      </c>
      <c r="H8" s="34">
        <v>96.521634313706159</v>
      </c>
      <c r="I8" s="35">
        <v>-3.4783656862938379</v>
      </c>
      <c r="K8" s="34" t="s">
        <v>250</v>
      </c>
      <c r="L8" s="34" t="s">
        <v>251</v>
      </c>
      <c r="M8" s="35">
        <v>47.687326601557317</v>
      </c>
      <c r="N8" s="34">
        <v>36.73490000000001</v>
      </c>
      <c r="O8" s="34">
        <v>-8.8456545122535637</v>
      </c>
      <c r="Q8" s="34">
        <v>1.243303088532852</v>
      </c>
      <c r="R8" s="34">
        <v>100.6189047870986</v>
      </c>
      <c r="S8" s="34">
        <v>100.68790201223641</v>
      </c>
      <c r="T8" s="34">
        <v>-6.8997225137835017E-2</v>
      </c>
      <c r="U8" s="34">
        <v>-6.8525834543111135E-4</v>
      </c>
      <c r="V8" s="34">
        <v>-0.43730000000000002</v>
      </c>
      <c r="W8" s="34">
        <v>98.948666489933231</v>
      </c>
      <c r="X8" s="34">
        <v>-1.7273530260783929</v>
      </c>
      <c r="Z8" s="34" t="s">
        <v>250</v>
      </c>
      <c r="AA8" s="34" t="s">
        <v>251</v>
      </c>
      <c r="AB8" s="35">
        <v>-14.22472953712103</v>
      </c>
      <c r="AC8" s="34">
        <v>-13.667881914213449</v>
      </c>
      <c r="AD8" s="34">
        <v>-14.25617254847079</v>
      </c>
      <c r="AF8" s="34">
        <v>-1.1039000000000001</v>
      </c>
      <c r="AG8" s="34">
        <v>97.951161805977947</v>
      </c>
      <c r="AH8" s="34">
        <v>100</v>
      </c>
      <c r="AI8" s="34">
        <v>-2.048838194022053</v>
      </c>
      <c r="AJ8" s="34">
        <v>-2.048838194022053E-2</v>
      </c>
      <c r="AK8" s="34">
        <v>-1.1039000000000001</v>
      </c>
      <c r="AL8" s="34">
        <v>97.951161805977947</v>
      </c>
      <c r="AM8" s="34">
        <v>-2.0488381940220508</v>
      </c>
      <c r="AO8" s="34" t="s">
        <v>250</v>
      </c>
      <c r="AP8" s="34" t="s">
        <v>251</v>
      </c>
      <c r="AQ8" s="35">
        <v>27.732272080731629</v>
      </c>
      <c r="AR8" s="34">
        <v>23.067299999999989</v>
      </c>
      <c r="AS8" s="34">
        <v>-7.2893814390152407</v>
      </c>
    </row>
    <row r="9" spans="1:45" x14ac:dyDescent="0.25">
      <c r="A9" s="34" t="s">
        <v>249</v>
      </c>
      <c r="B9" s="34" t="s">
        <v>252</v>
      </c>
      <c r="C9" s="34">
        <v>-1.6581999999999999</v>
      </c>
      <c r="D9" s="34">
        <v>95.69300420811075</v>
      </c>
      <c r="E9" s="34">
        <v>100</v>
      </c>
      <c r="F9" s="34">
        <v>17844.45</v>
      </c>
      <c r="G9" s="35">
        <v>-2.4403000000000001</v>
      </c>
      <c r="H9" s="34">
        <v>94.931969748794742</v>
      </c>
      <c r="I9" s="35">
        <v>-5.0680302512052577</v>
      </c>
      <c r="K9" s="34" t="s">
        <v>253</v>
      </c>
      <c r="L9" s="34" t="s">
        <v>254</v>
      </c>
      <c r="M9" s="35">
        <v>12.065932513089869</v>
      </c>
      <c r="N9" s="34">
        <v>8.604099999999999</v>
      </c>
      <c r="O9" s="34">
        <v>-12.029660426359481</v>
      </c>
      <c r="Q9" s="34">
        <v>-4.1786946269662242E-2</v>
      </c>
      <c r="R9" s="34">
        <v>100.5768592194181</v>
      </c>
      <c r="S9" s="34">
        <v>100.68790201223641</v>
      </c>
      <c r="T9" s="34">
        <v>-0.1110427928183384</v>
      </c>
      <c r="U9" s="34">
        <v>-1.102841459591079E-3</v>
      </c>
      <c r="V9" s="34">
        <v>-0.65920000000000001</v>
      </c>
      <c r="W9" s="34">
        <v>99.95562496674205</v>
      </c>
      <c r="X9" s="34">
        <v>-0.72727411224181582</v>
      </c>
      <c r="Z9" s="34" t="s">
        <v>253</v>
      </c>
      <c r="AA9" s="34" t="s">
        <v>254</v>
      </c>
      <c r="AB9" s="35">
        <v>-4.1333329230481386</v>
      </c>
      <c r="AC9" s="34">
        <v>-2.165213055994204</v>
      </c>
      <c r="AD9" s="34">
        <v>-16.216346072454439</v>
      </c>
      <c r="AF9" s="34">
        <v>-1.7</v>
      </c>
      <c r="AG9" s="34">
        <v>96.285992055276324</v>
      </c>
      <c r="AH9" s="34">
        <v>100</v>
      </c>
      <c r="AI9" s="34">
        <v>-3.7140079447236758</v>
      </c>
      <c r="AJ9" s="34">
        <v>-3.7140079447236761E-2</v>
      </c>
      <c r="AK9" s="34">
        <v>-1.7144999999999999</v>
      </c>
      <c r="AL9" s="34">
        <v>96.271789136814462</v>
      </c>
      <c r="AM9" s="34">
        <v>-3.7282108631855331</v>
      </c>
      <c r="AO9" s="34" t="s">
        <v>253</v>
      </c>
      <c r="AP9" s="34" t="s">
        <v>254</v>
      </c>
      <c r="AQ9" s="35">
        <v>9.4803204201786571</v>
      </c>
      <c r="AR9" s="34">
        <v>6.4388999999999994</v>
      </c>
      <c r="AS9" s="34">
        <v>-5.4796068963371516</v>
      </c>
    </row>
    <row r="10" spans="1:45" x14ac:dyDescent="0.25">
      <c r="A10" s="34" t="s">
        <v>252</v>
      </c>
      <c r="B10" s="34" t="s">
        <v>255</v>
      </c>
      <c r="C10" s="34">
        <v>-3.5558000000000001</v>
      </c>
      <c r="D10" s="34">
        <v>92.29035236447875</v>
      </c>
      <c r="E10" s="34">
        <v>100</v>
      </c>
      <c r="F10" s="34">
        <v>17566.400000000001</v>
      </c>
      <c r="G10" s="35">
        <v>-3.6911999999999998</v>
      </c>
      <c r="H10" s="34">
        <v>92.160784036780967</v>
      </c>
      <c r="I10" s="35">
        <v>-7.8392159632190372</v>
      </c>
      <c r="K10" s="34" t="s">
        <v>256</v>
      </c>
      <c r="L10" s="34" t="s">
        <v>257</v>
      </c>
      <c r="M10" s="35">
        <v>8.5782311174176229E-3</v>
      </c>
      <c r="N10" s="34">
        <v>1.134199999999995</v>
      </c>
      <c r="O10" s="34">
        <v>-13.944030963520611</v>
      </c>
      <c r="Q10" s="34">
        <v>2.3969731404519008</v>
      </c>
      <c r="R10" s="34">
        <v>102.98765952041769</v>
      </c>
      <c r="S10" s="34">
        <v>102.98765952041769</v>
      </c>
      <c r="T10" s="34"/>
      <c r="U10" s="34">
        <v>0</v>
      </c>
      <c r="V10" s="34">
        <v>-0.1404</v>
      </c>
      <c r="W10" s="34">
        <v>100.43564930907409</v>
      </c>
      <c r="X10" s="34">
        <v>-0.25052930701817688</v>
      </c>
      <c r="Z10" s="34" t="s">
        <v>256</v>
      </c>
      <c r="AA10" s="34" t="s">
        <v>257</v>
      </c>
      <c r="AB10" s="35">
        <v>8.6475582345469491</v>
      </c>
      <c r="AC10" s="34">
        <v>8.9402581247877251</v>
      </c>
      <c r="AD10" s="34">
        <v>-12.15732759904944</v>
      </c>
      <c r="AF10" s="34">
        <v>-1.1588000000000001</v>
      </c>
      <c r="AG10" s="34">
        <v>95.17022997933978</v>
      </c>
      <c r="AH10" s="34">
        <v>100</v>
      </c>
      <c r="AI10" s="34">
        <v>-4.8297700206602201</v>
      </c>
      <c r="AJ10" s="34">
        <v>-4.82977002066022E-2</v>
      </c>
      <c r="AK10" s="34">
        <v>-1.2261</v>
      </c>
      <c r="AL10" s="34">
        <v>95.10542950668659</v>
      </c>
      <c r="AM10" s="34">
        <v>-4.8945704933134104</v>
      </c>
      <c r="AO10" s="34" t="s">
        <v>256</v>
      </c>
      <c r="AP10" s="34" t="s">
        <v>257</v>
      </c>
      <c r="AQ10" s="35">
        <v>10.433480738357099</v>
      </c>
      <c r="AR10" s="34">
        <v>10.074299999999999</v>
      </c>
      <c r="AS10" s="34">
        <v>-4.0067767698373729</v>
      </c>
    </row>
    <row r="11" spans="1:45" x14ac:dyDescent="0.25">
      <c r="A11" s="34" t="s">
        <v>255</v>
      </c>
      <c r="B11" s="34" t="s">
        <v>242</v>
      </c>
      <c r="C11" s="34">
        <v>0.34539999999999998</v>
      </c>
      <c r="D11" s="34">
        <v>92.60912324154566</v>
      </c>
      <c r="E11" s="34">
        <v>100</v>
      </c>
      <c r="F11" s="34">
        <v>16965.2</v>
      </c>
      <c r="G11" s="35">
        <v>-0.77839999999999998</v>
      </c>
      <c r="H11" s="34">
        <v>91.571964261673642</v>
      </c>
      <c r="I11" s="35">
        <v>-8.428035738326356</v>
      </c>
      <c r="K11" s="34" t="s">
        <v>258</v>
      </c>
      <c r="L11" s="34" t="s">
        <v>259</v>
      </c>
      <c r="M11" s="35">
        <v>12.498675471114829</v>
      </c>
      <c r="N11" s="34">
        <v>2.0717000000000012</v>
      </c>
      <c r="O11" s="34">
        <v>-4.7112738072498717</v>
      </c>
      <c r="Q11" s="34">
        <v>0.77248458332049519</v>
      </c>
      <c r="R11" s="34">
        <v>103.7832233129355</v>
      </c>
      <c r="S11" s="34">
        <v>103.7832233129355</v>
      </c>
      <c r="T11" s="34"/>
      <c r="U11" s="34">
        <v>0</v>
      </c>
      <c r="V11" s="34">
        <v>4.0099999999999997E-2</v>
      </c>
      <c r="W11" s="34">
        <v>103.0289575718854</v>
      </c>
      <c r="X11" s="34">
        <v>4.0100000000009572E-2</v>
      </c>
      <c r="Z11" s="34" t="s">
        <v>258</v>
      </c>
      <c r="AA11" s="34" t="s">
        <v>259</v>
      </c>
      <c r="AB11" s="35">
        <v>-2.1732516758207092</v>
      </c>
      <c r="AC11" s="34">
        <v>-0.16942531540783359</v>
      </c>
      <c r="AD11" s="34">
        <v>-5.7796913450953387</v>
      </c>
      <c r="AF11" s="34">
        <v>1.1178999999999999</v>
      </c>
      <c r="AG11" s="34">
        <v>96.234137980278831</v>
      </c>
      <c r="AH11" s="34">
        <v>100</v>
      </c>
      <c r="AI11" s="34">
        <v>-3.765862019721169</v>
      </c>
      <c r="AJ11" s="34">
        <v>-3.7658620197211688E-2</v>
      </c>
      <c r="AK11" s="34">
        <v>0.2384</v>
      </c>
      <c r="AL11" s="34">
        <v>95.397115807610518</v>
      </c>
      <c r="AM11" s="34">
        <v>-4.6028841923894781</v>
      </c>
      <c r="AO11" s="34" t="s">
        <v>258</v>
      </c>
      <c r="AP11" s="34" t="s">
        <v>259</v>
      </c>
      <c r="AQ11" s="35">
        <v>11.84600511983915</v>
      </c>
      <c r="AR11" s="34">
        <v>1.902300000000001</v>
      </c>
      <c r="AS11" s="34">
        <v>-2.3675956962159961</v>
      </c>
    </row>
    <row r="12" spans="1:45" x14ac:dyDescent="0.25">
      <c r="A12" s="34" t="s">
        <v>244</v>
      </c>
      <c r="B12" s="34" t="s">
        <v>260</v>
      </c>
      <c r="C12" s="34">
        <v>-1.8927</v>
      </c>
      <c r="D12" s="34">
        <v>98.107299999999995</v>
      </c>
      <c r="E12" s="34">
        <v>100</v>
      </c>
      <c r="F12" s="34">
        <v>16026</v>
      </c>
      <c r="G12" s="35">
        <v>-3.2715000000000001</v>
      </c>
      <c r="H12" s="34">
        <v>96.728499999999997</v>
      </c>
      <c r="I12" s="35">
        <v>-3.271500000000005</v>
      </c>
      <c r="Q12" s="34">
        <v>0.85102118184313857</v>
      </c>
      <c r="R12" s="34">
        <v>100.85102118184319</v>
      </c>
      <c r="S12" s="34">
        <v>100.85102118184319</v>
      </c>
      <c r="T12" s="34"/>
      <c r="U12" s="34">
        <v>0</v>
      </c>
      <c r="V12" s="34">
        <v>-0.6584000000000001</v>
      </c>
      <c r="W12" s="34">
        <v>99.3416</v>
      </c>
      <c r="X12" s="34">
        <v>-0.65840000000000343</v>
      </c>
      <c r="AF12" s="34">
        <v>-1.0417000000000001</v>
      </c>
      <c r="AG12" s="34">
        <v>98.958299999999994</v>
      </c>
      <c r="AH12" s="34">
        <v>100</v>
      </c>
      <c r="AI12" s="34">
        <v>-1.0417000000000061</v>
      </c>
      <c r="AJ12" s="34">
        <v>-1.041700000000006E-2</v>
      </c>
      <c r="AK12" s="34">
        <v>-1.6033999999999999</v>
      </c>
      <c r="AL12" s="34">
        <v>98.396600000000007</v>
      </c>
      <c r="AM12" s="34">
        <v>-1.6033999999999879</v>
      </c>
    </row>
    <row r="13" spans="1:45" x14ac:dyDescent="0.25">
      <c r="A13" s="34" t="s">
        <v>260</v>
      </c>
      <c r="B13" s="34" t="s">
        <v>261</v>
      </c>
      <c r="C13" s="34">
        <v>-0.15110000000000001</v>
      </c>
      <c r="D13" s="34">
        <v>97.959059869699985</v>
      </c>
      <c r="E13" s="34">
        <v>100</v>
      </c>
      <c r="F13" s="34">
        <v>15725.35</v>
      </c>
      <c r="G13" s="35">
        <v>-2.1023000000000001</v>
      </c>
      <c r="H13" s="34">
        <v>96.044790232099999</v>
      </c>
      <c r="I13" s="35">
        <v>-3.9552097679000031</v>
      </c>
      <c r="Q13" s="34">
        <v>1.172985677690825</v>
      </c>
      <c r="R13" s="34">
        <v>102.0339892161111</v>
      </c>
      <c r="S13" s="34">
        <v>102.0339892161111</v>
      </c>
      <c r="T13" s="34"/>
      <c r="U13" s="34">
        <v>0</v>
      </c>
      <c r="V13" s="34">
        <v>5.9800000000000013E-2</v>
      </c>
      <c r="W13" s="34">
        <v>100.9113300925099</v>
      </c>
      <c r="X13" s="34">
        <v>5.9800000000009852E-2</v>
      </c>
      <c r="AF13" s="34">
        <v>1.0219</v>
      </c>
      <c r="AG13" s="34">
        <v>99.969554867699998</v>
      </c>
      <c r="AH13" s="34">
        <v>100</v>
      </c>
      <c r="AI13" s="34">
        <v>-3.0445132300002339E-2</v>
      </c>
      <c r="AJ13" s="34">
        <v>-3.0445132300002339E-4</v>
      </c>
      <c r="AK13" s="34">
        <v>0.65500000000000003</v>
      </c>
      <c r="AL13" s="34">
        <v>99.606476865000005</v>
      </c>
      <c r="AM13" s="34">
        <v>-0.39352313499999569</v>
      </c>
    </row>
    <row r="14" spans="1:45" x14ac:dyDescent="0.25">
      <c r="A14" s="34" t="s">
        <v>261</v>
      </c>
      <c r="B14" s="34" t="s">
        <v>262</v>
      </c>
      <c r="C14" s="34">
        <v>-0.69410000000000005</v>
      </c>
      <c r="D14" s="34">
        <v>97.279126035144401</v>
      </c>
      <c r="E14" s="34">
        <v>100</v>
      </c>
      <c r="F14" s="34">
        <v>15722.55</v>
      </c>
      <c r="G14" s="35">
        <v>-1.7430000000000001</v>
      </c>
      <c r="H14" s="34">
        <v>96.251633456171106</v>
      </c>
      <c r="I14" s="35">
        <v>-3.748366543828896</v>
      </c>
      <c r="Q14" s="34">
        <v>-0.91794613419603466</v>
      </c>
      <c r="R14" s="34">
        <v>101.0973721565358</v>
      </c>
      <c r="S14" s="34">
        <v>102.0339892161111</v>
      </c>
      <c r="T14" s="34">
        <v>-0.93661705957529762</v>
      </c>
      <c r="U14" s="34">
        <v>-9.179461341960413E-3</v>
      </c>
      <c r="V14" s="34">
        <v>-1.3382000000000001</v>
      </c>
      <c r="W14" s="34">
        <v>100.6685703724211</v>
      </c>
      <c r="X14" s="34">
        <v>-1.3382000000000009</v>
      </c>
      <c r="AF14" s="34">
        <v>-1.6120000000000001</v>
      </c>
      <c r="AG14" s="34">
        <v>98.358045643232671</v>
      </c>
      <c r="AH14" s="34">
        <v>100</v>
      </c>
      <c r="AI14" s="34">
        <v>-1.6419543567673289</v>
      </c>
      <c r="AJ14" s="34">
        <v>-1.6419543567673289E-2</v>
      </c>
      <c r="AK14" s="34">
        <v>-1.6120000000000001</v>
      </c>
      <c r="AL14" s="34">
        <v>98.358045643232671</v>
      </c>
      <c r="AM14" s="34">
        <v>-1.641954356767328</v>
      </c>
    </row>
    <row r="15" spans="1:45" x14ac:dyDescent="0.25">
      <c r="A15" s="34" t="s">
        <v>262</v>
      </c>
      <c r="B15" s="34" t="s">
        <v>263</v>
      </c>
      <c r="C15" s="34">
        <v>-0.16889999999999999</v>
      </c>
      <c r="D15" s="34">
        <v>97.114821591271038</v>
      </c>
      <c r="E15" s="34">
        <v>100</v>
      </c>
      <c r="F15" s="34">
        <v>15629.15</v>
      </c>
      <c r="G15" s="35">
        <v>-0.46029999999999999</v>
      </c>
      <c r="H15" s="34">
        <v>96.83135021800463</v>
      </c>
      <c r="I15" s="35">
        <v>-3.1686497819953701</v>
      </c>
      <c r="Q15" s="34">
        <v>-0.29444449305671011</v>
      </c>
      <c r="R15" s="34">
        <v>100.7996965115958</v>
      </c>
      <c r="S15" s="34">
        <v>102.0339892161111</v>
      </c>
      <c r="T15" s="34">
        <v>-1.234292704515269</v>
      </c>
      <c r="U15" s="34">
        <v>-1.2096877854113879E-2</v>
      </c>
      <c r="V15" s="34">
        <v>-0.53369999999999995</v>
      </c>
      <c r="W15" s="34">
        <v>100.55781548133641</v>
      </c>
      <c r="X15" s="34">
        <v>-1.4467470556778439</v>
      </c>
      <c r="AF15" s="34">
        <v>-0.46329999999999999</v>
      </c>
      <c r="AG15" s="34">
        <v>97.902352817767579</v>
      </c>
      <c r="AH15" s="34">
        <v>100</v>
      </c>
      <c r="AI15" s="34">
        <v>-2.097647182232421</v>
      </c>
      <c r="AJ15" s="34">
        <v>-2.0976471822324219E-2</v>
      </c>
      <c r="AK15" s="34">
        <v>-0.46329999999999999</v>
      </c>
      <c r="AL15" s="34">
        <v>97.902352817767579</v>
      </c>
      <c r="AM15" s="34">
        <v>-2.097647182232421</v>
      </c>
    </row>
    <row r="16" spans="1:45" x14ac:dyDescent="0.25">
      <c r="A16" s="34" t="s">
        <v>263</v>
      </c>
      <c r="B16" s="34" t="s">
        <v>264</v>
      </c>
      <c r="C16" s="34">
        <v>1.7871999999999999</v>
      </c>
      <c r="D16" s="34">
        <v>98.850457682750246</v>
      </c>
      <c r="E16" s="34">
        <v>100</v>
      </c>
      <c r="F16" s="34">
        <v>15605.35</v>
      </c>
      <c r="G16" s="35">
        <v>-0.1547</v>
      </c>
      <c r="H16" s="34">
        <v>96.964584962269342</v>
      </c>
      <c r="I16" s="35">
        <v>-3.0354150377306599</v>
      </c>
      <c r="Q16" s="34">
        <v>-1.0070655966503841</v>
      </c>
      <c r="R16" s="34">
        <v>99.784577446499569</v>
      </c>
      <c r="S16" s="34">
        <v>102.0339892161111</v>
      </c>
      <c r="T16" s="34">
        <v>-2.249411769611541</v>
      </c>
      <c r="U16" s="34">
        <v>-2.2045710325480049E-2</v>
      </c>
      <c r="V16" s="34">
        <v>-1.1989000000000001</v>
      </c>
      <c r="W16" s="34">
        <v>99.591208950118315</v>
      </c>
      <c r="X16" s="34">
        <v>-2.3940848385520912</v>
      </c>
      <c r="AF16" s="34">
        <v>0.78010000000000002</v>
      </c>
      <c r="AG16" s="34">
        <v>98.666089072098984</v>
      </c>
      <c r="AH16" s="34">
        <v>100</v>
      </c>
      <c r="AI16" s="34">
        <v>-1.333910927901016</v>
      </c>
      <c r="AJ16" s="34">
        <v>-1.333910927901016E-2</v>
      </c>
      <c r="AK16" s="34">
        <v>4.9000000000000002E-2</v>
      </c>
      <c r="AL16" s="34">
        <v>97.950324970648296</v>
      </c>
      <c r="AM16" s="34">
        <v>-2.0496750293517052</v>
      </c>
    </row>
    <row r="17" spans="1:39" x14ac:dyDescent="0.25">
      <c r="A17" s="34" t="s">
        <v>264</v>
      </c>
      <c r="B17" s="34" t="s">
        <v>265</v>
      </c>
      <c r="C17" s="34">
        <v>2.0398000000000001</v>
      </c>
      <c r="D17" s="34">
        <v>100.866809318563</v>
      </c>
      <c r="E17" s="34">
        <v>100.866809318563</v>
      </c>
      <c r="F17" s="34">
        <v>15886.85</v>
      </c>
      <c r="G17" s="35">
        <v>1.7299999999999999E-2</v>
      </c>
      <c r="H17" s="34">
        <v>98.867558811929356</v>
      </c>
      <c r="I17" s="35">
        <v>-1.1324411880706431</v>
      </c>
      <c r="Q17" s="34">
        <v>-0.50706218955926585</v>
      </c>
      <c r="R17" s="34">
        <v>99.278607583256886</v>
      </c>
      <c r="S17" s="34">
        <v>102.0339892161111</v>
      </c>
      <c r="T17" s="34">
        <v>-2.755381632854224</v>
      </c>
      <c r="U17" s="34">
        <v>-2.7004546759592449E-2</v>
      </c>
      <c r="V17" s="34">
        <v>-0.72189999999999999</v>
      </c>
      <c r="W17" s="34">
        <v>99.064232581913288</v>
      </c>
      <c r="X17" s="34">
        <v>-2.910556234264039</v>
      </c>
      <c r="AF17" s="34">
        <v>1.5327</v>
      </c>
      <c r="AG17" s="34">
        <v>100.17834421930699</v>
      </c>
      <c r="AH17" s="34">
        <v>100.17834421930699</v>
      </c>
      <c r="AI17" s="34"/>
      <c r="AJ17" s="34">
        <v>0</v>
      </c>
      <c r="AK17" s="34">
        <v>0.30420000000000003</v>
      </c>
      <c r="AL17" s="34">
        <v>98.966231315056305</v>
      </c>
      <c r="AM17" s="34">
        <v>-1.033768684943692</v>
      </c>
    </row>
    <row r="18" spans="1:39" x14ac:dyDescent="0.25">
      <c r="A18" s="34" t="s">
        <v>265</v>
      </c>
      <c r="B18" s="34" t="s">
        <v>266</v>
      </c>
      <c r="C18" s="34">
        <v>0.1273</v>
      </c>
      <c r="D18" s="34">
        <v>100.9952127668255</v>
      </c>
      <c r="E18" s="34">
        <v>100.9952127668255</v>
      </c>
      <c r="F18" s="34">
        <v>16213.55</v>
      </c>
      <c r="G18" s="35">
        <v>-0.57320000000000004</v>
      </c>
      <c r="H18" s="34">
        <v>100.288640767549</v>
      </c>
      <c r="I18" s="35">
        <v>-0.57319999999999593</v>
      </c>
      <c r="Q18" s="34">
        <v>0.35543245711443727</v>
      </c>
      <c r="R18" s="34">
        <v>99.631475977579058</v>
      </c>
      <c r="S18" s="34">
        <v>102.0339892161111</v>
      </c>
      <c r="T18" s="34">
        <v>-2.4025132385320518</v>
      </c>
      <c r="U18" s="34">
        <v>-2.3546205112528289E-2</v>
      </c>
      <c r="V18" s="34">
        <v>-0.26069999999999999</v>
      </c>
      <c r="W18" s="34">
        <v>99.019788253287331</v>
      </c>
      <c r="X18" s="34">
        <v>-2.954114590619028</v>
      </c>
      <c r="AF18" s="34">
        <v>0.48270000000000002</v>
      </c>
      <c r="AG18" s="34">
        <v>100.66190508685359</v>
      </c>
      <c r="AH18" s="34">
        <v>100.66190508685359</v>
      </c>
      <c r="AI18" s="34"/>
      <c r="AJ18" s="34">
        <v>0</v>
      </c>
      <c r="AK18" s="34">
        <v>5.5999999999999999E-3</v>
      </c>
      <c r="AL18" s="34">
        <v>100.18395420658329</v>
      </c>
      <c r="AM18" s="34">
        <v>5.6000000000055996E-3</v>
      </c>
    </row>
    <row r="19" spans="1:39" x14ac:dyDescent="0.25">
      <c r="A19" s="34" t="s">
        <v>266</v>
      </c>
      <c r="B19" s="34" t="s">
        <v>267</v>
      </c>
      <c r="C19" s="34">
        <v>1.3199000000000001</v>
      </c>
      <c r="D19" s="34">
        <v>102.3282485801348</v>
      </c>
      <c r="E19" s="34">
        <v>102.3282485801348</v>
      </c>
      <c r="F19" s="34">
        <v>16247.7</v>
      </c>
      <c r="G19" s="35">
        <v>-0.98970000000000002</v>
      </c>
      <c r="H19" s="34">
        <v>99.995663146072246</v>
      </c>
      <c r="I19" s="35">
        <v>-0.98969999999999336</v>
      </c>
      <c r="Q19" s="34">
        <v>-1.1780319025172139</v>
      </c>
      <c r="R19" s="34">
        <v>98.457785405614402</v>
      </c>
      <c r="S19" s="34">
        <v>102.0339892161111</v>
      </c>
      <c r="T19" s="34">
        <v>-3.576203810496708</v>
      </c>
      <c r="U19" s="34">
        <v>-3.5049142329642707E-2</v>
      </c>
      <c r="V19" s="34">
        <v>-1.44</v>
      </c>
      <c r="W19" s="34">
        <v>98.196782723501926</v>
      </c>
      <c r="X19" s="34">
        <v>-3.7607139758907842</v>
      </c>
      <c r="AF19" s="34">
        <v>0.1419</v>
      </c>
      <c r="AG19" s="34">
        <v>100.8047443301719</v>
      </c>
      <c r="AH19" s="34">
        <v>100.8047443301719</v>
      </c>
      <c r="AI19" s="34"/>
      <c r="AJ19" s="34">
        <v>0</v>
      </c>
      <c r="AK19" s="34">
        <v>-0.1227</v>
      </c>
      <c r="AL19" s="34">
        <v>100.5383929293121</v>
      </c>
      <c r="AM19" s="34">
        <v>-0.1226999999999978</v>
      </c>
    </row>
    <row r="20" spans="1:39" x14ac:dyDescent="0.25">
      <c r="A20" s="34" t="s">
        <v>267</v>
      </c>
      <c r="B20" s="34" t="s">
        <v>268</v>
      </c>
      <c r="C20" s="34">
        <v>0.62080000000000002</v>
      </c>
      <c r="D20" s="34">
        <v>102.9635023473203</v>
      </c>
      <c r="E20" s="34">
        <v>102.9635023473203</v>
      </c>
      <c r="F20" s="34">
        <v>16478.400000000001</v>
      </c>
      <c r="G20" s="35">
        <v>3.5499999999999997E-2</v>
      </c>
      <c r="H20" s="34">
        <v>102.36457510838081</v>
      </c>
      <c r="I20" s="35">
        <v>3.5500000000010523E-2</v>
      </c>
      <c r="Q20" s="34">
        <v>-0.49207379410105329</v>
      </c>
      <c r="R20" s="34">
        <v>97.973300445381113</v>
      </c>
      <c r="S20" s="34">
        <v>102.0339892161111</v>
      </c>
      <c r="T20" s="34">
        <v>-4.0606887707299961</v>
      </c>
      <c r="U20" s="34">
        <v>-3.9797412626191978E-2</v>
      </c>
      <c r="V20" s="34">
        <v>-1.0376000000000001</v>
      </c>
      <c r="W20" s="34">
        <v>97.436187424245745</v>
      </c>
      <c r="X20" s="34">
        <v>-4.5061472428830402</v>
      </c>
      <c r="AF20" s="34">
        <v>0.12870000000000001</v>
      </c>
      <c r="AG20" s="34">
        <v>100.9344800361248</v>
      </c>
      <c r="AH20" s="34">
        <v>100.9344800361248</v>
      </c>
      <c r="AI20" s="34"/>
      <c r="AJ20" s="34">
        <v>0</v>
      </c>
      <c r="AK20" s="34">
        <v>-0.2336</v>
      </c>
      <c r="AL20" s="34">
        <v>100.5692644474166</v>
      </c>
      <c r="AM20" s="34">
        <v>-0.2336000000000005</v>
      </c>
    </row>
    <row r="21" spans="1:39" x14ac:dyDescent="0.25">
      <c r="A21" s="34" t="s">
        <v>268</v>
      </c>
      <c r="B21" s="34" t="s">
        <v>269</v>
      </c>
      <c r="C21" s="34">
        <v>0.47520000000000001</v>
      </c>
      <c r="D21" s="34">
        <v>103.4527849104748</v>
      </c>
      <c r="E21" s="34">
        <v>103.4527849104748</v>
      </c>
      <c r="F21" s="34">
        <v>16583.45</v>
      </c>
      <c r="G21" s="35">
        <v>0.1163</v>
      </c>
      <c r="H21" s="34">
        <v>103.0832489005502</v>
      </c>
      <c r="I21" s="35">
        <v>0.1163000000000025</v>
      </c>
      <c r="Q21" s="34">
        <v>-1.17020288582501</v>
      </c>
      <c r="R21" s="34">
        <v>96.826814056231257</v>
      </c>
      <c r="S21" s="34">
        <v>102.0339892161111</v>
      </c>
      <c r="T21" s="34">
        <v>-5.2071751598798528</v>
      </c>
      <c r="U21" s="34">
        <v>-5.1033731013406677E-2</v>
      </c>
      <c r="V21" s="34">
        <v>-1.6523000000000001</v>
      </c>
      <c r="W21" s="34">
        <v>96.354487602122092</v>
      </c>
      <c r="X21" s="34">
        <v>-5.5662839977369316</v>
      </c>
      <c r="AF21" s="34">
        <v>-0.69499999999999995</v>
      </c>
      <c r="AG21" s="34">
        <v>100.2329853998738</v>
      </c>
      <c r="AH21" s="34">
        <v>100.9344800361248</v>
      </c>
      <c r="AI21" s="34">
        <v>-0.70149463625106989</v>
      </c>
      <c r="AJ21" s="34">
        <v>-6.950000000000023E-3</v>
      </c>
      <c r="AK21" s="34">
        <v>-0.69499999999999995</v>
      </c>
      <c r="AL21" s="34">
        <v>100.2329853998738</v>
      </c>
      <c r="AM21" s="34">
        <v>-0.69500000000000117</v>
      </c>
    </row>
    <row r="22" spans="1:39" x14ac:dyDescent="0.25">
      <c r="A22" s="34" t="s">
        <v>269</v>
      </c>
      <c r="B22" s="34" t="s">
        <v>270</v>
      </c>
      <c r="C22" s="34">
        <v>-1.4800000000000001E-2</v>
      </c>
      <c r="D22" s="34">
        <v>103.437473898308</v>
      </c>
      <c r="E22" s="34">
        <v>103.4527849104748</v>
      </c>
      <c r="F22" s="34">
        <v>16681.599999999999</v>
      </c>
      <c r="G22" s="35">
        <v>-0.22520000000000001</v>
      </c>
      <c r="H22" s="34">
        <v>103.2198092388564</v>
      </c>
      <c r="I22" s="35">
        <v>-0.2252000000000032</v>
      </c>
      <c r="Q22" s="34">
        <v>1.1290275404164281</v>
      </c>
      <c r="R22" s="34">
        <v>97.920015453433919</v>
      </c>
      <c r="S22" s="34">
        <v>102.0339892161111</v>
      </c>
      <c r="T22" s="34">
        <v>-4.1139737626771904</v>
      </c>
      <c r="U22" s="34">
        <v>-4.0319640487285743E-2</v>
      </c>
      <c r="V22" s="34">
        <v>-0.45040000000000002</v>
      </c>
      <c r="W22" s="34">
        <v>96.390706085722002</v>
      </c>
      <c r="X22" s="34">
        <v>-5.5307875088922209</v>
      </c>
      <c r="AF22" s="34">
        <v>1.1142000000000001</v>
      </c>
      <c r="AG22" s="34">
        <v>101.3497813231992</v>
      </c>
      <c r="AH22" s="34">
        <v>101.3497813231992</v>
      </c>
      <c r="AI22" s="34"/>
      <c r="AJ22" s="34">
        <v>0</v>
      </c>
      <c r="AK22" s="34">
        <v>0.83350000000000002</v>
      </c>
      <c r="AL22" s="34">
        <v>101.0684273331817</v>
      </c>
      <c r="AM22" s="34">
        <v>0.13270717500000201</v>
      </c>
    </row>
    <row r="23" spans="1:39" x14ac:dyDescent="0.25">
      <c r="A23" s="34" t="s">
        <v>270</v>
      </c>
      <c r="B23" s="34" t="s">
        <v>271</v>
      </c>
      <c r="C23" s="34">
        <v>1.6529</v>
      </c>
      <c r="D23" s="34">
        <v>105.1471919043732</v>
      </c>
      <c r="E23" s="34">
        <v>105.1471919043732</v>
      </c>
      <c r="F23" s="34">
        <v>16698.599999999999</v>
      </c>
      <c r="G23" s="35">
        <v>-0.56120000000000003</v>
      </c>
      <c r="H23" s="34">
        <v>102.8569827947907</v>
      </c>
      <c r="I23" s="35">
        <v>-0.57591694240000102</v>
      </c>
      <c r="Q23" s="34">
        <v>-1.8187653340878089</v>
      </c>
      <c r="R23" s="34">
        <v>96.139080157233437</v>
      </c>
      <c r="S23" s="34">
        <v>102.0339892161111</v>
      </c>
      <c r="T23" s="34">
        <v>-5.8949090588776727</v>
      </c>
      <c r="U23" s="34">
        <v>-5.7773974184152248E-2</v>
      </c>
      <c r="V23" s="34">
        <v>-2.3283999999999998</v>
      </c>
      <c r="W23" s="34">
        <v>95.640045813616169</v>
      </c>
      <c r="X23" s="34">
        <v>-6.2664837978179673</v>
      </c>
      <c r="AF23" s="34">
        <v>-0.16589999999999999</v>
      </c>
      <c r="AG23" s="34">
        <v>101.181642035984</v>
      </c>
      <c r="AH23" s="34">
        <v>101.3497813231992</v>
      </c>
      <c r="AI23" s="34">
        <v>-0.1681392872151832</v>
      </c>
      <c r="AJ23" s="34">
        <v>-1.6589999999999589E-3</v>
      </c>
      <c r="AK23" s="34">
        <v>-0.27360000000000001</v>
      </c>
      <c r="AL23" s="34">
        <v>101.07248832149889</v>
      </c>
      <c r="AM23" s="34">
        <v>-0.27359999999999612</v>
      </c>
    </row>
    <row r="24" spans="1:39" x14ac:dyDescent="0.25">
      <c r="A24" s="34" t="s">
        <v>271</v>
      </c>
      <c r="B24" s="34" t="s">
        <v>272</v>
      </c>
      <c r="C24" s="34">
        <v>0.17080000000000001</v>
      </c>
      <c r="D24" s="34">
        <v>105.32678330814581</v>
      </c>
      <c r="E24" s="34">
        <v>105.32678330814581</v>
      </c>
      <c r="F24" s="34">
        <v>16994.099999999999</v>
      </c>
      <c r="G24" s="35">
        <v>-1.4095</v>
      </c>
      <c r="H24" s="34">
        <v>103.665142234481</v>
      </c>
      <c r="I24" s="35">
        <v>-1.4094999999999971</v>
      </c>
      <c r="Q24" s="34">
        <v>-0.76672417097949008</v>
      </c>
      <c r="R24" s="34">
        <v>95.401958591910571</v>
      </c>
      <c r="S24" s="34">
        <v>102.0339892161111</v>
      </c>
      <c r="T24" s="34">
        <v>-6.6320306242005387</v>
      </c>
      <c r="U24" s="34">
        <v>-6.4998248869341912E-2</v>
      </c>
      <c r="V24" s="34">
        <v>-1.1175999999999999</v>
      </c>
      <c r="W24" s="34">
        <v>95.064629797396194</v>
      </c>
      <c r="X24" s="34">
        <v>-6.830429224867018</v>
      </c>
      <c r="AF24" s="34">
        <v>-0.59589999999999999</v>
      </c>
      <c r="AG24" s="34">
        <v>100.57870063109149</v>
      </c>
      <c r="AH24" s="34">
        <v>101.3497813231992</v>
      </c>
      <c r="AI24" s="34">
        <v>-0.77108069210761698</v>
      </c>
      <c r="AJ24" s="34">
        <v>-7.6081140190000117E-3</v>
      </c>
      <c r="AK24" s="34">
        <v>-0.59589999999999999</v>
      </c>
      <c r="AL24" s="34">
        <v>100.57870063109149</v>
      </c>
      <c r="AM24" s="34">
        <v>-0.76081140189999674</v>
      </c>
    </row>
    <row r="25" spans="1:39" x14ac:dyDescent="0.25">
      <c r="A25" s="34" t="s">
        <v>272</v>
      </c>
      <c r="B25" s="34" t="s">
        <v>273</v>
      </c>
      <c r="C25" s="34">
        <v>-0.30620000000000003</v>
      </c>
      <c r="D25" s="34">
        <v>105.0042726976563</v>
      </c>
      <c r="E25" s="34">
        <v>105.32678330814581</v>
      </c>
      <c r="F25" s="34">
        <v>17042.95</v>
      </c>
      <c r="G25" s="35">
        <v>-1.3818999999999999</v>
      </c>
      <c r="H25" s="34">
        <v>103.8712724896106</v>
      </c>
      <c r="I25" s="35">
        <v>-1.381900000000003</v>
      </c>
      <c r="Q25" s="34">
        <v>0.56980174700637154</v>
      </c>
      <c r="R25" s="34">
        <v>95.945560618645587</v>
      </c>
      <c r="S25" s="34">
        <v>102.0339892161111</v>
      </c>
      <c r="T25" s="34">
        <v>-6.0884285974655228</v>
      </c>
      <c r="U25" s="34">
        <v>-5.9670592556859123E-2</v>
      </c>
      <c r="V25" s="34">
        <v>-0.29010000000000002</v>
      </c>
      <c r="W25" s="34">
        <v>95.125197510035434</v>
      </c>
      <c r="X25" s="34">
        <v>-6.7710688949371933</v>
      </c>
      <c r="AF25" s="34">
        <v>0.2636</v>
      </c>
      <c r="AG25" s="34">
        <v>100.8438260859551</v>
      </c>
      <c r="AH25" s="34">
        <v>101.3497813231992</v>
      </c>
      <c r="AI25" s="34">
        <v>-0.50595523724405211</v>
      </c>
      <c r="AJ25" s="34">
        <v>-4.9921690075540202E-3</v>
      </c>
      <c r="AK25" s="34">
        <v>-0.27200000000000002</v>
      </c>
      <c r="AL25" s="34">
        <v>100.30512656537501</v>
      </c>
      <c r="AM25" s="34">
        <v>-1.030741994886841</v>
      </c>
    </row>
    <row r="26" spans="1:39" x14ac:dyDescent="0.25">
      <c r="A26" s="34" t="s">
        <v>273</v>
      </c>
      <c r="B26" s="34" t="s">
        <v>274</v>
      </c>
      <c r="C26" s="34">
        <v>-2.3203</v>
      </c>
      <c r="D26" s="34">
        <v>102.5678585582526</v>
      </c>
      <c r="E26" s="34">
        <v>105.32678330814581</v>
      </c>
      <c r="F26" s="34">
        <v>17010.650000000001</v>
      </c>
      <c r="G26" s="35">
        <v>-3.2166000000000001</v>
      </c>
      <c r="H26" s="34">
        <v>101.6267052620635</v>
      </c>
      <c r="I26" s="35">
        <v>-3.5129507707999941</v>
      </c>
      <c r="Q26" s="34">
        <v>1.2392885611797531</v>
      </c>
      <c r="R26" s="34">
        <v>97.134602976352255</v>
      </c>
      <c r="S26" s="34">
        <v>102.0339892161111</v>
      </c>
      <c r="T26" s="34">
        <v>-4.8993862397588543</v>
      </c>
      <c r="U26" s="34">
        <v>-4.8017197773006837E-2</v>
      </c>
      <c r="V26" s="34">
        <v>-0.25619999999999998</v>
      </c>
      <c r="W26" s="34">
        <v>95.699748092340627</v>
      </c>
      <c r="X26" s="34">
        <v>-6.2079716498728343</v>
      </c>
      <c r="AF26" s="34">
        <v>-1.081</v>
      </c>
      <c r="AG26" s="34">
        <v>99.753704325965927</v>
      </c>
      <c r="AH26" s="34">
        <v>101.3497813231992</v>
      </c>
      <c r="AI26" s="34">
        <v>-1.596076997233226</v>
      </c>
      <c r="AJ26" s="34">
        <v>-1.5748203660582352E-2</v>
      </c>
      <c r="AK26" s="34">
        <v>-1.5808</v>
      </c>
      <c r="AL26" s="34">
        <v>99.249686883188318</v>
      </c>
      <c r="AM26" s="34">
        <v>-2.0721252799882679</v>
      </c>
    </row>
    <row r="27" spans="1:39" x14ac:dyDescent="0.25">
      <c r="A27" s="34" t="s">
        <v>274</v>
      </c>
      <c r="B27" s="34" t="s">
        <v>275</v>
      </c>
      <c r="C27" s="34">
        <v>1.7496</v>
      </c>
      <c r="D27" s="34">
        <v>104.3623858115878</v>
      </c>
      <c r="E27" s="34">
        <v>105.32678330814581</v>
      </c>
      <c r="F27" s="34">
        <v>16635.8</v>
      </c>
      <c r="G27" s="35">
        <v>0.221</v>
      </c>
      <c r="H27" s="34">
        <v>102.7945335256663</v>
      </c>
      <c r="I27" s="35">
        <v>-2.4041841048835</v>
      </c>
      <c r="Q27" s="34">
        <v>-1.983182411640491</v>
      </c>
      <c r="R27" s="34">
        <v>95.208246614508411</v>
      </c>
      <c r="S27" s="34">
        <v>102.0339892161111</v>
      </c>
      <c r="T27" s="34">
        <v>-6.8257426016026983</v>
      </c>
      <c r="U27" s="34">
        <v>-6.6896753268614897E-2</v>
      </c>
      <c r="V27" s="34">
        <v>-2.0735000000000001</v>
      </c>
      <c r="W27" s="34">
        <v>95.1205169836376</v>
      </c>
      <c r="X27" s="34">
        <v>-6.7756561177183432</v>
      </c>
      <c r="AF27" s="34">
        <v>-0.2336</v>
      </c>
      <c r="AG27" s="34">
        <v>99.520679672660464</v>
      </c>
      <c r="AH27" s="34">
        <v>101.3497813231992</v>
      </c>
      <c r="AI27" s="34">
        <v>-1.829101650538689</v>
      </c>
      <c r="AJ27" s="34">
        <v>-1.8047415856831301E-2</v>
      </c>
      <c r="AK27" s="34">
        <v>-0.23649999999999999</v>
      </c>
      <c r="AL27" s="34">
        <v>99.517786815235027</v>
      </c>
      <c r="AM27" s="34">
        <v>-1.807595915892501</v>
      </c>
    </row>
    <row r="28" spans="1:39" x14ac:dyDescent="0.25">
      <c r="A28" s="34" t="s">
        <v>275</v>
      </c>
      <c r="B28" s="34" t="s">
        <v>276</v>
      </c>
      <c r="C28" s="34">
        <v>-0.3175</v>
      </c>
      <c r="D28" s="34">
        <v>104.031035236636</v>
      </c>
      <c r="E28" s="34">
        <v>105.32678330814581</v>
      </c>
      <c r="F28" s="34">
        <v>16932.400000000001</v>
      </c>
      <c r="G28" s="35">
        <v>-0.70609999999999995</v>
      </c>
      <c r="H28" s="34">
        <v>103.6254830053721</v>
      </c>
      <c r="I28" s="35">
        <v>-1.6152589582047241</v>
      </c>
      <c r="Q28" s="34">
        <v>-0.6788453424011518</v>
      </c>
      <c r="R28" s="34">
        <v>94.561929866784027</v>
      </c>
      <c r="S28" s="34">
        <v>102.0339892161111</v>
      </c>
      <c r="T28" s="34">
        <v>-7.4720593493270826</v>
      </c>
      <c r="U28" s="34">
        <v>-7.323108119884475E-2</v>
      </c>
      <c r="V28" s="34">
        <v>-0.77600000000000002</v>
      </c>
      <c r="W28" s="34">
        <v>94.469430620779832</v>
      </c>
      <c r="X28" s="34">
        <v>-7.4137634463250386</v>
      </c>
      <c r="AF28" s="34">
        <v>-0.99629999999999996</v>
      </c>
      <c r="AG28" s="34">
        <v>98.529155141081759</v>
      </c>
      <c r="AH28" s="34">
        <v>101.3497813231992</v>
      </c>
      <c r="AI28" s="34">
        <v>-2.8206261821173939</v>
      </c>
      <c r="AJ28" s="34">
        <v>-2.783060945264958E-2</v>
      </c>
      <c r="AK28" s="34">
        <v>-0.99629999999999996</v>
      </c>
      <c r="AL28" s="34">
        <v>98.529155141081759</v>
      </c>
      <c r="AM28" s="34">
        <v>-2.7830609452649591</v>
      </c>
    </row>
    <row r="29" spans="1:39" x14ac:dyDescent="0.25">
      <c r="A29" s="34" t="s">
        <v>276</v>
      </c>
      <c r="B29" s="34" t="s">
        <v>277</v>
      </c>
      <c r="C29" s="34">
        <v>5.7599999999999998E-2</v>
      </c>
      <c r="D29" s="34">
        <v>104.0909571129323</v>
      </c>
      <c r="E29" s="34">
        <v>105.32678330814581</v>
      </c>
      <c r="F29" s="34">
        <v>16892.75</v>
      </c>
      <c r="G29" s="35">
        <v>-0.32529999999999998</v>
      </c>
      <c r="H29" s="34">
        <v>103.6926222790112</v>
      </c>
      <c r="I29" s="35">
        <v>-1.551515177629337</v>
      </c>
      <c r="Q29" s="34">
        <v>-0.1157781477951013</v>
      </c>
      <c r="R29" s="34">
        <v>94.452447815864971</v>
      </c>
      <c r="S29" s="34">
        <v>102.0339892161111</v>
      </c>
      <c r="T29" s="34">
        <v>-7.5815414002461381</v>
      </c>
      <c r="U29" s="34">
        <v>-7.4304077087373327E-2</v>
      </c>
      <c r="V29" s="34">
        <v>-0.187</v>
      </c>
      <c r="W29" s="34">
        <v>94.385099057933132</v>
      </c>
      <c r="X29" s="34">
        <v>-7.496413907700294</v>
      </c>
      <c r="AF29" s="34">
        <v>-5.8200000000000002E-2</v>
      </c>
      <c r="AG29" s="34">
        <v>98.471811172789657</v>
      </c>
      <c r="AH29" s="34">
        <v>101.3497813231992</v>
      </c>
      <c r="AI29" s="34">
        <v>-2.8779701504094959</v>
      </c>
      <c r="AJ29" s="34">
        <v>-2.8396412037948061E-2</v>
      </c>
      <c r="AK29" s="34">
        <v>-0.1089</v>
      </c>
      <c r="AL29" s="34">
        <v>98.421856891133118</v>
      </c>
      <c r="AM29" s="34">
        <v>-2.8889301918955672</v>
      </c>
    </row>
    <row r="30" spans="1:39" x14ac:dyDescent="0.25">
      <c r="A30" s="34" t="s">
        <v>277</v>
      </c>
      <c r="B30" s="34" t="s">
        <v>278</v>
      </c>
      <c r="C30" s="34">
        <v>-0.39829999999999999</v>
      </c>
      <c r="D30" s="34">
        <v>103.6763628307515</v>
      </c>
      <c r="E30" s="34">
        <v>105.32678330814581</v>
      </c>
      <c r="F30" s="34">
        <v>16905.3</v>
      </c>
      <c r="G30" s="35">
        <v>-0.51380000000000003</v>
      </c>
      <c r="H30" s="34">
        <v>103.556137775286</v>
      </c>
      <c r="I30" s="35">
        <v>-1.6810971314671239</v>
      </c>
      <c r="Q30" s="34">
        <v>0.52774537712994596</v>
      </c>
      <c r="R30" s="34">
        <v>94.950916242799266</v>
      </c>
      <c r="S30" s="34">
        <v>102.0339892161111</v>
      </c>
      <c r="T30" s="34">
        <v>-7.0830729733118432</v>
      </c>
      <c r="U30" s="34">
        <v>-6.9418759647921616E-2</v>
      </c>
      <c r="V30" s="34">
        <v>-0.34050000000000002</v>
      </c>
      <c r="W30" s="34">
        <v>94.130837231051956</v>
      </c>
      <c r="X30" s="34">
        <v>-7.7456071704890768</v>
      </c>
      <c r="AF30" s="34">
        <v>0.12939999999999999</v>
      </c>
      <c r="AG30" s="34">
        <v>98.599233696447243</v>
      </c>
      <c r="AH30" s="34">
        <v>101.3497813231992</v>
      </c>
      <c r="AI30" s="34">
        <v>-2.75054762675191</v>
      </c>
      <c r="AJ30" s="34">
        <v>-2.7139156995125199E-2</v>
      </c>
      <c r="AK30" s="34">
        <v>6.2799999999999995E-2</v>
      </c>
      <c r="AL30" s="34">
        <v>98.533651470206181</v>
      </c>
      <c r="AM30" s="34">
        <v>-2.7786244984707831</v>
      </c>
    </row>
    <row r="31" spans="1:39" x14ac:dyDescent="0.25">
      <c r="A31" s="34" t="s">
        <v>278</v>
      </c>
      <c r="B31" s="34" t="s">
        <v>279</v>
      </c>
      <c r="C31" s="34">
        <v>1.5946</v>
      </c>
      <c r="D31" s="34">
        <v>105.3295861124506</v>
      </c>
      <c r="E31" s="34">
        <v>105.3295861124506</v>
      </c>
      <c r="F31" s="34">
        <v>16852.05</v>
      </c>
      <c r="G31" s="35">
        <v>-0.1018</v>
      </c>
      <c r="H31" s="34">
        <v>103.5708202933898</v>
      </c>
      <c r="I31" s="35">
        <v>-1.667157165161703</v>
      </c>
      <c r="Q31" s="34">
        <v>0.47156874383419778</v>
      </c>
      <c r="R31" s="34">
        <v>95.398675085784504</v>
      </c>
      <c r="S31" s="34">
        <v>102.0339892161111</v>
      </c>
      <c r="T31" s="34">
        <v>-6.6353141303266057</v>
      </c>
      <c r="U31" s="34">
        <v>-6.5030429382436541E-2</v>
      </c>
      <c r="V31" s="34">
        <v>-0.38769999999999999</v>
      </c>
      <c r="W31" s="34">
        <v>94.582791540525932</v>
      </c>
      <c r="X31" s="34">
        <v>-7.3026623116766656</v>
      </c>
      <c r="AF31" s="34">
        <v>2.0661999999999998</v>
      </c>
      <c r="AG31" s="34">
        <v>100.6364910630832</v>
      </c>
      <c r="AH31" s="34">
        <v>101.3497813231992</v>
      </c>
      <c r="AI31" s="34">
        <v>-0.71329026011592589</v>
      </c>
      <c r="AJ31" s="34">
        <v>-7.0379062569585673E-3</v>
      </c>
      <c r="AK31" s="34">
        <v>0.65869999999999995</v>
      </c>
      <c r="AL31" s="34">
        <v>99.248706848805725</v>
      </c>
      <c r="AM31" s="34">
        <v>-2.073092262225229</v>
      </c>
    </row>
    <row r="32" spans="1:39" x14ac:dyDescent="0.25">
      <c r="A32" s="34" t="s">
        <v>279</v>
      </c>
      <c r="B32" s="34" t="s">
        <v>280</v>
      </c>
      <c r="C32" s="34">
        <v>-0.51890000000000003</v>
      </c>
      <c r="D32" s="34">
        <v>104.7830308901131</v>
      </c>
      <c r="E32" s="34">
        <v>105.3295861124506</v>
      </c>
      <c r="F32" s="34">
        <v>17143.25</v>
      </c>
      <c r="G32" s="35">
        <v>-1.9891000000000001</v>
      </c>
      <c r="H32" s="34">
        <v>103.23447531508791</v>
      </c>
      <c r="I32" s="35">
        <v>-1.989099999999999</v>
      </c>
      <c r="Q32" s="34">
        <v>1.1631438538887751</v>
      </c>
      <c r="R32" s="34">
        <v>96.508298911736134</v>
      </c>
      <c r="S32" s="34">
        <v>102.0339892161111</v>
      </c>
      <c r="T32" s="34">
        <v>-5.5256903043749759</v>
      </c>
      <c r="U32" s="34">
        <v>-5.4155388286068043E-2</v>
      </c>
      <c r="V32" s="34">
        <v>-0.65260000000000007</v>
      </c>
      <c r="W32" s="34">
        <v>94.776103332174671</v>
      </c>
      <c r="X32" s="34">
        <v>-7.1132040800286784</v>
      </c>
      <c r="AF32" s="34">
        <v>0.64419999999999999</v>
      </c>
      <c r="AG32" s="34">
        <v>101.2847913385116</v>
      </c>
      <c r="AH32" s="34">
        <v>101.3497813231992</v>
      </c>
      <c r="AI32" s="34">
        <v>-6.4989984687542801E-2</v>
      </c>
      <c r="AJ32" s="34">
        <v>-6.412444490658854E-4</v>
      </c>
      <c r="AK32" s="34">
        <v>-0.34370000000000001</v>
      </c>
      <c r="AL32" s="34">
        <v>100.2906034432994</v>
      </c>
      <c r="AM32" s="34">
        <v>-1.0450716973153471</v>
      </c>
    </row>
    <row r="33" spans="1:39" x14ac:dyDescent="0.25">
      <c r="A33" s="34" t="s">
        <v>280</v>
      </c>
      <c r="B33" s="34" t="s">
        <v>281</v>
      </c>
      <c r="C33" s="34">
        <v>1.4202999999999999</v>
      </c>
      <c r="D33" s="34">
        <v>106.2712642778454</v>
      </c>
      <c r="E33" s="34">
        <v>106.2712642778454</v>
      </c>
      <c r="F33" s="34">
        <v>17074.3</v>
      </c>
      <c r="G33" s="35">
        <v>0.88419999999999999</v>
      </c>
      <c r="H33" s="34">
        <v>105.70952244924349</v>
      </c>
      <c r="I33" s="35">
        <v>0.36071188620001582</v>
      </c>
      <c r="Q33" s="34">
        <v>-1.7280162323757731</v>
      </c>
      <c r="R33" s="34">
        <v>94.840619840951604</v>
      </c>
      <c r="S33" s="34">
        <v>102.0339892161111</v>
      </c>
      <c r="T33" s="34">
        <v>-7.1933693751595058</v>
      </c>
      <c r="U33" s="34">
        <v>-7.0499736709536368E-2</v>
      </c>
      <c r="V33" s="34">
        <v>-1.8124</v>
      </c>
      <c r="W33" s="34">
        <v>94.759182502259819</v>
      </c>
      <c r="X33" s="34">
        <v>-7.1297876028771467</v>
      </c>
      <c r="AF33" s="34">
        <v>-0.30769999999999997</v>
      </c>
      <c r="AG33" s="34">
        <v>100.973138035563</v>
      </c>
      <c r="AH33" s="34">
        <v>101.3497813231992</v>
      </c>
      <c r="AI33" s="34">
        <v>-0.37664328763614208</v>
      </c>
      <c r="AJ33" s="34">
        <v>-3.7162713398961001E-3</v>
      </c>
      <c r="AK33" s="34">
        <v>-0.30769999999999997</v>
      </c>
      <c r="AL33" s="34">
        <v>100.973138035563</v>
      </c>
      <c r="AM33" s="34">
        <v>-0.3716271339896049</v>
      </c>
    </row>
    <row r="34" spans="1:39" x14ac:dyDescent="0.25">
      <c r="A34" s="34" t="s">
        <v>281</v>
      </c>
      <c r="B34" s="34" t="s">
        <v>282</v>
      </c>
      <c r="C34" s="34">
        <v>1.8335999999999999</v>
      </c>
      <c r="D34" s="34">
        <v>108.219854179644</v>
      </c>
      <c r="E34" s="34">
        <v>108.219854179644</v>
      </c>
      <c r="F34" s="34">
        <v>17319.650000000001</v>
      </c>
      <c r="G34" s="35">
        <v>0.192</v>
      </c>
      <c r="H34" s="34">
        <v>106.4753051052589</v>
      </c>
      <c r="I34" s="35">
        <v>0.1919999999999922</v>
      </c>
      <c r="Q34" s="34">
        <v>-0.90455881269493033</v>
      </c>
      <c r="R34" s="34">
        <v>93.982730656165771</v>
      </c>
      <c r="S34" s="34">
        <v>102.0339892161111</v>
      </c>
      <c r="T34" s="34">
        <v>-8.0512585599453388</v>
      </c>
      <c r="U34" s="34">
        <v>-7.8907613255152914E-2</v>
      </c>
      <c r="V34" s="34">
        <v>-0.99950000000000006</v>
      </c>
      <c r="W34" s="34">
        <v>93.892687845641291</v>
      </c>
      <c r="X34" s="34">
        <v>-7.9790091841124511</v>
      </c>
      <c r="AF34" s="34">
        <v>0.92900000000000005</v>
      </c>
      <c r="AG34" s="34">
        <v>101.9111784879134</v>
      </c>
      <c r="AH34" s="34">
        <v>101.9111784879134</v>
      </c>
      <c r="AI34" s="34"/>
      <c r="AJ34" s="34">
        <v>0</v>
      </c>
      <c r="AK34" s="34">
        <v>0.2944</v>
      </c>
      <c r="AL34" s="34">
        <v>101.27040295393969</v>
      </c>
      <c r="AM34" s="34">
        <v>-7.8321204272080447E-2</v>
      </c>
    </row>
    <row r="35" spans="1:39" x14ac:dyDescent="0.25">
      <c r="A35" s="34" t="s">
        <v>282</v>
      </c>
      <c r="B35" s="34" t="s">
        <v>283</v>
      </c>
      <c r="C35" s="34">
        <v>1.0283</v>
      </c>
      <c r="D35" s="34">
        <v>109.3326789401733</v>
      </c>
      <c r="E35" s="34">
        <v>109.3326789401733</v>
      </c>
      <c r="F35" s="34">
        <v>17651.650000000001</v>
      </c>
      <c r="G35" s="35">
        <v>-0.17530000000000001</v>
      </c>
      <c r="H35" s="34">
        <v>108.0301447752671</v>
      </c>
      <c r="I35" s="35">
        <v>-0.17530000000000051</v>
      </c>
      <c r="Q35" s="34">
        <v>0.19211635375294239</v>
      </c>
      <c r="R35" s="34">
        <v>94.163286851459844</v>
      </c>
      <c r="S35" s="34">
        <v>102.0339892161111</v>
      </c>
      <c r="T35" s="34">
        <v>-7.8707023646512653</v>
      </c>
      <c r="U35" s="34">
        <v>-7.713804414704277E-2</v>
      </c>
      <c r="V35" s="34">
        <v>4.41E-2</v>
      </c>
      <c r="W35" s="34">
        <v>94.024177040385126</v>
      </c>
      <c r="X35" s="34">
        <v>-7.8501411512598596</v>
      </c>
      <c r="AF35" s="34">
        <v>1.2203999999999999</v>
      </c>
      <c r="AG35" s="34">
        <v>103.15490251017989</v>
      </c>
      <c r="AH35" s="34">
        <v>103.15490251017989</v>
      </c>
      <c r="AI35" s="34"/>
      <c r="AJ35" s="34">
        <v>0</v>
      </c>
      <c r="AK35" s="34">
        <v>0.43780000000000002</v>
      </c>
      <c r="AL35" s="34">
        <v>102.3573456273335</v>
      </c>
      <c r="AM35" s="34">
        <v>0.4377999999999993</v>
      </c>
    </row>
    <row r="36" spans="1:39" x14ac:dyDescent="0.25">
      <c r="A36" s="34" t="s">
        <v>283</v>
      </c>
      <c r="B36" s="34" t="s">
        <v>284</v>
      </c>
      <c r="C36" s="34">
        <v>0.41539999999999999</v>
      </c>
      <c r="D36" s="34">
        <v>109.7868468884907</v>
      </c>
      <c r="E36" s="34">
        <v>109.7868468884907</v>
      </c>
      <c r="F36" s="34">
        <v>17836.099999999999</v>
      </c>
      <c r="G36" s="35">
        <v>0.2054</v>
      </c>
      <c r="H36" s="34">
        <v>109.5572482627164</v>
      </c>
      <c r="I36" s="35">
        <v>0.2054</v>
      </c>
      <c r="Q36" s="34">
        <v>2.323527743796229</v>
      </c>
      <c r="R36" s="34">
        <v>96.351196945923945</v>
      </c>
      <c r="S36" s="34">
        <v>102.0339892161111</v>
      </c>
      <c r="T36" s="34">
        <v>-5.6827922701871643</v>
      </c>
      <c r="U36" s="34">
        <v>-5.5695090565858758E-2</v>
      </c>
      <c r="V36" s="34">
        <v>-0.59870000000000001</v>
      </c>
      <c r="W36" s="34">
        <v>93.599531253080158</v>
      </c>
      <c r="X36" s="34">
        <v>-8.2663218676734438</v>
      </c>
      <c r="AF36" s="34">
        <v>2.7389000000000001</v>
      </c>
      <c r="AG36" s="34">
        <v>105.98021213503119</v>
      </c>
      <c r="AH36" s="34">
        <v>105.98021213503119</v>
      </c>
      <c r="AI36" s="34"/>
      <c r="AJ36" s="34">
        <v>0</v>
      </c>
      <c r="AK36" s="34">
        <v>1.002</v>
      </c>
      <c r="AL36" s="34">
        <v>104.18851463333191</v>
      </c>
      <c r="AM36" s="34">
        <v>1.001999999999992</v>
      </c>
    </row>
    <row r="37" spans="1:39" x14ac:dyDescent="0.25">
      <c r="A37" s="34" t="s">
        <v>284</v>
      </c>
      <c r="B37" s="34" t="s">
        <v>285</v>
      </c>
      <c r="C37" s="34">
        <v>2.3435999999999999</v>
      </c>
      <c r="D37" s="34">
        <v>112.35981143216939</v>
      </c>
      <c r="E37" s="34">
        <v>112.35981143216939</v>
      </c>
      <c r="F37" s="34">
        <v>17931</v>
      </c>
      <c r="G37" s="35">
        <v>6.9500000000000006E-2</v>
      </c>
      <c r="H37" s="34">
        <v>109.8631487470782</v>
      </c>
      <c r="I37" s="35">
        <v>6.9499999999989015E-2</v>
      </c>
      <c r="Q37" s="34">
        <v>-1.658145355128068</v>
      </c>
      <c r="R37" s="34">
        <v>94.753554049154801</v>
      </c>
      <c r="S37" s="34">
        <v>102.0339892161111</v>
      </c>
      <c r="T37" s="34">
        <v>-7.280435166956309</v>
      </c>
      <c r="U37" s="34">
        <v>-7.135303855988738E-2</v>
      </c>
      <c r="V37" s="34">
        <v>-1.9782</v>
      </c>
      <c r="W37" s="34">
        <v>94.44517756793968</v>
      </c>
      <c r="X37" s="34">
        <v>-7.4375330284284891</v>
      </c>
      <c r="AF37" s="34">
        <v>0.6855</v>
      </c>
      <c r="AG37" s="34">
        <v>106.7067064892169</v>
      </c>
      <c r="AH37" s="34">
        <v>106.7067064892169</v>
      </c>
      <c r="AI37" s="34"/>
      <c r="AJ37" s="34">
        <v>0</v>
      </c>
      <c r="AK37" s="34">
        <v>0.61180000000000001</v>
      </c>
      <c r="AL37" s="34">
        <v>106.6285990728734</v>
      </c>
      <c r="AM37" s="34">
        <v>0.61180000000000678</v>
      </c>
    </row>
    <row r="38" spans="1:39" x14ac:dyDescent="0.25">
      <c r="A38" s="34" t="s">
        <v>285</v>
      </c>
      <c r="B38" s="34" t="s">
        <v>286</v>
      </c>
      <c r="C38" s="34">
        <v>-0.54149999999999998</v>
      </c>
      <c r="D38" s="34">
        <v>111.75138305326421</v>
      </c>
      <c r="E38" s="34">
        <v>112.35981143216939</v>
      </c>
      <c r="F38" s="34">
        <v>18357.2</v>
      </c>
      <c r="G38" s="35">
        <v>-1.0529999999999999</v>
      </c>
      <c r="H38" s="34">
        <v>111.17666261778869</v>
      </c>
      <c r="I38" s="35">
        <v>-1.0530000000000039</v>
      </c>
      <c r="Q38" s="34">
        <v>1.98640622129692</v>
      </c>
      <c r="R38" s="34">
        <v>96.635744541687146</v>
      </c>
      <c r="S38" s="34">
        <v>102.0339892161111</v>
      </c>
      <c r="T38" s="34">
        <v>-5.3982446744239638</v>
      </c>
      <c r="U38" s="34">
        <v>-5.2906337543956232E-2</v>
      </c>
      <c r="V38" s="34">
        <v>0.78299999999999992</v>
      </c>
      <c r="W38" s="34">
        <v>95.495474377359685</v>
      </c>
      <c r="X38" s="34">
        <v>-6.4081732851811291</v>
      </c>
      <c r="AF38" s="34">
        <v>1.4449000000000001</v>
      </c>
      <c r="AG38" s="34">
        <v>108.2485116912796</v>
      </c>
      <c r="AH38" s="34">
        <v>108.2485116912796</v>
      </c>
      <c r="AI38" s="34"/>
      <c r="AJ38" s="34">
        <v>0</v>
      </c>
      <c r="AK38" s="34">
        <v>1.4449000000000001</v>
      </c>
      <c r="AL38" s="34">
        <v>108.2485116912796</v>
      </c>
      <c r="AM38" s="34">
        <v>1.444899999999993</v>
      </c>
    </row>
    <row r="39" spans="1:39" x14ac:dyDescent="0.25">
      <c r="A39" s="34" t="s">
        <v>286</v>
      </c>
      <c r="B39" s="34" t="s">
        <v>287</v>
      </c>
      <c r="C39" s="34">
        <v>-0.97799999999999998</v>
      </c>
      <c r="D39" s="34">
        <v>110.6584545270033</v>
      </c>
      <c r="E39" s="34">
        <v>112.35981143216939</v>
      </c>
      <c r="F39" s="34">
        <v>18273.099999999999</v>
      </c>
      <c r="G39" s="35">
        <v>-4.8338000000000001</v>
      </c>
      <c r="H39" s="34">
        <v>106.34954469923549</v>
      </c>
      <c r="I39" s="35">
        <v>-5.3491249729999861</v>
      </c>
      <c r="Q39" s="34">
        <v>0.78074116822622519</v>
      </c>
      <c r="R39" s="34">
        <v>97.390219582546024</v>
      </c>
      <c r="S39" s="34">
        <v>102.0339892161111</v>
      </c>
      <c r="T39" s="34">
        <v>-4.6437696335650864</v>
      </c>
      <c r="U39" s="34">
        <v>-4.5511987419500383E-2</v>
      </c>
      <c r="V39" s="34">
        <v>-0.376</v>
      </c>
      <c r="W39" s="34">
        <v>96.272394142210402</v>
      </c>
      <c r="X39" s="34">
        <v>-5.6467409714790922</v>
      </c>
      <c r="AF39" s="34">
        <v>-0.1973</v>
      </c>
      <c r="AG39" s="34">
        <v>108.03493737771269</v>
      </c>
      <c r="AH39" s="34">
        <v>108.2485116912796</v>
      </c>
      <c r="AI39" s="34">
        <v>-0.2135743135668946</v>
      </c>
      <c r="AJ39" s="34">
        <v>-1.9729999999999999E-3</v>
      </c>
      <c r="AK39" s="34">
        <v>-1.0798000000000001</v>
      </c>
      <c r="AL39" s="34">
        <v>107.07964426203711</v>
      </c>
      <c r="AM39" s="34">
        <v>-1.079799999999997</v>
      </c>
    </row>
    <row r="40" spans="1:39" x14ac:dyDescent="0.25">
      <c r="A40" s="34" t="s">
        <v>287</v>
      </c>
      <c r="B40" s="34" t="s">
        <v>288</v>
      </c>
      <c r="C40" s="34">
        <v>0.17949999999999999</v>
      </c>
      <c r="D40" s="34">
        <v>110.8570864528793</v>
      </c>
      <c r="E40" s="34">
        <v>112.35981143216939</v>
      </c>
      <c r="F40" s="34">
        <v>18115.7</v>
      </c>
      <c r="G40" s="35">
        <v>-0.1497</v>
      </c>
      <c r="H40" s="34">
        <v>110.4927988205764</v>
      </c>
      <c r="I40" s="35">
        <v>-1.661637366417368</v>
      </c>
      <c r="Q40" s="34">
        <v>-0.97235951245538355</v>
      </c>
      <c r="R40" s="34">
        <v>96.443236518233959</v>
      </c>
      <c r="S40" s="34">
        <v>102.0339892161111</v>
      </c>
      <c r="T40" s="34">
        <v>-5.59075269787715</v>
      </c>
      <c r="U40" s="34">
        <v>-5.4793042405073128E-2</v>
      </c>
      <c r="V40" s="34">
        <v>-1.1398999999999999</v>
      </c>
      <c r="W40" s="34">
        <v>96.280068469524579</v>
      </c>
      <c r="X40" s="34">
        <v>-5.6392196274905544</v>
      </c>
      <c r="AF40" s="34">
        <v>-0.79290000000000005</v>
      </c>
      <c r="AG40" s="34">
        <v>107.1783283592448</v>
      </c>
      <c r="AH40" s="34">
        <v>108.2485116912796</v>
      </c>
      <c r="AI40" s="34">
        <v>-1.0701833320347729</v>
      </c>
      <c r="AJ40" s="34">
        <v>-9.8863560829999513E-3</v>
      </c>
      <c r="AK40" s="34">
        <v>-0.79290000000000005</v>
      </c>
      <c r="AL40" s="34">
        <v>107.1783283592448</v>
      </c>
      <c r="AM40" s="34">
        <v>-0.98863560829999253</v>
      </c>
    </row>
    <row r="41" spans="1:39" x14ac:dyDescent="0.25">
      <c r="A41" s="34" t="s">
        <v>288</v>
      </c>
      <c r="B41" s="34" t="s">
        <v>289</v>
      </c>
      <c r="C41" s="34">
        <v>-1.1032</v>
      </c>
      <c r="D41" s="34">
        <v>109.6341110751311</v>
      </c>
      <c r="E41" s="34">
        <v>112.35981143216939</v>
      </c>
      <c r="F41" s="34">
        <v>18169.349999999999</v>
      </c>
      <c r="G41" s="35">
        <v>-3.4460999999999999</v>
      </c>
      <c r="H41" s="34">
        <v>107.0368403966266</v>
      </c>
      <c r="I41" s="35">
        <v>-4.7374332225150084</v>
      </c>
      <c r="Q41" s="34">
        <v>0.57289446939645272</v>
      </c>
      <c r="R41" s="34">
        <v>96.99575448635386</v>
      </c>
      <c r="S41" s="34">
        <v>102.0339892161111</v>
      </c>
      <c r="T41" s="34">
        <v>-5.0382347297572494</v>
      </c>
      <c r="U41" s="34">
        <v>-4.937800402066133E-2</v>
      </c>
      <c r="V41" s="34">
        <v>-0.20119999999999999</v>
      </c>
      <c r="W41" s="34">
        <v>96.249192726359269</v>
      </c>
      <c r="X41" s="34">
        <v>-5.6694798803754161</v>
      </c>
      <c r="AF41" s="34">
        <v>-0.53029999999999999</v>
      </c>
      <c r="AG41" s="34">
        <v>106.6099616839557</v>
      </c>
      <c r="AH41" s="34">
        <v>108.2485116912796</v>
      </c>
      <c r="AI41" s="34">
        <v>-1.638550007323843</v>
      </c>
      <c r="AJ41" s="34">
        <v>-1.5136928736691761E-2</v>
      </c>
      <c r="AK41" s="34">
        <v>-1.9709000000000001</v>
      </c>
      <c r="AL41" s="34">
        <v>105.06595068561241</v>
      </c>
      <c r="AM41" s="34">
        <v>-2.94005058909601</v>
      </c>
    </row>
    <row r="42" spans="1:39" x14ac:dyDescent="0.25">
      <c r="A42" s="34" t="s">
        <v>289</v>
      </c>
      <c r="B42" s="34" t="s">
        <v>290</v>
      </c>
      <c r="C42" s="34">
        <v>-2.7717000000000001</v>
      </c>
      <c r="D42" s="34">
        <v>106.5953824184617</v>
      </c>
      <c r="E42" s="34">
        <v>112.35981143216939</v>
      </c>
      <c r="F42" s="34">
        <v>17990.099999999999</v>
      </c>
      <c r="G42" s="35">
        <v>-3.0558000000000001</v>
      </c>
      <c r="H42" s="34">
        <v>106.2839119088972</v>
      </c>
      <c r="I42" s="35">
        <v>-5.4075380207807893</v>
      </c>
      <c r="Q42" s="34">
        <v>3.0669888420653311</v>
      </c>
      <c r="R42" s="34">
        <v>99.970603453727421</v>
      </c>
      <c r="S42" s="34">
        <v>102.0339892161111</v>
      </c>
      <c r="T42" s="34">
        <v>-2.0633857623836889</v>
      </c>
      <c r="U42" s="34">
        <v>-2.022253347375623E-2</v>
      </c>
      <c r="V42" s="34">
        <v>-0.14680000000000001</v>
      </c>
      <c r="W42" s="34">
        <v>96.853364718767892</v>
      </c>
      <c r="X42" s="34">
        <v>-5.0773517110759059</v>
      </c>
      <c r="AF42" s="34">
        <v>0.29530000000000001</v>
      </c>
      <c r="AG42" s="34">
        <v>106.9247809008084</v>
      </c>
      <c r="AH42" s="34">
        <v>108.2485116912796</v>
      </c>
      <c r="AI42" s="34">
        <v>-1.3237307904711171</v>
      </c>
      <c r="AJ42" s="34">
        <v>-1.2228628087251159E-2</v>
      </c>
      <c r="AK42" s="34">
        <v>0.29530000000000001</v>
      </c>
      <c r="AL42" s="34">
        <v>106.9247809008084</v>
      </c>
      <c r="AM42" s="34">
        <v>-1.222862808725111</v>
      </c>
    </row>
    <row r="43" spans="1:39" x14ac:dyDescent="0.25">
      <c r="A43" s="34" t="s">
        <v>290</v>
      </c>
      <c r="B43" s="34" t="s">
        <v>245</v>
      </c>
      <c r="C43" s="34">
        <v>-4.1795</v>
      </c>
      <c r="D43" s="34">
        <v>102.14022841028211</v>
      </c>
      <c r="E43" s="34">
        <v>112.35981143216939</v>
      </c>
      <c r="F43" s="34">
        <v>17512.45</v>
      </c>
      <c r="G43" s="35">
        <v>-4.8962000000000003</v>
      </c>
      <c r="H43" s="34">
        <v>101.376259304489</v>
      </c>
      <c r="I43" s="35">
        <v>-9.7753386977790573</v>
      </c>
      <c r="Q43" s="34">
        <v>3.7128055829087638</v>
      </c>
      <c r="R43" s="34">
        <v>103.682317600025</v>
      </c>
      <c r="S43" s="34">
        <v>103.682317600025</v>
      </c>
      <c r="T43" s="34"/>
      <c r="U43" s="34">
        <v>0</v>
      </c>
      <c r="V43" s="34">
        <v>0.21490000000000001</v>
      </c>
      <c r="W43" s="34">
        <v>100.1854402805495</v>
      </c>
      <c r="X43" s="34">
        <v>-1.811699169819148</v>
      </c>
      <c r="AF43" s="34">
        <v>-0.4667</v>
      </c>
      <c r="AG43" s="34">
        <v>106.4257629483444</v>
      </c>
      <c r="AH43" s="34">
        <v>108.2485116912796</v>
      </c>
      <c r="AI43" s="34">
        <v>-1.8227487429351901</v>
      </c>
      <c r="AJ43" s="34">
        <v>-1.683855707996796E-2</v>
      </c>
      <c r="AK43" s="34">
        <v>-0.9728</v>
      </c>
      <c r="AL43" s="34">
        <v>105.88461663220539</v>
      </c>
      <c r="AM43" s="34">
        <v>-2.1837667993218401</v>
      </c>
    </row>
    <row r="44" spans="1:39" x14ac:dyDescent="0.25">
      <c r="A44" s="34" t="s">
        <v>247</v>
      </c>
      <c r="B44" s="34" t="s">
        <v>291</v>
      </c>
      <c r="C44" s="34">
        <v>1.6161000000000001</v>
      </c>
      <c r="D44" s="34">
        <v>101.6161</v>
      </c>
      <c r="E44" s="34">
        <v>101.6161</v>
      </c>
      <c r="F44" s="34">
        <v>29634.25</v>
      </c>
      <c r="G44" s="35">
        <v>-2.7199999999999998E-2</v>
      </c>
      <c r="H44" s="34">
        <v>99.972799999999992</v>
      </c>
      <c r="I44" s="35">
        <v>-2.7200000000005001E-2</v>
      </c>
      <c r="Q44" s="34">
        <v>-0.83166989640551903</v>
      </c>
      <c r="R44" s="34">
        <v>99.168330103594485</v>
      </c>
      <c r="S44" s="34">
        <v>100</v>
      </c>
      <c r="T44" s="34">
        <v>-0.83166989640551492</v>
      </c>
      <c r="U44" s="34">
        <v>-8.3166989640551491E-3</v>
      </c>
      <c r="V44" s="34">
        <v>-0.92749999999999999</v>
      </c>
      <c r="W44" s="34">
        <v>99.072499999999991</v>
      </c>
      <c r="X44" s="34">
        <v>-0.92750000000001442</v>
      </c>
      <c r="AF44" s="34">
        <v>0.78439999999999999</v>
      </c>
      <c r="AG44" s="34">
        <v>100.78440000000001</v>
      </c>
      <c r="AH44" s="34">
        <v>100.78440000000001</v>
      </c>
      <c r="AI44" s="34"/>
      <c r="AJ44" s="34">
        <v>0</v>
      </c>
      <c r="AK44" s="34">
        <v>0.28460000000000002</v>
      </c>
      <c r="AL44" s="34">
        <v>100.2846</v>
      </c>
      <c r="AM44" s="34">
        <v>0.28459999999999042</v>
      </c>
    </row>
    <row r="45" spans="1:39" x14ac:dyDescent="0.25">
      <c r="A45" s="34" t="s">
        <v>291</v>
      </c>
      <c r="B45" s="34" t="s">
        <v>292</v>
      </c>
      <c r="C45" s="34">
        <v>-0.39960000000000001</v>
      </c>
      <c r="D45" s="34">
        <v>101.2100420644</v>
      </c>
      <c r="E45" s="34">
        <v>101.6161</v>
      </c>
      <c r="F45" s="34">
        <v>30128</v>
      </c>
      <c r="G45" s="35">
        <v>-1.258</v>
      </c>
      <c r="H45" s="34">
        <v>100.337769462</v>
      </c>
      <c r="I45" s="35">
        <v>-1.258000000000004</v>
      </c>
      <c r="Q45" s="34">
        <v>1.182234191942929E-2</v>
      </c>
      <c r="R45" s="34">
        <v>99.180054122655122</v>
      </c>
      <c r="S45" s="34">
        <v>100</v>
      </c>
      <c r="T45" s="34">
        <v>-0.81994587734487823</v>
      </c>
      <c r="U45" s="34">
        <v>-8.1994587734487822E-3</v>
      </c>
      <c r="V45" s="34">
        <v>-0.34570000000000001</v>
      </c>
      <c r="W45" s="34">
        <v>98.825505186426355</v>
      </c>
      <c r="X45" s="34">
        <v>-1.174494813573645</v>
      </c>
      <c r="AF45" s="34">
        <v>-0.38779999999999998</v>
      </c>
      <c r="AG45" s="34">
        <v>100.39355809680001</v>
      </c>
      <c r="AH45" s="34">
        <v>100.78440000000001</v>
      </c>
      <c r="AI45" s="34">
        <v>-0.39084190319999829</v>
      </c>
      <c r="AJ45" s="34">
        <v>-3.8779999999999839E-3</v>
      </c>
      <c r="AK45" s="34">
        <v>-0.38779999999999998</v>
      </c>
      <c r="AL45" s="34">
        <v>100.39355809680001</v>
      </c>
      <c r="AM45" s="34">
        <v>-0.38779999999999371</v>
      </c>
    </row>
    <row r="46" spans="1:39" x14ac:dyDescent="0.25">
      <c r="A46" s="34" t="s">
        <v>292</v>
      </c>
      <c r="B46" s="34" t="s">
        <v>293</v>
      </c>
      <c r="C46" s="34">
        <v>1.0772999999999999</v>
      </c>
      <c r="D46" s="34">
        <v>102.3003778475598</v>
      </c>
      <c r="E46" s="34">
        <v>102.3003778475598</v>
      </c>
      <c r="F46" s="34">
        <v>30017.65</v>
      </c>
      <c r="G46" s="35">
        <v>-1.2114</v>
      </c>
      <c r="H46" s="34">
        <v>99.983983614831857</v>
      </c>
      <c r="I46" s="35">
        <v>-1.6061592456000029</v>
      </c>
      <c r="Q46" s="34">
        <v>-0.71025382228701717</v>
      </c>
      <c r="R46" s="34">
        <v>98.475623997302634</v>
      </c>
      <c r="S46" s="34">
        <v>100</v>
      </c>
      <c r="T46" s="34">
        <v>-1.5243760026973661</v>
      </c>
      <c r="U46" s="34">
        <v>-1.524376002697366E-2</v>
      </c>
      <c r="V46" s="34">
        <v>-0.93419999999999992</v>
      </c>
      <c r="W46" s="34">
        <v>98.253514057041286</v>
      </c>
      <c r="X46" s="34">
        <v>-1.746485942958709</v>
      </c>
      <c r="AF46" s="34">
        <v>0.36699999999999999</v>
      </c>
      <c r="AG46" s="34">
        <v>100.76200245501521</v>
      </c>
      <c r="AH46" s="34">
        <v>100.78440000000001</v>
      </c>
      <c r="AI46" s="34">
        <v>-2.2397544984741561E-2</v>
      </c>
      <c r="AJ46" s="34">
        <v>-2.2223225999997581E-4</v>
      </c>
      <c r="AK46" s="34">
        <v>0.1065</v>
      </c>
      <c r="AL46" s="34">
        <v>100.5004772361731</v>
      </c>
      <c r="AM46" s="34">
        <v>-0.28171300699998397</v>
      </c>
    </row>
    <row r="47" spans="1:39" x14ac:dyDescent="0.25">
      <c r="A47" s="34" t="s">
        <v>293</v>
      </c>
      <c r="B47" s="34" t="s">
        <v>294</v>
      </c>
      <c r="C47" s="34">
        <v>-0.18859999999999999</v>
      </c>
      <c r="D47" s="34">
        <v>102.1074393349393</v>
      </c>
      <c r="E47" s="34">
        <v>102.3003778475598</v>
      </c>
      <c r="F47" s="34">
        <v>30366.05</v>
      </c>
      <c r="G47" s="35">
        <v>-0.6119</v>
      </c>
      <c r="H47" s="34">
        <v>101.67440183551059</v>
      </c>
      <c r="I47" s="35">
        <v>-0.61189999999999856</v>
      </c>
      <c r="Q47" s="34">
        <v>9.871555654461317E-2</v>
      </c>
      <c r="R47" s="34">
        <v>98.572834757592361</v>
      </c>
      <c r="S47" s="34">
        <v>100</v>
      </c>
      <c r="T47" s="34">
        <v>-1.4271652424076391</v>
      </c>
      <c r="U47" s="34">
        <v>-1.427165242407639E-2</v>
      </c>
      <c r="V47" s="34">
        <v>-0.1951</v>
      </c>
      <c r="W47" s="34">
        <v>98.283498054883893</v>
      </c>
      <c r="X47" s="34">
        <v>-1.716501945116111</v>
      </c>
      <c r="AF47" s="34">
        <v>-8.9899999999999994E-2</v>
      </c>
      <c r="AG47" s="34">
        <v>100.6714174148082</v>
      </c>
      <c r="AH47" s="34">
        <v>100.78440000000001</v>
      </c>
      <c r="AI47" s="34">
        <v>-0.1129825851918014</v>
      </c>
      <c r="AJ47" s="34">
        <v>-1.121032473198247E-3</v>
      </c>
      <c r="AK47" s="34">
        <v>-8.9899999999999994E-2</v>
      </c>
      <c r="AL47" s="34">
        <v>100.6714174148082</v>
      </c>
      <c r="AM47" s="34">
        <v>-0.112103247319828</v>
      </c>
    </row>
    <row r="48" spans="1:39" x14ac:dyDescent="0.25">
      <c r="A48" s="34" t="s">
        <v>294</v>
      </c>
      <c r="B48" s="34" t="s">
        <v>295</v>
      </c>
      <c r="C48" s="34">
        <v>2.9860000000000002</v>
      </c>
      <c r="D48" s="34">
        <v>105.1563674734806</v>
      </c>
      <c r="E48" s="34">
        <v>105.1563674734806</v>
      </c>
      <c r="F48" s="34">
        <v>30318.9</v>
      </c>
      <c r="G48" s="35">
        <v>0.64419999999999999</v>
      </c>
      <c r="H48" s="34">
        <v>102.76521545913501</v>
      </c>
      <c r="I48" s="35">
        <v>0.45438503879999809</v>
      </c>
      <c r="Q48" s="34">
        <v>-1.7111735268538191</v>
      </c>
      <c r="R48" s="34">
        <v>96.886082504551084</v>
      </c>
      <c r="S48" s="34">
        <v>100</v>
      </c>
      <c r="T48" s="34">
        <v>-3.1139174954489159</v>
      </c>
      <c r="U48" s="34">
        <v>-3.113917495448916E-2</v>
      </c>
      <c r="V48" s="34">
        <v>-1.8436999999999999</v>
      </c>
      <c r="W48" s="34">
        <v>96.755447403166627</v>
      </c>
      <c r="X48" s="34">
        <v>-3.2445525968333722</v>
      </c>
      <c r="AF48" s="34">
        <v>1.2747999999999999</v>
      </c>
      <c r="AG48" s="34">
        <v>101.9547766440122</v>
      </c>
      <c r="AH48" s="34">
        <v>101.9547766440122</v>
      </c>
      <c r="AI48" s="34"/>
      <c r="AJ48" s="34">
        <v>0</v>
      </c>
      <c r="AK48" s="34">
        <v>0.45169999999999999</v>
      </c>
      <c r="AL48" s="34">
        <v>101.1261502072709</v>
      </c>
      <c r="AM48" s="34">
        <v>0.33909038231203498</v>
      </c>
    </row>
    <row r="49" spans="1:39" x14ac:dyDescent="0.25">
      <c r="A49" s="34" t="s">
        <v>295</v>
      </c>
      <c r="B49" s="34" t="s">
        <v>296</v>
      </c>
      <c r="C49" s="34">
        <v>0.45319999999999999</v>
      </c>
      <c r="D49" s="34">
        <v>105.63293613087041</v>
      </c>
      <c r="E49" s="34">
        <v>105.63293613087041</v>
      </c>
      <c r="F49" s="34">
        <v>31254.55</v>
      </c>
      <c r="G49" s="35">
        <v>0.25640000000000002</v>
      </c>
      <c r="H49" s="34">
        <v>105.42598839968259</v>
      </c>
      <c r="I49" s="35">
        <v>0.25640000000000113</v>
      </c>
      <c r="Q49" s="34">
        <v>-0.91275017180684692</v>
      </c>
      <c r="R49" s="34">
        <v>96.001754620033878</v>
      </c>
      <c r="S49" s="34">
        <v>100</v>
      </c>
      <c r="T49" s="34">
        <v>-3.9982453799661219</v>
      </c>
      <c r="U49" s="34">
        <v>-3.9982453799661213E-2</v>
      </c>
      <c r="V49" s="34">
        <v>-1.0468</v>
      </c>
      <c r="W49" s="34">
        <v>95.871878992893443</v>
      </c>
      <c r="X49" s="34">
        <v>-4.1281210071065546</v>
      </c>
      <c r="AF49" s="34">
        <v>-0.45960000000000001</v>
      </c>
      <c r="AG49" s="34">
        <v>101.48619249055631</v>
      </c>
      <c r="AH49" s="34">
        <v>101.9547766440122</v>
      </c>
      <c r="AI49" s="34">
        <v>-0.468584153455879</v>
      </c>
      <c r="AJ49" s="34">
        <v>-4.5959999999999916E-3</v>
      </c>
      <c r="AK49" s="34">
        <v>-0.45960000000000001</v>
      </c>
      <c r="AL49" s="34">
        <v>101.48619249055631</v>
      </c>
      <c r="AM49" s="34">
        <v>-0.45960000000000439</v>
      </c>
    </row>
    <row r="50" spans="1:39" x14ac:dyDescent="0.25">
      <c r="A50" s="34" t="s">
        <v>296</v>
      </c>
      <c r="B50" s="34" t="s">
        <v>297</v>
      </c>
      <c r="C50" s="34">
        <v>-1.5195000000000001</v>
      </c>
      <c r="D50" s="34">
        <v>104.0278436663618</v>
      </c>
      <c r="E50" s="34">
        <v>105.63293613087041</v>
      </c>
      <c r="F50" s="34">
        <v>31401.4</v>
      </c>
      <c r="G50" s="35">
        <v>-4.2449000000000003</v>
      </c>
      <c r="H50" s="34">
        <v>101.1489236250511</v>
      </c>
      <c r="I50" s="35">
        <v>-4.2448999999999959</v>
      </c>
      <c r="Q50" s="34">
        <v>2.3322234141856031</v>
      </c>
      <c r="R50" s="34">
        <v>98.240730019311314</v>
      </c>
      <c r="S50" s="34">
        <v>100</v>
      </c>
      <c r="T50" s="34">
        <v>-1.759269980688686</v>
      </c>
      <c r="U50" s="34">
        <v>-1.7592699806886859E-2</v>
      </c>
      <c r="V50" s="34">
        <v>-0.18329999999999999</v>
      </c>
      <c r="W50" s="34">
        <v>95.825783403815365</v>
      </c>
      <c r="X50" s="34">
        <v>-4.1742165961846318</v>
      </c>
      <c r="AF50" s="34">
        <v>0.81269999999999998</v>
      </c>
      <c r="AG50" s="34">
        <v>102.31097077692699</v>
      </c>
      <c r="AH50" s="34">
        <v>102.31097077692699</v>
      </c>
      <c r="AI50" s="34"/>
      <c r="AJ50" s="34">
        <v>0</v>
      </c>
      <c r="AK50" s="34">
        <v>-0.5958</v>
      </c>
      <c r="AL50" s="34">
        <v>100.88153775569749</v>
      </c>
      <c r="AM50" s="34">
        <v>-1.052661703200009</v>
      </c>
    </row>
    <row r="51" spans="1:39" x14ac:dyDescent="0.25">
      <c r="A51" s="34" t="s">
        <v>297</v>
      </c>
      <c r="B51" s="34" t="s">
        <v>298</v>
      </c>
      <c r="C51" s="34">
        <v>1.5821000000000001</v>
      </c>
      <c r="D51" s="34">
        <v>105.6736681810073</v>
      </c>
      <c r="E51" s="34">
        <v>105.6736681810073</v>
      </c>
      <c r="F51" s="34">
        <v>30960.9</v>
      </c>
      <c r="G51" s="35">
        <v>-2.3875000000000002</v>
      </c>
      <c r="H51" s="34">
        <v>101.5441788988274</v>
      </c>
      <c r="I51" s="35">
        <v>-3.870721937499999</v>
      </c>
      <c r="Q51" s="34">
        <v>-0.51434397712007129</v>
      </c>
      <c r="R51" s="34">
        <v>97.735434741378199</v>
      </c>
      <c r="S51" s="34">
        <v>100</v>
      </c>
      <c r="T51" s="34">
        <v>-2.264565258621801</v>
      </c>
      <c r="U51" s="34">
        <v>-2.264565258621801E-2</v>
      </c>
      <c r="V51" s="34">
        <v>-0.81169999999999998</v>
      </c>
      <c r="W51" s="34">
        <v>97.443310013744565</v>
      </c>
      <c r="X51" s="34">
        <v>-2.5566899862554342</v>
      </c>
      <c r="AF51" s="34">
        <v>1.0678000000000001</v>
      </c>
      <c r="AG51" s="34">
        <v>103.403447322883</v>
      </c>
      <c r="AH51" s="34">
        <v>103.403447322883</v>
      </c>
      <c r="AI51" s="34"/>
      <c r="AJ51" s="34">
        <v>0</v>
      </c>
      <c r="AK51" s="34">
        <v>-0.23069999999999999</v>
      </c>
      <c r="AL51" s="34">
        <v>102.0749393673447</v>
      </c>
      <c r="AM51" s="34">
        <v>-0.2306999999999948</v>
      </c>
    </row>
    <row r="52" spans="1:39" x14ac:dyDescent="0.25">
      <c r="A52" s="34" t="s">
        <v>298</v>
      </c>
      <c r="B52" s="34" t="s">
        <v>299</v>
      </c>
      <c r="C52" s="34">
        <v>1.0859000000000001</v>
      </c>
      <c r="D52" s="34">
        <v>106.8211785437849</v>
      </c>
      <c r="E52" s="34">
        <v>106.8211785437849</v>
      </c>
      <c r="F52" s="34">
        <v>31481.7</v>
      </c>
      <c r="G52" s="35">
        <v>-0.85670000000000002</v>
      </c>
      <c r="H52" s="34">
        <v>104.7683618657006</v>
      </c>
      <c r="I52" s="35">
        <v>-0.85669999999999913</v>
      </c>
      <c r="Q52" s="34">
        <v>1.0769005535128069</v>
      </c>
      <c r="R52" s="34">
        <v>98.787948179086257</v>
      </c>
      <c r="S52" s="34">
        <v>100</v>
      </c>
      <c r="T52" s="34">
        <v>-1.212051820913743</v>
      </c>
      <c r="U52" s="34">
        <v>-1.212051820913743E-2</v>
      </c>
      <c r="V52" s="34">
        <v>0.20269999999999999</v>
      </c>
      <c r="W52" s="34">
        <v>97.933544467598978</v>
      </c>
      <c r="X52" s="34">
        <v>-2.0664555324010241</v>
      </c>
      <c r="AF52" s="34">
        <v>2.1627999999999998</v>
      </c>
      <c r="AG52" s="34">
        <v>105.63985708158231</v>
      </c>
      <c r="AH52" s="34">
        <v>105.63985708158231</v>
      </c>
      <c r="AI52" s="34"/>
      <c r="AJ52" s="34">
        <v>0</v>
      </c>
      <c r="AK52" s="34">
        <v>0.96489999999999998</v>
      </c>
      <c r="AL52" s="34">
        <v>104.4011871861015</v>
      </c>
      <c r="AM52" s="34">
        <v>0.96490000000000187</v>
      </c>
    </row>
    <row r="53" spans="1:39" x14ac:dyDescent="0.25">
      <c r="A53" s="34" t="s">
        <v>299</v>
      </c>
      <c r="B53" s="34" t="s">
        <v>300</v>
      </c>
      <c r="C53" s="34">
        <v>0.1638</v>
      </c>
      <c r="D53" s="34">
        <v>106.9961516342396</v>
      </c>
      <c r="E53" s="34">
        <v>106.9961516342396</v>
      </c>
      <c r="F53" s="34">
        <v>31865.55</v>
      </c>
      <c r="G53" s="35">
        <v>-4.82E-2</v>
      </c>
      <c r="H53" s="34">
        <v>106.7696907357268</v>
      </c>
      <c r="I53" s="35">
        <v>-4.8199999999998237E-2</v>
      </c>
      <c r="Q53" s="34">
        <v>-0.93364880506570436</v>
      </c>
      <c r="R53" s="34">
        <v>97.865615681363295</v>
      </c>
      <c r="S53" s="34">
        <v>100</v>
      </c>
      <c r="T53" s="34">
        <v>-2.1343843186367049</v>
      </c>
      <c r="U53" s="34">
        <v>-2.1343843186367051E-2</v>
      </c>
      <c r="V53" s="34">
        <v>-1.004</v>
      </c>
      <c r="W53" s="34">
        <v>97.796117179368224</v>
      </c>
      <c r="X53" s="34">
        <v>-2.2038828206317751</v>
      </c>
      <c r="AF53" s="34">
        <v>-0.76980000000000004</v>
      </c>
      <c r="AG53" s="34">
        <v>104.8266414617683</v>
      </c>
      <c r="AH53" s="34">
        <v>105.63985708158231</v>
      </c>
      <c r="AI53" s="34">
        <v>-0.81321561981401658</v>
      </c>
      <c r="AJ53" s="34">
        <v>-7.6979999999999592E-3</v>
      </c>
      <c r="AK53" s="34">
        <v>-0.76980000000000004</v>
      </c>
      <c r="AL53" s="34">
        <v>104.8266414617683</v>
      </c>
      <c r="AM53" s="34">
        <v>-0.76979999999999826</v>
      </c>
    </row>
    <row r="54" spans="1:39" x14ac:dyDescent="0.25">
      <c r="A54" s="34" t="s">
        <v>300</v>
      </c>
      <c r="B54" s="34" t="s">
        <v>301</v>
      </c>
      <c r="C54" s="34">
        <v>1.4068000000000001</v>
      </c>
      <c r="D54" s="34">
        <v>108.5013734954301</v>
      </c>
      <c r="E54" s="34">
        <v>108.5013734954301</v>
      </c>
      <c r="F54" s="34">
        <v>31923.05</v>
      </c>
      <c r="G54" s="35">
        <v>-3.8E-3</v>
      </c>
      <c r="H54" s="34">
        <v>106.9920857804775</v>
      </c>
      <c r="I54" s="35">
        <v>-3.7999999999982488E-3</v>
      </c>
      <c r="Q54" s="34">
        <v>-1.78804691340684</v>
      </c>
      <c r="R54" s="34">
        <v>96.115732560886073</v>
      </c>
      <c r="S54" s="34">
        <v>100</v>
      </c>
      <c r="T54" s="34">
        <v>-3.8842674391139269</v>
      </c>
      <c r="U54" s="34">
        <v>-3.8842674391139267E-2</v>
      </c>
      <c r="V54" s="34">
        <v>-1.8811</v>
      </c>
      <c r="W54" s="34">
        <v>96.024665584781161</v>
      </c>
      <c r="X54" s="34">
        <v>-3.9753344152188341</v>
      </c>
      <c r="AF54" s="34">
        <v>-0.38119999999999998</v>
      </c>
      <c r="AG54" s="34">
        <v>104.42704230451611</v>
      </c>
      <c r="AH54" s="34">
        <v>105.63985708158231</v>
      </c>
      <c r="AI54" s="34">
        <v>-1.2128147770662849</v>
      </c>
      <c r="AJ54" s="34">
        <v>-1.148065522400003E-2</v>
      </c>
      <c r="AK54" s="34">
        <v>-0.38119999999999998</v>
      </c>
      <c r="AL54" s="34">
        <v>104.42704230451611</v>
      </c>
      <c r="AM54" s="34">
        <v>-1.1480655223999989</v>
      </c>
    </row>
    <row r="55" spans="1:39" x14ac:dyDescent="0.25">
      <c r="A55" s="34" t="s">
        <v>301</v>
      </c>
      <c r="B55" s="34" t="s">
        <v>302</v>
      </c>
      <c r="C55" s="34">
        <v>-0.34689999999999999</v>
      </c>
      <c r="D55" s="34">
        <v>108.12498223077441</v>
      </c>
      <c r="E55" s="34">
        <v>108.5013734954301</v>
      </c>
      <c r="F55" s="34">
        <v>32398.75</v>
      </c>
      <c r="G55" s="35">
        <v>-1.4676</v>
      </c>
      <c r="H55" s="34">
        <v>106.90900733801109</v>
      </c>
      <c r="I55" s="35">
        <v>-1.467600000000002</v>
      </c>
      <c r="Q55" s="34">
        <v>0.48450336330004617</v>
      </c>
      <c r="R55" s="34">
        <v>96.58141651780403</v>
      </c>
      <c r="S55" s="34">
        <v>100</v>
      </c>
      <c r="T55" s="34">
        <v>-3.4185834821959702</v>
      </c>
      <c r="U55" s="34">
        <v>-3.41858348219597E-2</v>
      </c>
      <c r="V55" s="34">
        <v>8.7499999999999994E-2</v>
      </c>
      <c r="W55" s="34">
        <v>96.199833826876841</v>
      </c>
      <c r="X55" s="34">
        <v>-3.800166173123154</v>
      </c>
      <c r="AF55" s="34">
        <v>0.1376</v>
      </c>
      <c r="AG55" s="34">
        <v>104.5707339147271</v>
      </c>
      <c r="AH55" s="34">
        <v>105.63985708158231</v>
      </c>
      <c r="AI55" s="34">
        <v>-1.069123166855263</v>
      </c>
      <c r="AJ55" s="34">
        <v>-1.0120452605588181E-2</v>
      </c>
      <c r="AK55" s="34">
        <v>-0.18179999999999999</v>
      </c>
      <c r="AL55" s="34">
        <v>104.23719394160641</v>
      </c>
      <c r="AM55" s="34">
        <v>-1.3277783392802831</v>
      </c>
    </row>
    <row r="56" spans="1:39" x14ac:dyDescent="0.25">
      <c r="A56" s="34" t="s">
        <v>302</v>
      </c>
      <c r="B56" s="34" t="s">
        <v>303</v>
      </c>
      <c r="C56" s="34">
        <v>-1.8913</v>
      </c>
      <c r="D56" s="34">
        <v>106.0800144418438</v>
      </c>
      <c r="E56" s="34">
        <v>108.5013734954301</v>
      </c>
      <c r="F56" s="34">
        <v>32291.75</v>
      </c>
      <c r="G56" s="35">
        <v>-3.5091000000000001</v>
      </c>
      <c r="H56" s="34">
        <v>104.3307684793143</v>
      </c>
      <c r="I56" s="35">
        <v>-3.8438269320999918</v>
      </c>
      <c r="Q56" s="34">
        <v>1.6732625147538711</v>
      </c>
      <c r="R56" s="34">
        <v>98.197477156614752</v>
      </c>
      <c r="S56" s="34">
        <v>100</v>
      </c>
      <c r="T56" s="34">
        <v>-1.802522843385248</v>
      </c>
      <c r="U56" s="34">
        <v>-1.8025228433852479E-2</v>
      </c>
      <c r="V56" s="34">
        <v>-0.39629999999999999</v>
      </c>
      <c r="W56" s="34">
        <v>96.198664364143966</v>
      </c>
      <c r="X56" s="34">
        <v>-3.8013356358560291</v>
      </c>
      <c r="AF56" s="34">
        <v>-0.218</v>
      </c>
      <c r="AG56" s="34">
        <v>104.34276971479299</v>
      </c>
      <c r="AH56" s="34">
        <v>105.63985708158231</v>
      </c>
      <c r="AI56" s="34">
        <v>-1.2970873667893701</v>
      </c>
      <c r="AJ56" s="34">
        <v>-1.2278390018908011E-2</v>
      </c>
      <c r="AK56" s="34">
        <v>-0.44950000000000001</v>
      </c>
      <c r="AL56" s="34">
        <v>104.10068846578039</v>
      </c>
      <c r="AM56" s="34">
        <v>-1.4569961171126189</v>
      </c>
    </row>
    <row r="57" spans="1:39" x14ac:dyDescent="0.25">
      <c r="A57" s="34" t="s">
        <v>303</v>
      </c>
      <c r="B57" s="34" t="s">
        <v>304</v>
      </c>
      <c r="C57" s="34">
        <v>-5.3266999999999998</v>
      </c>
      <c r="D57" s="34">
        <v>100.4294503125701</v>
      </c>
      <c r="E57" s="34">
        <v>108.5013734954301</v>
      </c>
      <c r="F57" s="34">
        <v>31718.7</v>
      </c>
      <c r="G57" s="35">
        <v>-5.8926999999999996</v>
      </c>
      <c r="H57" s="34">
        <v>99.829037430829274</v>
      </c>
      <c r="I57" s="35">
        <v>-7.9928352842151504</v>
      </c>
      <c r="Q57" s="34">
        <v>5.6955077645491823</v>
      </c>
      <c r="R57" s="34">
        <v>103.7903220926612</v>
      </c>
      <c r="S57" s="34">
        <v>103.7903220926612</v>
      </c>
      <c r="T57" s="34"/>
      <c r="U57" s="34">
        <v>0</v>
      </c>
      <c r="V57" s="34">
        <v>-6.8000000000000005E-2</v>
      </c>
      <c r="W57" s="34">
        <v>98.130702872148248</v>
      </c>
      <c r="X57" s="34">
        <v>-1.8692971278517549</v>
      </c>
      <c r="AF57" s="34">
        <v>0.36880000000000002</v>
      </c>
      <c r="AG57" s="34">
        <v>104.7275858495011</v>
      </c>
      <c r="AH57" s="34">
        <v>105.63985708158231</v>
      </c>
      <c r="AI57" s="34">
        <v>-0.91227123208122407</v>
      </c>
      <c r="AJ57" s="34">
        <v>-8.6356727212978483E-3</v>
      </c>
      <c r="AK57" s="34">
        <v>-7.2700000000000001E-2</v>
      </c>
      <c r="AL57" s="34">
        <v>104.2669125212103</v>
      </c>
      <c r="AM57" s="34">
        <v>-1.299646362936435</v>
      </c>
    </row>
    <row r="58" spans="1:39" x14ac:dyDescent="0.25">
      <c r="A58" s="34" t="s">
        <v>304</v>
      </c>
      <c r="B58" s="34" t="s">
        <v>305</v>
      </c>
      <c r="C58" s="34">
        <v>1.9694</v>
      </c>
      <c r="D58" s="34">
        <v>102.4073079070259</v>
      </c>
      <c r="E58" s="34">
        <v>108.5013734954301</v>
      </c>
      <c r="F58" s="34">
        <v>30066.15</v>
      </c>
      <c r="G58" s="35">
        <v>-0.65569999999999995</v>
      </c>
      <c r="H58" s="34">
        <v>99.77093440687058</v>
      </c>
      <c r="I58" s="35">
        <v>-8.0463857804778947</v>
      </c>
      <c r="Q58" s="34">
        <v>-1.3494596229817419</v>
      </c>
      <c r="R58" s="34">
        <v>102.38971360345801</v>
      </c>
      <c r="S58" s="34">
        <v>103.7903220926612</v>
      </c>
      <c r="T58" s="34">
        <v>-1.4006084892031649</v>
      </c>
      <c r="U58" s="34">
        <v>-1.349459622981746E-2</v>
      </c>
      <c r="V58" s="34">
        <v>-2.0636999999999999</v>
      </c>
      <c r="W58" s="34">
        <v>101.64840121563491</v>
      </c>
      <c r="X58" s="34">
        <v>-2.0637000000000021</v>
      </c>
      <c r="AF58" s="34">
        <v>0.61990000000000001</v>
      </c>
      <c r="AG58" s="34">
        <v>105.3767921541822</v>
      </c>
      <c r="AH58" s="34">
        <v>105.63985708158231</v>
      </c>
      <c r="AI58" s="34">
        <v>-0.26306492740016552</v>
      </c>
      <c r="AJ58" s="34">
        <v>-2.4902052564971639E-3</v>
      </c>
      <c r="AK58" s="34">
        <v>0.1149</v>
      </c>
      <c r="AL58" s="34">
        <v>104.8479178456422</v>
      </c>
      <c r="AM58" s="34">
        <v>-0.74965951092544891</v>
      </c>
    </row>
    <row r="59" spans="1:39" x14ac:dyDescent="0.25">
      <c r="A59" s="34" t="s">
        <v>305</v>
      </c>
      <c r="B59" s="34" t="s">
        <v>306</v>
      </c>
      <c r="C59" s="34">
        <v>1.3103</v>
      </c>
      <c r="D59" s="34">
        <v>103.74915086253159</v>
      </c>
      <c r="E59" s="34">
        <v>108.5013734954301</v>
      </c>
      <c r="F59" s="34">
        <v>30668.3</v>
      </c>
      <c r="G59" s="35">
        <v>-1.6811</v>
      </c>
      <c r="H59" s="34">
        <v>100.6857386538009</v>
      </c>
      <c r="I59" s="35">
        <v>-7.2032588987994579</v>
      </c>
      <c r="Q59" s="34">
        <v>-0.92808442555581228</v>
      </c>
      <c r="R59" s="34">
        <v>101.43945061813309</v>
      </c>
      <c r="S59" s="34">
        <v>103.7903220926612</v>
      </c>
      <c r="T59" s="34">
        <v>-2.3508714745280632</v>
      </c>
      <c r="U59" s="34">
        <v>-2.265019923947504E-2</v>
      </c>
      <c r="V59" s="34">
        <v>-1.0246</v>
      </c>
      <c r="W59" s="34">
        <v>101.340628597877</v>
      </c>
      <c r="X59" s="34">
        <v>-2.3602330596846799</v>
      </c>
      <c r="AF59" s="34">
        <v>0.38219999999999998</v>
      </c>
      <c r="AG59" s="34">
        <v>105.7795422537955</v>
      </c>
      <c r="AH59" s="34">
        <v>105.7795422537955</v>
      </c>
      <c r="AI59" s="34"/>
      <c r="AJ59" s="34">
        <v>0</v>
      </c>
      <c r="AK59" s="34">
        <v>-0.33529999999999999</v>
      </c>
      <c r="AL59" s="34">
        <v>105.02346377008919</v>
      </c>
      <c r="AM59" s="34">
        <v>-0.58348555982721262</v>
      </c>
    </row>
    <row r="60" spans="1:39" x14ac:dyDescent="0.25">
      <c r="A60" s="34" t="s">
        <v>306</v>
      </c>
      <c r="B60" s="34" t="s">
        <v>307</v>
      </c>
      <c r="C60" s="34">
        <v>-1.2078</v>
      </c>
      <c r="D60" s="34">
        <v>102.496068618414</v>
      </c>
      <c r="E60" s="34">
        <v>108.5013734954301</v>
      </c>
      <c r="F60" s="34">
        <v>31090.6</v>
      </c>
      <c r="G60" s="35">
        <v>-2.5238999999999998</v>
      </c>
      <c r="H60" s="34">
        <v>101.1306260439122</v>
      </c>
      <c r="I60" s="35">
        <v>-6.7932296284049398</v>
      </c>
      <c r="Q60" s="34">
        <v>1.374874814030091</v>
      </c>
      <c r="R60" s="34">
        <v>102.83411607617229</v>
      </c>
      <c r="S60" s="34">
        <v>103.7903220926612</v>
      </c>
      <c r="T60" s="34">
        <v>-0.9562060164888635</v>
      </c>
      <c r="U60" s="34">
        <v>-9.2128629838453425E-3</v>
      </c>
      <c r="V60" s="34">
        <v>-0.9164000000000001</v>
      </c>
      <c r="W60" s="34">
        <v>100.5098594926685</v>
      </c>
      <c r="X60" s="34">
        <v>-3.1606632813644508</v>
      </c>
      <c r="AF60" s="34">
        <v>0.1671</v>
      </c>
      <c r="AG60" s="34">
        <v>105.9562998689016</v>
      </c>
      <c r="AH60" s="34">
        <v>105.9562998689016</v>
      </c>
      <c r="AI60" s="34"/>
      <c r="AJ60" s="34">
        <v>0</v>
      </c>
      <c r="AK60" s="34">
        <v>-0.32150000000000001</v>
      </c>
      <c r="AL60" s="34">
        <v>105.4394610254495</v>
      </c>
      <c r="AM60" s="34">
        <v>-0.32149999999999679</v>
      </c>
    </row>
    <row r="61" spans="1:39" x14ac:dyDescent="0.25">
      <c r="A61" s="34" t="s">
        <v>307</v>
      </c>
      <c r="B61" s="34" t="s">
        <v>308</v>
      </c>
      <c r="C61" s="34">
        <v>-0.68130000000000002</v>
      </c>
      <c r="D61" s="34">
        <v>101.7977629029167</v>
      </c>
      <c r="E61" s="34">
        <v>108.5013734954301</v>
      </c>
      <c r="F61" s="34">
        <v>30756.55</v>
      </c>
      <c r="G61" s="35">
        <v>-1.9683999999999999</v>
      </c>
      <c r="H61" s="34">
        <v>100.4785360037291</v>
      </c>
      <c r="I61" s="35">
        <v>-7.3942266657471052</v>
      </c>
      <c r="Q61" s="34">
        <v>-1.384930738863323</v>
      </c>
      <c r="R61" s="34">
        <v>101.409934792595</v>
      </c>
      <c r="S61" s="34">
        <v>103.7903220926612</v>
      </c>
      <c r="T61" s="34">
        <v>-2.3803873000661611</v>
      </c>
      <c r="U61" s="34">
        <v>-2.2934578601085911E-2</v>
      </c>
      <c r="V61" s="34">
        <v>-1.8632</v>
      </c>
      <c r="W61" s="34">
        <v>100.918110825441</v>
      </c>
      <c r="X61" s="34">
        <v>-2.767320892073033</v>
      </c>
      <c r="AF61" s="34">
        <v>-2.0661999999999998</v>
      </c>
      <c r="AG61" s="34">
        <v>103.76703080101031</v>
      </c>
      <c r="AH61" s="34">
        <v>105.9562998689016</v>
      </c>
      <c r="AI61" s="34">
        <v>-2.1892690678912459</v>
      </c>
      <c r="AJ61" s="34">
        <v>-2.0662000000000021E-2</v>
      </c>
      <c r="AK61" s="34">
        <v>-2.0661999999999998</v>
      </c>
      <c r="AL61" s="34">
        <v>103.76703080101031</v>
      </c>
      <c r="AM61" s="34">
        <v>-2.0662000000000069</v>
      </c>
    </row>
    <row r="62" spans="1:39" x14ac:dyDescent="0.25">
      <c r="A62" s="34" t="s">
        <v>308</v>
      </c>
      <c r="B62" s="34" t="s">
        <v>309</v>
      </c>
      <c r="C62" s="34">
        <v>1.0802</v>
      </c>
      <c r="D62" s="34">
        <v>102.897382337794</v>
      </c>
      <c r="E62" s="34">
        <v>108.5013734954301</v>
      </c>
      <c r="F62" s="34">
        <v>30572.65</v>
      </c>
      <c r="G62" s="35">
        <v>0.28079999999999999</v>
      </c>
      <c r="H62" s="34">
        <v>102.0836110211481</v>
      </c>
      <c r="I62" s="35">
        <v>-5.9149135789993146</v>
      </c>
      <c r="Q62" s="34">
        <v>-1.36583139823704</v>
      </c>
      <c r="R62" s="34">
        <v>100.02484606226599</v>
      </c>
      <c r="S62" s="34">
        <v>103.7903220926612</v>
      </c>
      <c r="T62" s="34">
        <v>-3.7654760303951349</v>
      </c>
      <c r="U62" s="34">
        <v>-3.6279644907869363E-2</v>
      </c>
      <c r="V62" s="34">
        <v>-1.6638999999999999</v>
      </c>
      <c r="W62" s="34">
        <v>99.722574887581018</v>
      </c>
      <c r="X62" s="34">
        <v>-3.9191970147742339</v>
      </c>
      <c r="AF62" s="34">
        <v>-0.28560000000000002</v>
      </c>
      <c r="AG62" s="34">
        <v>103.4706721610426</v>
      </c>
      <c r="AH62" s="34">
        <v>105.9562998689016</v>
      </c>
      <c r="AI62" s="34">
        <v>-2.485627707858924</v>
      </c>
      <c r="AJ62" s="34">
        <v>-2.345898932799995E-2</v>
      </c>
      <c r="AK62" s="34">
        <v>-0.55669999999999997</v>
      </c>
      <c r="AL62" s="34">
        <v>103.18935974054109</v>
      </c>
      <c r="AM62" s="34">
        <v>-2.6113974646000071</v>
      </c>
    </row>
    <row r="63" spans="1:39" x14ac:dyDescent="0.25">
      <c r="A63" s="34" t="s">
        <v>309</v>
      </c>
      <c r="B63" s="34" t="s">
        <v>310</v>
      </c>
      <c r="C63" s="34">
        <v>0.23069999999999999</v>
      </c>
      <c r="D63" s="34">
        <v>103.13476659884731</v>
      </c>
      <c r="E63" s="34">
        <v>108.5013734954301</v>
      </c>
      <c r="F63" s="34">
        <v>30908</v>
      </c>
      <c r="G63" s="35">
        <v>-3.6200000000000003E-2</v>
      </c>
      <c r="H63" s="34">
        <v>102.86013348538771</v>
      </c>
      <c r="I63" s="35">
        <v>-5.1992337316171593</v>
      </c>
      <c r="Q63" s="34">
        <v>5.0895096057345622E-2</v>
      </c>
      <c r="R63" s="34">
        <v>100.0757538037506</v>
      </c>
      <c r="S63" s="34">
        <v>103.7903220926612</v>
      </c>
      <c r="T63" s="34">
        <v>-3.714568288910542</v>
      </c>
      <c r="U63" s="34">
        <v>-3.5789158507421107E-2</v>
      </c>
      <c r="V63" s="34">
        <v>-0.58560000000000001</v>
      </c>
      <c r="W63" s="34">
        <v>99.43910056372539</v>
      </c>
      <c r="X63" s="34">
        <v>-4.1923191307288938</v>
      </c>
      <c r="AF63" s="34">
        <v>0.28160000000000002</v>
      </c>
      <c r="AG63" s="34">
        <v>103.7620455738481</v>
      </c>
      <c r="AH63" s="34">
        <v>105.9562998689016</v>
      </c>
      <c r="AI63" s="34">
        <v>-2.1942542950534398</v>
      </c>
      <c r="AJ63" s="34">
        <v>-2.070904984194771E-2</v>
      </c>
      <c r="AK63" s="34">
        <v>-2.6800000000000001E-2</v>
      </c>
      <c r="AL63" s="34">
        <v>103.4429420209035</v>
      </c>
      <c r="AM63" s="34">
        <v>-2.3720702318860138</v>
      </c>
    </row>
    <row r="64" spans="1:39" x14ac:dyDescent="0.25">
      <c r="A64" s="34" t="s">
        <v>310</v>
      </c>
      <c r="B64" s="34" t="s">
        <v>311</v>
      </c>
      <c r="C64" s="34">
        <v>-0.53280000000000005</v>
      </c>
      <c r="D64" s="34">
        <v>102.5852645624087</v>
      </c>
      <c r="E64" s="34">
        <v>108.5013734954301</v>
      </c>
      <c r="F64" s="34">
        <v>30984.45</v>
      </c>
      <c r="G64" s="35">
        <v>-1.2666999999999999</v>
      </c>
      <c r="H64" s="34">
        <v>101.8283585103397</v>
      </c>
      <c r="I64" s="35">
        <v>-6.1501663712776882</v>
      </c>
      <c r="Q64" s="34">
        <v>-1.3787491613013749</v>
      </c>
      <c r="R64" s="34">
        <v>98.695960187515382</v>
      </c>
      <c r="S64" s="34">
        <v>103.7903220926612</v>
      </c>
      <c r="T64" s="34">
        <v>-5.0943619051457736</v>
      </c>
      <c r="U64" s="34">
        <v>-4.9083207397676902E-2</v>
      </c>
      <c r="V64" s="34">
        <v>-1.8753</v>
      </c>
      <c r="W64" s="34">
        <v>98.199033192668878</v>
      </c>
      <c r="X64" s="34">
        <v>-5.3871004417931463</v>
      </c>
      <c r="AF64" s="34">
        <v>-1.9115</v>
      </c>
      <c r="AG64" s="34">
        <v>101.77863407270399</v>
      </c>
      <c r="AH64" s="34">
        <v>105.9562998689016</v>
      </c>
      <c r="AI64" s="34">
        <v>-4.1776657961975454</v>
      </c>
      <c r="AJ64" s="34">
        <v>-3.9428196354218861E-2</v>
      </c>
      <c r="AK64" s="34">
        <v>-1.9115</v>
      </c>
      <c r="AL64" s="34">
        <v>101.77863407270399</v>
      </c>
      <c r="AM64" s="34">
        <v>-3.9428196354218898</v>
      </c>
    </row>
    <row r="65" spans="1:39" x14ac:dyDescent="0.25">
      <c r="A65" s="34" t="s">
        <v>311</v>
      </c>
      <c r="B65" s="34" t="s">
        <v>312</v>
      </c>
      <c r="C65" s="34">
        <v>0.42909999999999998</v>
      </c>
      <c r="D65" s="34">
        <v>103.02545793264601</v>
      </c>
      <c r="E65" s="34">
        <v>108.5013734954301</v>
      </c>
      <c r="F65" s="34">
        <v>30845.200000000001</v>
      </c>
      <c r="G65" s="35">
        <v>-0.56879999999999997</v>
      </c>
      <c r="H65" s="34">
        <v>102.0017595775777</v>
      </c>
      <c r="I65" s="35">
        <v>-5.9903517425299091</v>
      </c>
      <c r="Q65" s="34">
        <v>0.31075955613834721</v>
      </c>
      <c r="R65" s="34">
        <v>99.002667315320593</v>
      </c>
      <c r="S65" s="34">
        <v>103.7903220926612</v>
      </c>
      <c r="T65" s="34">
        <v>-4.7876547773405633</v>
      </c>
      <c r="U65" s="34">
        <v>-4.6128142593740831E-2</v>
      </c>
      <c r="V65" s="34">
        <v>-0.2341</v>
      </c>
      <c r="W65" s="34">
        <v>98.464912944716403</v>
      </c>
      <c r="X65" s="34">
        <v>-5.1309303609158974</v>
      </c>
      <c r="AF65" s="34">
        <v>0.7399</v>
      </c>
      <c r="AG65" s="34">
        <v>102.5316941862079</v>
      </c>
      <c r="AH65" s="34">
        <v>105.9562998689016</v>
      </c>
      <c r="AI65" s="34">
        <v>-3.4246056826936102</v>
      </c>
      <c r="AJ65" s="34">
        <v>-3.2320925579043737E-2</v>
      </c>
      <c r="AK65" s="34">
        <v>-0.21290000000000001</v>
      </c>
      <c r="AL65" s="34">
        <v>101.5619473607632</v>
      </c>
      <c r="AM65" s="34">
        <v>-4.1473253724180754</v>
      </c>
    </row>
    <row r="66" spans="1:39" x14ac:dyDescent="0.25">
      <c r="A66" s="34" t="s">
        <v>312</v>
      </c>
      <c r="B66" s="34" t="s">
        <v>313</v>
      </c>
      <c r="C66" s="34">
        <v>1.3511</v>
      </c>
      <c r="D66" s="34">
        <v>104.4174348947739</v>
      </c>
      <c r="E66" s="34">
        <v>108.5013734954301</v>
      </c>
      <c r="F66" s="34">
        <v>30982.7</v>
      </c>
      <c r="G66" s="35">
        <v>-0.22900000000000001</v>
      </c>
      <c r="H66" s="34">
        <v>102.78952963398019</v>
      </c>
      <c r="I66" s="35">
        <v>-5.2643055819845852</v>
      </c>
      <c r="Q66" s="34">
        <v>-1.8639186468324429</v>
      </c>
      <c r="R66" s="34">
        <v>97.157338138368843</v>
      </c>
      <c r="S66" s="34">
        <v>103.7903220926612</v>
      </c>
      <c r="T66" s="34">
        <v>-6.6329839542923139</v>
      </c>
      <c r="U66" s="34">
        <v>-6.3907538010823092E-2</v>
      </c>
      <c r="V66" s="34">
        <v>-1.9400999999999999</v>
      </c>
      <c r="W66" s="34">
        <v>97.081916566736055</v>
      </c>
      <c r="X66" s="34">
        <v>-6.4634210499279749</v>
      </c>
      <c r="AF66" s="34">
        <v>-0.51280000000000003</v>
      </c>
      <c r="AG66" s="34">
        <v>102.0059116584211</v>
      </c>
      <c r="AH66" s="34">
        <v>105.9562998689016</v>
      </c>
      <c r="AI66" s="34">
        <v>-3.9503882104804831</v>
      </c>
      <c r="AJ66" s="34">
        <v>-3.7283183872674402E-2</v>
      </c>
      <c r="AK66" s="34">
        <v>-0.51739999999999997</v>
      </c>
      <c r="AL66" s="34">
        <v>102.0011952004885</v>
      </c>
      <c r="AM66" s="34">
        <v>-3.7327697110097868</v>
      </c>
    </row>
    <row r="67" spans="1:39" x14ac:dyDescent="0.25">
      <c r="A67" s="34" t="s">
        <v>313</v>
      </c>
      <c r="B67" s="34" t="s">
        <v>314</v>
      </c>
      <c r="C67" s="34">
        <v>0.75470000000000004</v>
      </c>
      <c r="D67" s="34">
        <v>105.2054732759248</v>
      </c>
      <c r="E67" s="34">
        <v>108.5013734954301</v>
      </c>
      <c r="F67" s="34">
        <v>31432.3</v>
      </c>
      <c r="G67" s="35">
        <v>0.2329</v>
      </c>
      <c r="H67" s="34">
        <v>104.6606231006439</v>
      </c>
      <c r="I67" s="35">
        <v>-3.539817304661097</v>
      </c>
      <c r="Q67" s="34">
        <v>-0.36780626464285321</v>
      </c>
      <c r="R67" s="34">
        <v>96.799987362135681</v>
      </c>
      <c r="S67" s="34">
        <v>103.7903220926612</v>
      </c>
      <c r="T67" s="34">
        <v>-6.9903347305254746</v>
      </c>
      <c r="U67" s="34">
        <v>-6.7350544728868811E-2</v>
      </c>
      <c r="V67" s="34">
        <v>-0.98870000000000002</v>
      </c>
      <c r="W67" s="34">
        <v>96.196743536194788</v>
      </c>
      <c r="X67" s="34">
        <v>-7.3162684182510151</v>
      </c>
      <c r="AF67" s="34">
        <v>0.38690000000000002</v>
      </c>
      <c r="AG67" s="34">
        <v>102.4005725306275</v>
      </c>
      <c r="AH67" s="34">
        <v>105.9562998689016</v>
      </c>
      <c r="AI67" s="34">
        <v>-3.555727338274068</v>
      </c>
      <c r="AJ67" s="34">
        <v>-3.3558432511077922E-2</v>
      </c>
      <c r="AK67" s="34">
        <v>7.8799999999999995E-2</v>
      </c>
      <c r="AL67" s="34">
        <v>102.0862923168079</v>
      </c>
      <c r="AM67" s="34">
        <v>-3.6524563021566041</v>
      </c>
    </row>
    <row r="68" spans="1:39" x14ac:dyDescent="0.25">
      <c r="A68" s="34" t="s">
        <v>314</v>
      </c>
      <c r="B68" s="34" t="s">
        <v>315</v>
      </c>
      <c r="C68" s="34">
        <v>0.81189999999999996</v>
      </c>
      <c r="D68" s="34">
        <v>106.05963651345201</v>
      </c>
      <c r="E68" s="34">
        <v>108.5013734954301</v>
      </c>
      <c r="F68" s="34">
        <v>31680</v>
      </c>
      <c r="G68" s="35">
        <v>-0.50690000000000002</v>
      </c>
      <c r="H68" s="34">
        <v>104.6721867318891</v>
      </c>
      <c r="I68" s="35">
        <v>-3.5291597149249121</v>
      </c>
      <c r="Q68" s="34">
        <v>-0.35945661220438152</v>
      </c>
      <c r="R68" s="34">
        <v>96.452033406949482</v>
      </c>
      <c r="S68" s="34">
        <v>103.7903220926612</v>
      </c>
      <c r="T68" s="34">
        <v>-7.3382886857116736</v>
      </c>
      <c r="U68" s="34">
        <v>-7.0703014864528999E-2</v>
      </c>
      <c r="V68" s="34">
        <v>-0.69269999999999998</v>
      </c>
      <c r="W68" s="34">
        <v>96.129453849678171</v>
      </c>
      <c r="X68" s="34">
        <v>-7.3811007505531929</v>
      </c>
      <c r="AF68" s="34">
        <v>0.45240000000000002</v>
      </c>
      <c r="AG68" s="34">
        <v>102.86383272075599</v>
      </c>
      <c r="AH68" s="34">
        <v>105.9562998689016</v>
      </c>
      <c r="AI68" s="34">
        <v>-3.0924671481455159</v>
      </c>
      <c r="AJ68" s="34">
        <v>-2.9186250859758109E-2</v>
      </c>
      <c r="AK68" s="34">
        <v>0.20250000000000001</v>
      </c>
      <c r="AL68" s="34">
        <v>102.607933690002</v>
      </c>
      <c r="AM68" s="34">
        <v>-3.160138833691295</v>
      </c>
    </row>
    <row r="69" spans="1:39" x14ac:dyDescent="0.25">
      <c r="A69" s="34" t="s">
        <v>315</v>
      </c>
      <c r="B69" s="34" t="s">
        <v>316</v>
      </c>
      <c r="C69" s="34">
        <v>-0.77569999999999995</v>
      </c>
      <c r="D69" s="34">
        <v>105.2369319130172</v>
      </c>
      <c r="E69" s="34">
        <v>108.5013734954301</v>
      </c>
      <c r="F69" s="34">
        <v>31963.599999999999</v>
      </c>
      <c r="G69" s="35">
        <v>-0.94410000000000005</v>
      </c>
      <c r="H69" s="34">
        <v>105.0583274851285</v>
      </c>
      <c r="I69" s="35">
        <v>-3.173274124909176</v>
      </c>
      <c r="Q69" s="34">
        <v>0.31945634737512912</v>
      </c>
      <c r="R69" s="34">
        <v>96.760155549840363</v>
      </c>
      <c r="S69" s="34">
        <v>103.7903220926612</v>
      </c>
      <c r="T69" s="34">
        <v>-7.030166542820794</v>
      </c>
      <c r="U69" s="34">
        <v>-6.773431665954803E-2</v>
      </c>
      <c r="V69" s="34">
        <v>-0.40839999999999999</v>
      </c>
      <c r="W69" s="34">
        <v>96.058123302515497</v>
      </c>
      <c r="X69" s="34">
        <v>-7.4498263751822336</v>
      </c>
      <c r="AF69" s="34">
        <v>-0.45619999999999999</v>
      </c>
      <c r="AG69" s="34">
        <v>102.394567915884</v>
      </c>
      <c r="AH69" s="34">
        <v>105.9562998689016</v>
      </c>
      <c r="AI69" s="34">
        <v>-3.561731953017599</v>
      </c>
      <c r="AJ69" s="34">
        <v>-3.3615103183335833E-2</v>
      </c>
      <c r="AK69" s="34">
        <v>-0.47989999999999999</v>
      </c>
      <c r="AL69" s="34">
        <v>102.37018918752911</v>
      </c>
      <c r="AM69" s="34">
        <v>-3.3845186041882021</v>
      </c>
    </row>
    <row r="70" spans="1:39" x14ac:dyDescent="0.25">
      <c r="A70" s="34" t="s">
        <v>316</v>
      </c>
      <c r="B70" s="34" t="s">
        <v>317</v>
      </c>
      <c r="C70" s="34">
        <v>-1.1194999999999999</v>
      </c>
      <c r="D70" s="34">
        <v>104.058804460251</v>
      </c>
      <c r="E70" s="34">
        <v>108.5013734954301</v>
      </c>
      <c r="F70" s="34">
        <v>31726.3</v>
      </c>
      <c r="G70" s="35">
        <v>-1.5535000000000001</v>
      </c>
      <c r="H70" s="34">
        <v>103.60207617574849</v>
      </c>
      <c r="I70" s="35">
        <v>-4.5154242401253653</v>
      </c>
      <c r="Q70" s="34">
        <v>-0.87541994822933289</v>
      </c>
      <c r="R70" s="34">
        <v>95.91309784621933</v>
      </c>
      <c r="S70" s="34">
        <v>103.7903220926612</v>
      </c>
      <c r="T70" s="34">
        <v>-7.8772242464418269</v>
      </c>
      <c r="U70" s="34">
        <v>-7.5895556422006835E-2</v>
      </c>
      <c r="V70" s="34">
        <v>-1.0181</v>
      </c>
      <c r="W70" s="34">
        <v>95.775040406187443</v>
      </c>
      <c r="X70" s="34">
        <v>-7.7225713581637114</v>
      </c>
      <c r="AF70" s="34">
        <v>-1.9948999999999999</v>
      </c>
      <c r="AG70" s="34">
        <v>100.35189868053</v>
      </c>
      <c r="AH70" s="34">
        <v>105.9562998689016</v>
      </c>
      <c r="AI70" s="34">
        <v>-5.6044011883715683</v>
      </c>
      <c r="AJ70" s="34">
        <v>-5.2893515489931472E-2</v>
      </c>
      <c r="AK70" s="34">
        <v>-1.9948999999999999</v>
      </c>
      <c r="AL70" s="34">
        <v>100.35189868053</v>
      </c>
      <c r="AM70" s="34">
        <v>-5.2893515489931486</v>
      </c>
    </row>
    <row r="71" spans="1:39" x14ac:dyDescent="0.25">
      <c r="A71" s="34" t="s">
        <v>317</v>
      </c>
      <c r="B71" s="34" t="s">
        <v>318</v>
      </c>
      <c r="C71" s="34">
        <v>3.0000000000000001E-3</v>
      </c>
      <c r="D71" s="34">
        <v>104.06192622438481</v>
      </c>
      <c r="E71" s="34">
        <v>108.5013734954301</v>
      </c>
      <c r="F71" s="34">
        <v>31381.7</v>
      </c>
      <c r="G71" s="35">
        <v>-0.65880000000000005</v>
      </c>
      <c r="H71" s="34">
        <v>103.37326505646681</v>
      </c>
      <c r="I71" s="35">
        <v>-4.7263073947900081</v>
      </c>
      <c r="Q71" s="34">
        <v>-7.2480749004070907E-2</v>
      </c>
      <c r="R71" s="34">
        <v>95.84357931450738</v>
      </c>
      <c r="S71" s="34">
        <v>103.7903220926612</v>
      </c>
      <c r="T71" s="34">
        <v>-7.9467427781537756</v>
      </c>
      <c r="U71" s="34">
        <v>-7.6565354244292089E-2</v>
      </c>
      <c r="V71" s="34">
        <v>-0.2215</v>
      </c>
      <c r="W71" s="34">
        <v>95.700650334489964</v>
      </c>
      <c r="X71" s="34">
        <v>-7.7942447764531959</v>
      </c>
      <c r="AF71" s="34">
        <v>-6.9500000000000006E-2</v>
      </c>
      <c r="AG71" s="34">
        <v>100.282154110947</v>
      </c>
      <c r="AH71" s="34">
        <v>105.9562998689016</v>
      </c>
      <c r="AI71" s="34">
        <v>-5.674145757954534</v>
      </c>
      <c r="AJ71" s="34">
        <v>-5.3551754496665938E-2</v>
      </c>
      <c r="AK71" s="34">
        <v>-0.26390000000000002</v>
      </c>
      <c r="AL71" s="34">
        <v>100.0870700199121</v>
      </c>
      <c r="AM71" s="34">
        <v>-5.5392929502553478</v>
      </c>
    </row>
    <row r="72" spans="1:39" x14ac:dyDescent="0.25">
      <c r="A72" s="34" t="s">
        <v>318</v>
      </c>
      <c r="B72" s="34" t="s">
        <v>319</v>
      </c>
      <c r="C72" s="34">
        <v>-0.67149999999999999</v>
      </c>
      <c r="D72" s="34">
        <v>103.363150389788</v>
      </c>
      <c r="E72" s="34">
        <v>108.5013734954301</v>
      </c>
      <c r="F72" s="34">
        <v>31403.55</v>
      </c>
      <c r="G72" s="35">
        <v>-1.0665</v>
      </c>
      <c r="H72" s="34">
        <v>102.95210578120169</v>
      </c>
      <c r="I72" s="35">
        <v>-5.1144677117493709</v>
      </c>
      <c r="Q72" s="34">
        <v>0.10786050403729749</v>
      </c>
      <c r="R72" s="34">
        <v>95.946956682243396</v>
      </c>
      <c r="S72" s="34">
        <v>103.7903220926612</v>
      </c>
      <c r="T72" s="34">
        <v>-7.8433654104177606</v>
      </c>
      <c r="U72" s="34">
        <v>-7.5569332980924928E-2</v>
      </c>
      <c r="V72" s="34">
        <v>-0.15190000000000001</v>
      </c>
      <c r="W72" s="34">
        <v>95.697992917528637</v>
      </c>
      <c r="X72" s="34">
        <v>-7.7968051471195121</v>
      </c>
      <c r="AF72" s="34">
        <v>-0.56359999999999999</v>
      </c>
      <c r="AG72" s="34">
        <v>99.716963890377727</v>
      </c>
      <c r="AH72" s="34">
        <v>105.9562998689016</v>
      </c>
      <c r="AI72" s="34">
        <v>-6.239335978523826</v>
      </c>
      <c r="AJ72" s="34">
        <v>-5.8885936808322693E-2</v>
      </c>
      <c r="AK72" s="34">
        <v>-0.62419999999999998</v>
      </c>
      <c r="AL72" s="34">
        <v>99.656192904986497</v>
      </c>
      <c r="AM72" s="34">
        <v>-5.9459484445097637</v>
      </c>
    </row>
    <row r="73" spans="1:39" x14ac:dyDescent="0.25">
      <c r="A73" s="34" t="s">
        <v>319</v>
      </c>
      <c r="B73" s="34" t="s">
        <v>320</v>
      </c>
      <c r="C73" s="34">
        <v>-0.2681</v>
      </c>
      <c r="D73" s="34">
        <v>103.086033783593</v>
      </c>
      <c r="E73" s="34">
        <v>108.5013734954301</v>
      </c>
      <c r="F73" s="34">
        <v>31197.9</v>
      </c>
      <c r="G73" s="35">
        <v>-1.4661999999999999</v>
      </c>
      <c r="H73" s="34">
        <v>101.84763987877299</v>
      </c>
      <c r="I73" s="35">
        <v>-6.1323957497527504</v>
      </c>
      <c r="Q73" s="34">
        <v>1.152656351424389</v>
      </c>
      <c r="R73" s="34">
        <v>97.052895372439679</v>
      </c>
      <c r="S73" s="34">
        <v>103.7903220926612</v>
      </c>
      <c r="T73" s="34">
        <v>-6.7374267202214781</v>
      </c>
      <c r="U73" s="34">
        <v>-6.4913824183014751E-2</v>
      </c>
      <c r="V73" s="34">
        <v>-0.1206</v>
      </c>
      <c r="W73" s="34">
        <v>95.831244652484614</v>
      </c>
      <c r="X73" s="34">
        <v>-7.6684196365349946</v>
      </c>
      <c r="AF73" s="34">
        <v>0.88460000000000005</v>
      </c>
      <c r="AG73" s="34">
        <v>100.59906015295201</v>
      </c>
      <c r="AH73" s="34">
        <v>105.9562998689016</v>
      </c>
      <c r="AI73" s="34">
        <v>-5.3572397159495466</v>
      </c>
      <c r="AJ73" s="34">
        <v>-5.0560841805329132E-2</v>
      </c>
      <c r="AK73" s="34">
        <v>-0.1192</v>
      </c>
      <c r="AL73" s="34">
        <v>99.598101269420397</v>
      </c>
      <c r="AM73" s="34">
        <v>-6.0007744771647156</v>
      </c>
    </row>
    <row r="74" spans="1:39" x14ac:dyDescent="0.25">
      <c r="A74" s="34" t="s">
        <v>320</v>
      </c>
      <c r="B74" s="34" t="s">
        <v>321</v>
      </c>
      <c r="C74" s="34">
        <v>0.42830000000000001</v>
      </c>
      <c r="D74" s="34">
        <v>103.5275512662881</v>
      </c>
      <c r="E74" s="34">
        <v>108.5013734954301</v>
      </c>
      <c r="F74" s="34">
        <v>31150.65</v>
      </c>
      <c r="G74" s="35">
        <v>0.1178</v>
      </c>
      <c r="H74" s="34">
        <v>103.2074691313901</v>
      </c>
      <c r="I74" s="35">
        <v>-4.879112764653593</v>
      </c>
      <c r="Q74" s="34">
        <v>-1.248135324145671</v>
      </c>
      <c r="R74" s="34">
        <v>95.841543902190125</v>
      </c>
      <c r="S74" s="34">
        <v>103.7903220926612</v>
      </c>
      <c r="T74" s="34">
        <v>-7.9487781904710317</v>
      </c>
      <c r="U74" s="34">
        <v>-7.6584965054589393E-2</v>
      </c>
      <c r="V74" s="34">
        <v>-1.4890000000000001</v>
      </c>
      <c r="W74" s="34">
        <v>95.60777776034405</v>
      </c>
      <c r="X74" s="34">
        <v>-7.8837257340929723</v>
      </c>
      <c r="AF74" s="34">
        <v>-0.81979999999999997</v>
      </c>
      <c r="AG74" s="34">
        <v>99.7743490578181</v>
      </c>
      <c r="AH74" s="34">
        <v>105.9562998689016</v>
      </c>
      <c r="AI74" s="34">
        <v>-6.1819508110834533</v>
      </c>
      <c r="AJ74" s="34">
        <v>-5.8344344024209099E-2</v>
      </c>
      <c r="AK74" s="34">
        <v>-0.98870000000000002</v>
      </c>
      <c r="AL74" s="34">
        <v>99.604437245219771</v>
      </c>
      <c r="AM74" s="34">
        <v>-5.9947946762399784</v>
      </c>
    </row>
    <row r="75" spans="1:39" x14ac:dyDescent="0.25">
      <c r="A75" s="34" t="s">
        <v>321</v>
      </c>
      <c r="B75" s="34" t="s">
        <v>322</v>
      </c>
      <c r="C75" s="34">
        <v>2.2927</v>
      </c>
      <c r="D75" s="34">
        <v>105.90112743417031</v>
      </c>
      <c r="E75" s="34">
        <v>108.5013734954301</v>
      </c>
      <c r="F75" s="34">
        <v>31289.25</v>
      </c>
      <c r="G75" s="35">
        <v>0.1978</v>
      </c>
      <c r="H75" s="34">
        <v>103.7323287626929</v>
      </c>
      <c r="I75" s="35">
        <v>-4.3953772925631078</v>
      </c>
      <c r="Q75" s="34">
        <v>-1.2234839673016269</v>
      </c>
      <c r="R75" s="34">
        <v>94.668937978532469</v>
      </c>
      <c r="S75" s="34">
        <v>103.7903220926612</v>
      </c>
      <c r="T75" s="34">
        <v>-9.1213841141286878</v>
      </c>
      <c r="U75" s="34">
        <v>-8.7882799958799301E-2</v>
      </c>
      <c r="V75" s="34">
        <v>-1.5307999999999999</v>
      </c>
      <c r="W75" s="34">
        <v>94.374401548135396</v>
      </c>
      <c r="X75" s="34">
        <v>-9.0720602409533733</v>
      </c>
      <c r="AF75" s="34">
        <v>1.0691999999999999</v>
      </c>
      <c r="AG75" s="34">
        <v>100.8411363979443</v>
      </c>
      <c r="AH75" s="34">
        <v>105.9562998689016</v>
      </c>
      <c r="AI75" s="34">
        <v>-5.1151634709572704</v>
      </c>
      <c r="AJ75" s="34">
        <v>-4.8276161750516022E-2</v>
      </c>
      <c r="AK75" s="34">
        <v>0.5202</v>
      </c>
      <c r="AL75" s="34">
        <v>100.2933752216169</v>
      </c>
      <c r="AM75" s="34">
        <v>-5.3445851301823124</v>
      </c>
    </row>
    <row r="76" spans="1:39" x14ac:dyDescent="0.25">
      <c r="A76" s="34" t="s">
        <v>322</v>
      </c>
      <c r="B76" s="34" t="s">
        <v>323</v>
      </c>
      <c r="C76" s="34">
        <v>0.72729999999999995</v>
      </c>
      <c r="D76" s="34">
        <v>106.6713463339991</v>
      </c>
      <c r="E76" s="34">
        <v>108.5013734954301</v>
      </c>
      <c r="F76" s="34">
        <v>32037.9</v>
      </c>
      <c r="G76" s="35">
        <v>0.12690000000000001</v>
      </c>
      <c r="H76" s="34">
        <v>106.0355159648843</v>
      </c>
      <c r="I76" s="35">
        <v>-2.2726509822934671</v>
      </c>
      <c r="Q76" s="34">
        <v>1.1496213686171759</v>
      </c>
      <c r="R76" s="34">
        <v>95.757272318976618</v>
      </c>
      <c r="S76" s="34">
        <v>103.7903220926612</v>
      </c>
      <c r="T76" s="34">
        <v>-8.0330497736845388</v>
      </c>
      <c r="U76" s="34">
        <v>-7.7396905720292994E-2</v>
      </c>
      <c r="V76" s="34">
        <v>-0.74340000000000006</v>
      </c>
      <c r="W76" s="34">
        <v>93.965169093600053</v>
      </c>
      <c r="X76" s="34">
        <v>-9.4663479223905611</v>
      </c>
      <c r="AF76" s="34">
        <v>1.8769</v>
      </c>
      <c r="AG76" s="34">
        <v>102.7338236869973</v>
      </c>
      <c r="AH76" s="34">
        <v>105.9562998689016</v>
      </c>
      <c r="AI76" s="34">
        <v>-3.222476181904256</v>
      </c>
      <c r="AJ76" s="34">
        <v>-3.0413257030411461E-2</v>
      </c>
      <c r="AK76" s="34">
        <v>1.1929000000000001</v>
      </c>
      <c r="AL76" s="34">
        <v>102.04407031403539</v>
      </c>
      <c r="AM76" s="34">
        <v>-3.6923048084037902</v>
      </c>
    </row>
    <row r="77" spans="1:39" x14ac:dyDescent="0.25">
      <c r="A77" s="34" t="s">
        <v>323</v>
      </c>
      <c r="B77" s="34" t="s">
        <v>324</v>
      </c>
      <c r="C77" s="34">
        <v>1.6008</v>
      </c>
      <c r="D77" s="34">
        <v>108.3789412461137</v>
      </c>
      <c r="E77" s="34">
        <v>108.5013734954301</v>
      </c>
      <c r="F77" s="34">
        <v>32308.3</v>
      </c>
      <c r="G77" s="35">
        <v>-0.7248</v>
      </c>
      <c r="H77" s="34">
        <v>105.8981924157702</v>
      </c>
      <c r="I77" s="35">
        <v>-2.3992148631828081</v>
      </c>
      <c r="Q77" s="34">
        <v>-0.31222219229007842</v>
      </c>
      <c r="R77" s="34">
        <v>95.458296864065133</v>
      </c>
      <c r="S77" s="34">
        <v>103.7903220926612</v>
      </c>
      <c r="T77" s="34">
        <v>-8.3320252285960237</v>
      </c>
      <c r="U77" s="34">
        <v>-8.0277477327389157E-2</v>
      </c>
      <c r="V77" s="34">
        <v>-0.90210000000000001</v>
      </c>
      <c r="W77" s="34">
        <v>94.89344596538713</v>
      </c>
      <c r="X77" s="34">
        <v>-8.5719708233790275</v>
      </c>
      <c r="AF77" s="34">
        <v>1.2886</v>
      </c>
      <c r="AG77" s="34">
        <v>104.0576517390279</v>
      </c>
      <c r="AH77" s="34">
        <v>105.9562998689016</v>
      </c>
      <c r="AI77" s="34">
        <v>-1.8986481298736071</v>
      </c>
      <c r="AJ77" s="34">
        <v>-1.7919162260505331E-2</v>
      </c>
      <c r="AK77" s="34">
        <v>0.76359999999999995</v>
      </c>
      <c r="AL77" s="34">
        <v>103.51829916467121</v>
      </c>
      <c r="AM77" s="34">
        <v>-2.300949266109575</v>
      </c>
    </row>
    <row r="78" spans="1:39" x14ac:dyDescent="0.25">
      <c r="A78" s="34" t="s">
        <v>324</v>
      </c>
      <c r="B78" s="34" t="s">
        <v>325</v>
      </c>
      <c r="C78" s="34">
        <v>-3.9291</v>
      </c>
      <c r="D78" s="34">
        <v>104.1206242656127</v>
      </c>
      <c r="E78" s="34">
        <v>108.5013734954301</v>
      </c>
      <c r="F78" s="34">
        <v>32863.199999999997</v>
      </c>
      <c r="G78" s="35">
        <v>-4.2034000000000002</v>
      </c>
      <c r="H78" s="34">
        <v>103.82334082977459</v>
      </c>
      <c r="I78" s="35">
        <v>-4.3114962649321136</v>
      </c>
      <c r="Q78" s="34">
        <v>2.908581319700112</v>
      </c>
      <c r="R78" s="34">
        <v>98.234779054757212</v>
      </c>
      <c r="S78" s="34">
        <v>103.7903220926612</v>
      </c>
      <c r="T78" s="34">
        <v>-5.555543037903945</v>
      </c>
      <c r="U78" s="34">
        <v>-5.3526599839858947E-2</v>
      </c>
      <c r="V78" s="34">
        <v>0.17119999999999999</v>
      </c>
      <c r="W78" s="34">
        <v>95.6217214682964</v>
      </c>
      <c r="X78" s="34">
        <v>-7.8702912368573754</v>
      </c>
      <c r="AF78" s="34">
        <v>-1.0205</v>
      </c>
      <c r="AG78" s="34">
        <v>102.9957434030312</v>
      </c>
      <c r="AH78" s="34">
        <v>105.9562998689016</v>
      </c>
      <c r="AI78" s="34">
        <v>-2.9605564658703831</v>
      </c>
      <c r="AJ78" s="34">
        <v>-2.7941297209636839E-2</v>
      </c>
      <c r="AK78" s="34">
        <v>-1.0213000000000001</v>
      </c>
      <c r="AL78" s="34">
        <v>102.9949109418173</v>
      </c>
      <c r="AM78" s="34">
        <v>-2.7949153856338782</v>
      </c>
    </row>
    <row r="79" spans="1:39" x14ac:dyDescent="0.25">
      <c r="A79" s="34" t="s">
        <v>325</v>
      </c>
      <c r="B79" s="34" t="s">
        <v>248</v>
      </c>
      <c r="C79" s="34">
        <v>-4.6288</v>
      </c>
      <c r="D79" s="34">
        <v>99.301088809605986</v>
      </c>
      <c r="E79" s="34">
        <v>108.5013734954301</v>
      </c>
      <c r="F79" s="34">
        <v>31610.3</v>
      </c>
      <c r="G79" s="35">
        <v>-4.8057999999999996</v>
      </c>
      <c r="H79" s="34">
        <v>99.116795304655838</v>
      </c>
      <c r="I79" s="35">
        <v>-8.649271330348185</v>
      </c>
      <c r="Q79" s="34">
        <v>3.2688429647619941</v>
      </c>
      <c r="R79" s="34">
        <v>101.4459197188381</v>
      </c>
      <c r="S79" s="34">
        <v>103.7903220926612</v>
      </c>
      <c r="T79" s="34">
        <v>-2.3444023738230162</v>
      </c>
      <c r="U79" s="34">
        <v>-2.258787068538045E-2</v>
      </c>
      <c r="V79" s="34">
        <v>-0.6754</v>
      </c>
      <c r="W79" s="34">
        <v>97.571301357021383</v>
      </c>
      <c r="X79" s="34">
        <v>-5.9919081184540479</v>
      </c>
      <c r="AF79" s="34">
        <v>-1.36</v>
      </c>
      <c r="AG79" s="34">
        <v>101.5950012927499</v>
      </c>
      <c r="AH79" s="34">
        <v>105.9562998689016</v>
      </c>
      <c r="AI79" s="34">
        <v>-4.3612985761516114</v>
      </c>
      <c r="AJ79" s="34">
        <v>-4.1161295567585819E-2</v>
      </c>
      <c r="AK79" s="34">
        <v>-1.381</v>
      </c>
      <c r="AL79" s="34">
        <v>101.5733721866353</v>
      </c>
      <c r="AM79" s="34">
        <v>-4.136542789517172</v>
      </c>
    </row>
    <row r="80" spans="1:39" x14ac:dyDescent="0.25">
      <c r="A80" s="34" t="s">
        <v>250</v>
      </c>
      <c r="B80" s="34" t="s">
        <v>326</v>
      </c>
      <c r="C80" s="34">
        <v>1.1477999999999999</v>
      </c>
      <c r="D80" s="34">
        <v>101.1478</v>
      </c>
      <c r="E80" s="34">
        <v>101.1478</v>
      </c>
      <c r="F80" s="34">
        <v>31794.75</v>
      </c>
      <c r="G80" s="35">
        <v>0.34860000000000002</v>
      </c>
      <c r="H80" s="34">
        <v>100.3486</v>
      </c>
      <c r="I80" s="35">
        <v>0.34860000000001001</v>
      </c>
      <c r="Q80" s="34">
        <v>-7.805148076390811E-2</v>
      </c>
      <c r="R80" s="34">
        <v>99.921948519236096</v>
      </c>
      <c r="S80" s="34">
        <v>100</v>
      </c>
      <c r="T80" s="34">
        <v>-7.8051480763903669E-2</v>
      </c>
      <c r="U80" s="34">
        <v>-7.8051480763903665E-4</v>
      </c>
      <c r="V80" s="34">
        <v>-0.62939999999999996</v>
      </c>
      <c r="W80" s="34">
        <v>99.370599999999996</v>
      </c>
      <c r="X80" s="34">
        <v>-0.62940000000000218</v>
      </c>
      <c r="AF80" s="34">
        <v>1.0697000000000001</v>
      </c>
      <c r="AG80" s="34">
        <v>101.0697</v>
      </c>
      <c r="AH80" s="34">
        <v>101.0697</v>
      </c>
      <c r="AI80" s="34"/>
      <c r="AJ80" s="34">
        <v>0</v>
      </c>
      <c r="AK80" s="34">
        <v>0.49340000000000001</v>
      </c>
      <c r="AL80" s="34">
        <v>100.49339999999999</v>
      </c>
      <c r="AM80" s="34">
        <v>0.49339999999999939</v>
      </c>
    </row>
    <row r="81" spans="1:39" x14ac:dyDescent="0.25">
      <c r="A81" s="34" t="s">
        <v>326</v>
      </c>
      <c r="B81" s="34" t="s">
        <v>327</v>
      </c>
      <c r="C81" s="34">
        <v>0.56789999999999996</v>
      </c>
      <c r="D81" s="34">
        <v>101.7222183562</v>
      </c>
      <c r="E81" s="34">
        <v>101.7222183562</v>
      </c>
      <c r="F81" s="34">
        <v>32186.2</v>
      </c>
      <c r="G81" s="35">
        <v>0.1123</v>
      </c>
      <c r="H81" s="34">
        <v>101.2613889794</v>
      </c>
      <c r="I81" s="35">
        <v>0.1122999999999985</v>
      </c>
      <c r="Q81" s="34">
        <v>-0.73494252301705099</v>
      </c>
      <c r="R81" s="34">
        <v>99.187579629741023</v>
      </c>
      <c r="S81" s="34">
        <v>100</v>
      </c>
      <c r="T81" s="34">
        <v>-0.81242037025897673</v>
      </c>
      <c r="U81" s="34">
        <v>-8.1242037025897676E-3</v>
      </c>
      <c r="V81" s="34">
        <v>-0.84079999999999999</v>
      </c>
      <c r="W81" s="34">
        <v>99.081804776086358</v>
      </c>
      <c r="X81" s="34">
        <v>-0.91819522391364261</v>
      </c>
      <c r="AF81" s="34">
        <v>-0.16700000000000001</v>
      </c>
      <c r="AG81" s="34">
        <v>100.900913601</v>
      </c>
      <c r="AH81" s="34">
        <v>101.0697</v>
      </c>
      <c r="AI81" s="34">
        <v>-0.16878639899999831</v>
      </c>
      <c r="AJ81" s="34">
        <v>-1.6699999999999829E-3</v>
      </c>
      <c r="AK81" s="34">
        <v>-0.1953</v>
      </c>
      <c r="AL81" s="34">
        <v>100.8723108759</v>
      </c>
      <c r="AM81" s="34">
        <v>-0.19529999999999831</v>
      </c>
    </row>
    <row r="82" spans="1:39" x14ac:dyDescent="0.25">
      <c r="A82" s="34" t="s">
        <v>327</v>
      </c>
      <c r="B82" s="34" t="s">
        <v>328</v>
      </c>
      <c r="C82" s="34">
        <v>0.30459999999999998</v>
      </c>
      <c r="D82" s="34">
        <v>102.03206423331299</v>
      </c>
      <c r="E82" s="34">
        <v>102.03206423331299</v>
      </c>
      <c r="F82" s="34">
        <v>32374.35</v>
      </c>
      <c r="G82" s="35">
        <v>-0.83150000000000002</v>
      </c>
      <c r="H82" s="34">
        <v>100.8763981105682</v>
      </c>
      <c r="I82" s="35">
        <v>-0.83149999999999613</v>
      </c>
      <c r="Q82" s="34">
        <v>-0.19391097623768891</v>
      </c>
      <c r="R82" s="34">
        <v>98.995244025774454</v>
      </c>
      <c r="S82" s="34">
        <v>100</v>
      </c>
      <c r="T82" s="34">
        <v>-1.0047559742255461</v>
      </c>
      <c r="U82" s="34">
        <v>-1.004755974225546E-2</v>
      </c>
      <c r="V82" s="34">
        <v>-0.52039999999999997</v>
      </c>
      <c r="W82" s="34">
        <v>98.671407465347855</v>
      </c>
      <c r="X82" s="34">
        <v>-1.3285925346521399</v>
      </c>
      <c r="AF82" s="34">
        <v>0.11070000000000001</v>
      </c>
      <c r="AG82" s="34">
        <v>101.01261091235629</v>
      </c>
      <c r="AH82" s="34">
        <v>101.0697</v>
      </c>
      <c r="AI82" s="34">
        <v>-5.708908764368914E-2</v>
      </c>
      <c r="AJ82" s="34">
        <v>-5.6484868999996185E-4</v>
      </c>
      <c r="AK82" s="34">
        <v>0.11070000000000001</v>
      </c>
      <c r="AL82" s="34">
        <v>101.01261091235629</v>
      </c>
      <c r="AM82" s="34">
        <v>-5.6484868999995268E-2</v>
      </c>
    </row>
    <row r="83" spans="1:39" x14ac:dyDescent="0.25">
      <c r="A83" s="34" t="s">
        <v>328</v>
      </c>
      <c r="B83" s="34" t="s">
        <v>329</v>
      </c>
      <c r="C83" s="34">
        <v>0.67520000000000002</v>
      </c>
      <c r="D83" s="34">
        <v>102.7209847310163</v>
      </c>
      <c r="E83" s="34">
        <v>102.7209847310163</v>
      </c>
      <c r="F83" s="34">
        <v>32505.35</v>
      </c>
      <c r="G83" s="35">
        <v>-0.34039999999999998</v>
      </c>
      <c r="H83" s="34">
        <v>101.6847470866628</v>
      </c>
      <c r="I83" s="35">
        <v>-0.34039999999999632</v>
      </c>
      <c r="Q83" s="34">
        <v>0.99207757533401397</v>
      </c>
      <c r="R83" s="34">
        <v>99.977353642401354</v>
      </c>
      <c r="S83" s="34">
        <v>100</v>
      </c>
      <c r="T83" s="34">
        <v>-2.264635759864575E-2</v>
      </c>
      <c r="U83" s="34">
        <v>-2.2646357598645749E-4</v>
      </c>
      <c r="V83" s="34">
        <v>-0.84630000000000005</v>
      </c>
      <c r="W83" s="34">
        <v>98.157447275584332</v>
      </c>
      <c r="X83" s="34">
        <v>-1.842552724415669</v>
      </c>
      <c r="AF83" s="34">
        <v>1.6673</v>
      </c>
      <c r="AG83" s="34">
        <v>102.696794174098</v>
      </c>
      <c r="AH83" s="34">
        <v>102.696794174098</v>
      </c>
      <c r="AI83" s="34"/>
      <c r="AJ83" s="34">
        <v>0</v>
      </c>
      <c r="AK83" s="34">
        <v>0.7117</v>
      </c>
      <c r="AL83" s="34">
        <v>101.7315176642196</v>
      </c>
      <c r="AM83" s="34">
        <v>0.65481312818733706</v>
      </c>
    </row>
    <row r="84" spans="1:39" x14ac:dyDescent="0.25">
      <c r="A84" s="34" t="s">
        <v>329</v>
      </c>
      <c r="B84" s="34" t="s">
        <v>330</v>
      </c>
      <c r="C84" s="34">
        <v>0.70320000000000005</v>
      </c>
      <c r="D84" s="34">
        <v>103.44331869564481</v>
      </c>
      <c r="E84" s="34">
        <v>103.44331869564481</v>
      </c>
      <c r="F84" s="34">
        <v>32762.75</v>
      </c>
      <c r="G84" s="35">
        <v>-1.6515</v>
      </c>
      <c r="H84" s="34">
        <v>101.0245476681836</v>
      </c>
      <c r="I84" s="35">
        <v>-1.6514999999999951</v>
      </c>
      <c r="Q84" s="34">
        <v>-0.40122650459939219</v>
      </c>
      <c r="R84" s="34">
        <v>99.576218000990977</v>
      </c>
      <c r="S84" s="34">
        <v>100</v>
      </c>
      <c r="T84" s="34">
        <v>-0.42378199900902302</v>
      </c>
      <c r="U84" s="34">
        <v>-4.2378199900902306E-3</v>
      </c>
      <c r="V84" s="34">
        <v>-1.7416</v>
      </c>
      <c r="W84" s="34">
        <v>98.236148051365291</v>
      </c>
      <c r="X84" s="34">
        <v>-1.7638519486347091</v>
      </c>
      <c r="AF84" s="34">
        <v>0.30199999999999999</v>
      </c>
      <c r="AG84" s="34">
        <v>103.00693849250381</v>
      </c>
      <c r="AH84" s="34">
        <v>103.00693849250381</v>
      </c>
      <c r="AI84" s="34"/>
      <c r="AJ84" s="34">
        <v>0</v>
      </c>
      <c r="AK84" s="34">
        <v>-0.71809999999999996</v>
      </c>
      <c r="AL84" s="34">
        <v>101.9593284951338</v>
      </c>
      <c r="AM84" s="34">
        <v>-0.71809999999999929</v>
      </c>
    </row>
    <row r="85" spans="1:39" x14ac:dyDescent="0.25">
      <c r="A85" s="34" t="s">
        <v>330</v>
      </c>
      <c r="B85" s="34" t="s">
        <v>331</v>
      </c>
      <c r="C85" s="34">
        <v>1.1587000000000001</v>
      </c>
      <c r="D85" s="34">
        <v>104.64191642937131</v>
      </c>
      <c r="E85" s="34">
        <v>104.64191642937131</v>
      </c>
      <c r="F85" s="34">
        <v>33031.35</v>
      </c>
      <c r="G85" s="35">
        <v>-0.1951</v>
      </c>
      <c r="H85" s="34">
        <v>103.2415007808696</v>
      </c>
      <c r="I85" s="35">
        <v>-0.1951000000000036</v>
      </c>
      <c r="Q85" s="34">
        <v>-1.1864657048793019</v>
      </c>
      <c r="R85" s="34">
        <v>98.394780324193363</v>
      </c>
      <c r="S85" s="34">
        <v>100</v>
      </c>
      <c r="T85" s="34">
        <v>-1.605219675806637</v>
      </c>
      <c r="U85" s="34">
        <v>-1.6052196758066371E-2</v>
      </c>
      <c r="V85" s="34">
        <v>-1.3024</v>
      </c>
      <c r="W85" s="34">
        <v>98.279337337746071</v>
      </c>
      <c r="X85" s="34">
        <v>-1.7206626622539249</v>
      </c>
      <c r="AF85" s="34">
        <v>-2.7799999999999998E-2</v>
      </c>
      <c r="AG85" s="34">
        <v>102.9783025636029</v>
      </c>
      <c r="AH85" s="34">
        <v>103.00693849250381</v>
      </c>
      <c r="AI85" s="34">
        <v>-2.8635928900911271E-2</v>
      </c>
      <c r="AJ85" s="34">
        <v>-2.7799999999995352E-4</v>
      </c>
      <c r="AK85" s="34">
        <v>-5.4300000000000001E-2</v>
      </c>
      <c r="AL85" s="34">
        <v>102.9510057249024</v>
      </c>
      <c r="AM85" s="34">
        <v>-5.4299999999984923E-2</v>
      </c>
    </row>
    <row r="86" spans="1:39" x14ac:dyDescent="0.25">
      <c r="A86" s="34" t="s">
        <v>331</v>
      </c>
      <c r="B86" s="34" t="s">
        <v>332</v>
      </c>
      <c r="C86" s="34">
        <v>0.92249999999999999</v>
      </c>
      <c r="D86" s="34">
        <v>105.6072381084322</v>
      </c>
      <c r="E86" s="34">
        <v>105.6072381084322</v>
      </c>
      <c r="F86" s="34">
        <v>33425.1</v>
      </c>
      <c r="G86" s="35">
        <v>-4.3999999999999997E-2</v>
      </c>
      <c r="H86" s="34">
        <v>104.59587398614239</v>
      </c>
      <c r="I86" s="35">
        <v>-4.3999999999999588E-2</v>
      </c>
      <c r="Q86" s="34">
        <v>-0.15000527045544851</v>
      </c>
      <c r="R86" s="34">
        <v>98.247182967854016</v>
      </c>
      <c r="S86" s="34">
        <v>100</v>
      </c>
      <c r="T86" s="34">
        <v>-1.7528170321459839</v>
      </c>
      <c r="U86" s="34">
        <v>-1.7528170321459841E-2</v>
      </c>
      <c r="V86" s="34">
        <v>-0.91459999999999997</v>
      </c>
      <c r="W86" s="34">
        <v>97.494861663348289</v>
      </c>
      <c r="X86" s="34">
        <v>-2.5051383366517128</v>
      </c>
      <c r="AF86" s="34">
        <v>0.77249999999999996</v>
      </c>
      <c r="AG86" s="34">
        <v>103.7738099509067</v>
      </c>
      <c r="AH86" s="34">
        <v>103.7738099509067</v>
      </c>
      <c r="AI86" s="34"/>
      <c r="AJ86" s="34">
        <v>0</v>
      </c>
      <c r="AK86" s="34">
        <v>0.1206</v>
      </c>
      <c r="AL86" s="34">
        <v>103.10249439649461</v>
      </c>
      <c r="AM86" s="34">
        <v>9.2766473200001087E-2</v>
      </c>
    </row>
    <row r="87" spans="1:39" x14ac:dyDescent="0.25">
      <c r="A87" s="34" t="s">
        <v>332</v>
      </c>
      <c r="B87" s="34" t="s">
        <v>333</v>
      </c>
      <c r="C87" s="34">
        <v>1.7458</v>
      </c>
      <c r="D87" s="34">
        <v>107.4509292713292</v>
      </c>
      <c r="E87" s="34">
        <v>107.4509292713292</v>
      </c>
      <c r="F87" s="34">
        <v>33761.300000000003</v>
      </c>
      <c r="G87" s="35">
        <v>2.35E-2</v>
      </c>
      <c r="H87" s="34">
        <v>105.63205580938769</v>
      </c>
      <c r="I87" s="35">
        <v>2.3499999999998519E-2</v>
      </c>
      <c r="Q87" s="34">
        <v>-0.79986403660220995</v>
      </c>
      <c r="R87" s="34">
        <v>97.461339084319391</v>
      </c>
      <c r="S87" s="34">
        <v>100</v>
      </c>
      <c r="T87" s="34">
        <v>-2.5386609156806088</v>
      </c>
      <c r="U87" s="34">
        <v>-2.538660915680609E-2</v>
      </c>
      <c r="V87" s="34">
        <v>-0.84850000000000003</v>
      </c>
      <c r="W87" s="34">
        <v>97.413555620371781</v>
      </c>
      <c r="X87" s="34">
        <v>-2.586444379628217</v>
      </c>
      <c r="AF87" s="34">
        <v>0.94589999999999996</v>
      </c>
      <c r="AG87" s="34">
        <v>104.7554064192323</v>
      </c>
      <c r="AH87" s="34">
        <v>104.7554064192323</v>
      </c>
      <c r="AI87" s="34"/>
      <c r="AJ87" s="34">
        <v>0</v>
      </c>
      <c r="AK87" s="34">
        <v>0.56389999999999996</v>
      </c>
      <c r="AL87" s="34">
        <v>104.3589904652199</v>
      </c>
      <c r="AM87" s="34">
        <v>0.56389999999999496</v>
      </c>
    </row>
    <row r="88" spans="1:39" x14ac:dyDescent="0.25">
      <c r="A88" s="34" t="s">
        <v>333</v>
      </c>
      <c r="B88" s="34" t="s">
        <v>334</v>
      </c>
      <c r="C88" s="34">
        <v>1.1720999999999999</v>
      </c>
      <c r="D88" s="34">
        <v>108.7103616133185</v>
      </c>
      <c r="E88" s="34">
        <v>108.7103616133185</v>
      </c>
      <c r="F88" s="34">
        <v>34390.1</v>
      </c>
      <c r="G88" s="35">
        <v>-0.95240000000000002</v>
      </c>
      <c r="H88" s="34">
        <v>106.42756662094909</v>
      </c>
      <c r="I88" s="35">
        <v>-0.95239999999999769</v>
      </c>
      <c r="Q88" s="34">
        <v>0.1137431647300069</v>
      </c>
      <c r="R88" s="34">
        <v>97.572194695782144</v>
      </c>
      <c r="S88" s="34">
        <v>100</v>
      </c>
      <c r="T88" s="34">
        <v>-2.427805304217856</v>
      </c>
      <c r="U88" s="34">
        <v>-2.427805304217856E-2</v>
      </c>
      <c r="V88" s="34">
        <v>-0.2979</v>
      </c>
      <c r="W88" s="34">
        <v>97.171001755187206</v>
      </c>
      <c r="X88" s="34">
        <v>-2.828998244812797</v>
      </c>
      <c r="AF88" s="34">
        <v>1.2858000000000001</v>
      </c>
      <c r="AG88" s="34">
        <v>106.1023514349708</v>
      </c>
      <c r="AH88" s="34">
        <v>106.1023514349708</v>
      </c>
      <c r="AI88" s="34"/>
      <c r="AJ88" s="34">
        <v>0</v>
      </c>
      <c r="AK88" s="34">
        <v>-0.18659999999999999</v>
      </c>
      <c r="AL88" s="34">
        <v>104.55993283085409</v>
      </c>
      <c r="AM88" s="34">
        <v>-0.1866000000000034</v>
      </c>
    </row>
    <row r="89" spans="1:39" x14ac:dyDescent="0.25">
      <c r="A89" s="34" t="s">
        <v>334</v>
      </c>
      <c r="B89" s="34" t="s">
        <v>335</v>
      </c>
      <c r="C89" s="34">
        <v>2.1257000000000001</v>
      </c>
      <c r="D89" s="34">
        <v>111.02121777013279</v>
      </c>
      <c r="E89" s="34">
        <v>111.02121777013279</v>
      </c>
      <c r="F89" s="34">
        <v>34833.300000000003</v>
      </c>
      <c r="G89" s="35">
        <v>-0.1396</v>
      </c>
      <c r="H89" s="34">
        <v>108.55860194850629</v>
      </c>
      <c r="I89" s="35">
        <v>-0.13959999999999531</v>
      </c>
      <c r="Q89" s="34">
        <v>-8.210749684099404E-2</v>
      </c>
      <c r="R89" s="34">
        <v>97.492080609104619</v>
      </c>
      <c r="S89" s="34">
        <v>100</v>
      </c>
      <c r="T89" s="34">
        <v>-2.5079193908953812</v>
      </c>
      <c r="U89" s="34">
        <v>-2.5079193908953811E-2</v>
      </c>
      <c r="V89" s="34">
        <v>-0.53160000000000007</v>
      </c>
      <c r="W89" s="34">
        <v>97.05350090877937</v>
      </c>
      <c r="X89" s="34">
        <v>-2.946499091220633</v>
      </c>
      <c r="AF89" s="34">
        <v>2.0436000000000001</v>
      </c>
      <c r="AG89" s="34">
        <v>108.2706590888959</v>
      </c>
      <c r="AH89" s="34">
        <v>108.2706590888959</v>
      </c>
      <c r="AI89" s="34"/>
      <c r="AJ89" s="34">
        <v>0</v>
      </c>
      <c r="AK89" s="34">
        <v>0.3266</v>
      </c>
      <c r="AL89" s="34">
        <v>106.4488817147575</v>
      </c>
      <c r="AM89" s="34">
        <v>0.32659999999999911</v>
      </c>
    </row>
    <row r="90" spans="1:39" x14ac:dyDescent="0.25">
      <c r="A90" s="34" t="s">
        <v>335</v>
      </c>
      <c r="B90" s="34" t="s">
        <v>336</v>
      </c>
      <c r="C90" s="34">
        <v>-0.99139999999999995</v>
      </c>
      <c r="D90" s="34">
        <v>109.9205534171597</v>
      </c>
      <c r="E90" s="34">
        <v>111.02121777013279</v>
      </c>
      <c r="F90" s="34">
        <v>35614.400000000001</v>
      </c>
      <c r="G90" s="35">
        <v>-2.7614999999999998</v>
      </c>
      <c r="H90" s="34">
        <v>107.95536684141059</v>
      </c>
      <c r="I90" s="35">
        <v>-2.761499999999995</v>
      </c>
      <c r="Q90" s="34">
        <v>0.40515780737503881</v>
      </c>
      <c r="R90" s="34">
        <v>97.887077385264774</v>
      </c>
      <c r="S90" s="34">
        <v>100</v>
      </c>
      <c r="T90" s="34">
        <v>-2.112922614735226</v>
      </c>
      <c r="U90" s="34">
        <v>-2.112922614735226E-2</v>
      </c>
      <c r="V90" s="34">
        <v>-0.1236</v>
      </c>
      <c r="W90" s="34">
        <v>97.37158039747176</v>
      </c>
      <c r="X90" s="34">
        <v>-2.628419602528242</v>
      </c>
      <c r="AF90" s="34">
        <v>-0.58620000000000005</v>
      </c>
      <c r="AG90" s="34">
        <v>107.6359764853168</v>
      </c>
      <c r="AH90" s="34">
        <v>108.2706590888959</v>
      </c>
      <c r="AI90" s="34">
        <v>-0.63468260357910822</v>
      </c>
      <c r="AJ90" s="34">
        <v>-5.8620000000000044E-3</v>
      </c>
      <c r="AK90" s="34">
        <v>-2.1922000000000001</v>
      </c>
      <c r="AL90" s="34">
        <v>105.8971497003491</v>
      </c>
      <c r="AM90" s="34">
        <v>-2.1922000000000001</v>
      </c>
    </row>
    <row r="91" spans="1:39" x14ac:dyDescent="0.25">
      <c r="A91" s="34" t="s">
        <v>336</v>
      </c>
      <c r="B91" s="34" t="s">
        <v>337</v>
      </c>
      <c r="C91" s="34">
        <v>1.2459</v>
      </c>
      <c r="D91" s="34">
        <v>111.29005359218409</v>
      </c>
      <c r="E91" s="34">
        <v>111.29005359218409</v>
      </c>
      <c r="F91" s="34">
        <v>35296.949999999997</v>
      </c>
      <c r="G91" s="35">
        <v>0.18840000000000001</v>
      </c>
      <c r="H91" s="34">
        <v>110.12764373979761</v>
      </c>
      <c r="I91" s="35">
        <v>-0.80486779760000626</v>
      </c>
      <c r="Q91" s="34">
        <v>-2.1607660994611368</v>
      </c>
      <c r="R91" s="34">
        <v>95.771966601370679</v>
      </c>
      <c r="S91" s="34">
        <v>100</v>
      </c>
      <c r="T91" s="34">
        <v>-4.2280333986293206</v>
      </c>
      <c r="U91" s="34">
        <v>-4.2280333986293217E-2</v>
      </c>
      <c r="V91" s="34">
        <v>-2.2484000000000002</v>
      </c>
      <c r="W91" s="34">
        <v>95.686184337334481</v>
      </c>
      <c r="X91" s="34">
        <v>-4.3138156626655206</v>
      </c>
      <c r="AF91" s="34">
        <v>-0.91490000000000005</v>
      </c>
      <c r="AG91" s="34">
        <v>106.6512149364526</v>
      </c>
      <c r="AH91" s="34">
        <v>108.2706590888959</v>
      </c>
      <c r="AI91" s="34">
        <v>-1.619444152443265</v>
      </c>
      <c r="AJ91" s="34">
        <v>-1.495736856199994E-2</v>
      </c>
      <c r="AK91" s="34">
        <v>-0.92420000000000002</v>
      </c>
      <c r="AL91" s="34">
        <v>106.64120479063951</v>
      </c>
      <c r="AM91" s="34">
        <v>-1.504982339600003</v>
      </c>
    </row>
    <row r="92" spans="1:39" x14ac:dyDescent="0.25">
      <c r="A92" s="34" t="s">
        <v>337</v>
      </c>
      <c r="B92" s="34" t="s">
        <v>338</v>
      </c>
      <c r="C92" s="34">
        <v>-1.7899999999999999E-2</v>
      </c>
      <c r="D92" s="34">
        <v>111.2701326725911</v>
      </c>
      <c r="E92" s="34">
        <v>111.29005359218409</v>
      </c>
      <c r="F92" s="34">
        <v>35754.35</v>
      </c>
      <c r="G92" s="35">
        <v>-0.2198</v>
      </c>
      <c r="H92" s="34">
        <v>111.0454380543885</v>
      </c>
      <c r="I92" s="35">
        <v>-0.2198000000000033</v>
      </c>
      <c r="Q92" s="34">
        <v>-0.86611895846850151</v>
      </c>
      <c r="R92" s="34">
        <v>94.942467441738088</v>
      </c>
      <c r="S92" s="34">
        <v>100</v>
      </c>
      <c r="T92" s="34">
        <v>-5.0575325582619124</v>
      </c>
      <c r="U92" s="34">
        <v>-5.0575325582619117E-2</v>
      </c>
      <c r="V92" s="34">
        <v>-1.1166</v>
      </c>
      <c r="W92" s="34">
        <v>94.702576822299775</v>
      </c>
      <c r="X92" s="34">
        <v>-5.2974231777002228</v>
      </c>
      <c r="AF92" s="34">
        <v>-0.88400000000000001</v>
      </c>
      <c r="AG92" s="34">
        <v>105.7084181964144</v>
      </c>
      <c r="AH92" s="34">
        <v>108.2706590888959</v>
      </c>
      <c r="AI92" s="34">
        <v>-2.5622408924814981</v>
      </c>
      <c r="AJ92" s="34">
        <v>-2.366514542391179E-2</v>
      </c>
      <c r="AK92" s="34">
        <v>-0.88400000000000001</v>
      </c>
      <c r="AL92" s="34">
        <v>105.7084181964144</v>
      </c>
      <c r="AM92" s="34">
        <v>-2.3665145423911742</v>
      </c>
    </row>
    <row r="93" spans="1:39" x14ac:dyDescent="0.25">
      <c r="A93" s="34" t="s">
        <v>338</v>
      </c>
      <c r="B93" s="34" t="s">
        <v>339</v>
      </c>
      <c r="C93" s="34">
        <v>0.69020000000000004</v>
      </c>
      <c r="D93" s="34">
        <v>112.0381191282973</v>
      </c>
      <c r="E93" s="34">
        <v>112.0381191282973</v>
      </c>
      <c r="F93" s="34">
        <v>35771.800000000003</v>
      </c>
      <c r="G93" s="35">
        <v>2.5499999999999998E-2</v>
      </c>
      <c r="H93" s="34">
        <v>111.29850655642259</v>
      </c>
      <c r="I93" s="35">
        <v>7.5954354999963059E-3</v>
      </c>
      <c r="Q93" s="34">
        <v>1.650420341430708E-2</v>
      </c>
      <c r="R93" s="34">
        <v>94.958136939691229</v>
      </c>
      <c r="S93" s="34">
        <v>100</v>
      </c>
      <c r="T93" s="34">
        <v>-5.0418630603087706</v>
      </c>
      <c r="U93" s="34">
        <v>-5.0418630603087697E-2</v>
      </c>
      <c r="V93" s="34">
        <v>-0.16120000000000001</v>
      </c>
      <c r="W93" s="34">
        <v>94.78942018422201</v>
      </c>
      <c r="X93" s="34">
        <v>-5.2105798157779937</v>
      </c>
      <c r="AF93" s="34">
        <v>0.70669999999999999</v>
      </c>
      <c r="AG93" s="34">
        <v>106.45545958780841</v>
      </c>
      <c r="AH93" s="34">
        <v>108.2706590888959</v>
      </c>
      <c r="AI93" s="34">
        <v>-1.8151995010874491</v>
      </c>
      <c r="AJ93" s="34">
        <v>-1.6765387006622681E-2</v>
      </c>
      <c r="AK93" s="34">
        <v>0.26919999999999999</v>
      </c>
      <c r="AL93" s="34">
        <v>105.9929852581991</v>
      </c>
      <c r="AM93" s="34">
        <v>-2.1036851995392958</v>
      </c>
    </row>
    <row r="94" spans="1:39" x14ac:dyDescent="0.25">
      <c r="A94" s="34" t="s">
        <v>339</v>
      </c>
      <c r="B94" s="34" t="s">
        <v>340</v>
      </c>
      <c r="C94" s="34">
        <v>0.94789999999999996</v>
      </c>
      <c r="D94" s="34">
        <v>113.10012845951449</v>
      </c>
      <c r="E94" s="34">
        <v>113.10012845951449</v>
      </c>
      <c r="F94" s="34">
        <v>36024.65</v>
      </c>
      <c r="G94" s="35">
        <v>-0.61809999999999998</v>
      </c>
      <c r="H94" s="34">
        <v>111.3456115139653</v>
      </c>
      <c r="I94" s="35">
        <v>-0.61809999999999921</v>
      </c>
      <c r="Q94" s="34">
        <v>9.4852694795989345E-2</v>
      </c>
      <c r="R94" s="34">
        <v>95.048207291506586</v>
      </c>
      <c r="S94" s="34">
        <v>100</v>
      </c>
      <c r="T94" s="34">
        <v>-4.9517927084934144</v>
      </c>
      <c r="U94" s="34">
        <v>-4.9517927084934153E-2</v>
      </c>
      <c r="V94" s="34">
        <v>-0.73260000000000003</v>
      </c>
      <c r="W94" s="34">
        <v>94.262473628471042</v>
      </c>
      <c r="X94" s="34">
        <v>-5.7375263715289559</v>
      </c>
      <c r="AF94" s="34">
        <v>1.0427999999999999</v>
      </c>
      <c r="AG94" s="34">
        <v>107.5655771203901</v>
      </c>
      <c r="AH94" s="34">
        <v>108.2706590888959</v>
      </c>
      <c r="AI94" s="34">
        <v>-0.7050819685057661</v>
      </c>
      <c r="AJ94" s="34">
        <v>-6.5122164623275898E-3</v>
      </c>
      <c r="AK94" s="34">
        <v>-7.4200000000000002E-2</v>
      </c>
      <c r="AL94" s="34">
        <v>106.3764696367943</v>
      </c>
      <c r="AM94" s="34">
        <v>-1.749494708946375</v>
      </c>
    </row>
    <row r="95" spans="1:39" x14ac:dyDescent="0.25">
      <c r="A95" s="34" t="s">
        <v>340</v>
      </c>
      <c r="B95" s="34" t="s">
        <v>341</v>
      </c>
      <c r="C95" s="34">
        <v>0.55689999999999995</v>
      </c>
      <c r="D95" s="34">
        <v>113.7299830749055</v>
      </c>
      <c r="E95" s="34">
        <v>113.7299830749055</v>
      </c>
      <c r="F95" s="34">
        <v>36408.15</v>
      </c>
      <c r="G95" s="35">
        <v>-1.1231</v>
      </c>
      <c r="H95" s="34">
        <v>111.8299009167856</v>
      </c>
      <c r="I95" s="35">
        <v>-1.1230999999999991</v>
      </c>
      <c r="Q95" s="34">
        <v>-1.5561562707964689</v>
      </c>
      <c r="R95" s="34">
        <v>93.569108653460177</v>
      </c>
      <c r="S95" s="34">
        <v>100</v>
      </c>
      <c r="T95" s="34">
        <v>-6.4308913465398234</v>
      </c>
      <c r="U95" s="34">
        <v>-6.4308913465398229E-2</v>
      </c>
      <c r="V95" s="34">
        <v>-1.6588000000000001</v>
      </c>
      <c r="W95" s="34">
        <v>93.471547628955065</v>
      </c>
      <c r="X95" s="34">
        <v>-6.5284523710449349</v>
      </c>
      <c r="AF95" s="34">
        <v>-0.99929999999999997</v>
      </c>
      <c r="AG95" s="34">
        <v>106.4906743082261</v>
      </c>
      <c r="AH95" s="34">
        <v>108.2706590888959</v>
      </c>
      <c r="AI95" s="34">
        <v>-1.779984780669821</v>
      </c>
      <c r="AJ95" s="34">
        <v>-1.6440139883219511E-2</v>
      </c>
      <c r="AK95" s="34">
        <v>-1.0465</v>
      </c>
      <c r="AL95" s="34">
        <v>106.43990335582529</v>
      </c>
      <c r="AM95" s="34">
        <v>-1.6909066117049341</v>
      </c>
    </row>
    <row r="96" spans="1:39" x14ac:dyDescent="0.25">
      <c r="A96" s="34" t="s">
        <v>341</v>
      </c>
      <c r="B96" s="34" t="s">
        <v>342</v>
      </c>
      <c r="C96" s="34">
        <v>0.50639999999999996</v>
      </c>
      <c r="D96" s="34">
        <v>114.30591170919681</v>
      </c>
      <c r="E96" s="34">
        <v>114.30591170919681</v>
      </c>
      <c r="F96" s="34">
        <v>36641.25</v>
      </c>
      <c r="G96" s="35">
        <v>-0.64810000000000001</v>
      </c>
      <c r="H96" s="34">
        <v>112.992899054597</v>
      </c>
      <c r="I96" s="35">
        <v>-0.6480999999999959</v>
      </c>
      <c r="Q96" s="34">
        <v>-0.49412904682303938</v>
      </c>
      <c r="R96" s="34">
        <v>93.10675650875001</v>
      </c>
      <c r="S96" s="34">
        <v>100</v>
      </c>
      <c r="T96" s="34">
        <v>-6.89324349124999</v>
      </c>
      <c r="U96" s="34">
        <v>-6.8932434912499896E-2</v>
      </c>
      <c r="V96" s="34">
        <v>-0.61709999999999998</v>
      </c>
      <c r="W96" s="34">
        <v>92.991693683959667</v>
      </c>
      <c r="X96" s="34">
        <v>-7.0083063160403363</v>
      </c>
      <c r="AF96" s="34">
        <v>1.23E-2</v>
      </c>
      <c r="AG96" s="34">
        <v>106.503772661166</v>
      </c>
      <c r="AH96" s="34">
        <v>108.2706590888959</v>
      </c>
      <c r="AI96" s="34">
        <v>-1.766886427729901</v>
      </c>
      <c r="AJ96" s="34">
        <v>-1.631916202042507E-2</v>
      </c>
      <c r="AK96" s="34">
        <v>-0.623</v>
      </c>
      <c r="AL96" s="34">
        <v>105.82723740728581</v>
      </c>
      <c r="AM96" s="34">
        <v>-2.256771781174693</v>
      </c>
    </row>
    <row r="97" spans="1:39" x14ac:dyDescent="0.25">
      <c r="A97" s="34" t="s">
        <v>342</v>
      </c>
      <c r="B97" s="34" t="s">
        <v>343</v>
      </c>
      <c r="C97" s="34">
        <v>0.23499999999999999</v>
      </c>
      <c r="D97" s="34">
        <v>114.57453060171341</v>
      </c>
      <c r="E97" s="34">
        <v>114.57453060171341</v>
      </c>
      <c r="F97" s="34">
        <v>36839</v>
      </c>
      <c r="G97" s="35">
        <v>5.0099999999999999E-2</v>
      </c>
      <c r="H97" s="34">
        <v>114.36317897096311</v>
      </c>
      <c r="I97" s="35">
        <v>5.0100000000008471E-2</v>
      </c>
      <c r="Q97" s="34">
        <v>-0.45252519140933228</v>
      </c>
      <c r="R97" s="34">
        <v>92.685424980643759</v>
      </c>
      <c r="S97" s="34">
        <v>100</v>
      </c>
      <c r="T97" s="34">
        <v>-7.3145750193562407</v>
      </c>
      <c r="U97" s="34">
        <v>-7.3145750193562412E-2</v>
      </c>
      <c r="V97" s="34">
        <v>-0.50119999999999998</v>
      </c>
      <c r="W97" s="34">
        <v>92.640105445128157</v>
      </c>
      <c r="X97" s="34">
        <v>-7.3598945548718486</v>
      </c>
      <c r="AF97" s="34">
        <v>-0.2175</v>
      </c>
      <c r="AG97" s="34">
        <v>106.272126955628</v>
      </c>
      <c r="AH97" s="34">
        <v>108.2706590888959</v>
      </c>
      <c r="AI97" s="34">
        <v>-1.9985321332679431</v>
      </c>
      <c r="AJ97" s="34">
        <v>-1.8458667843030709E-2</v>
      </c>
      <c r="AK97" s="34">
        <v>-0.2175</v>
      </c>
      <c r="AL97" s="34">
        <v>106.272126955628</v>
      </c>
      <c r="AM97" s="34">
        <v>-1.845866784303074</v>
      </c>
    </row>
    <row r="98" spans="1:39" x14ac:dyDescent="0.25">
      <c r="A98" s="34" t="s">
        <v>343</v>
      </c>
      <c r="B98" s="34" t="s">
        <v>344</v>
      </c>
      <c r="C98" s="34">
        <v>0.22059999999999999</v>
      </c>
      <c r="D98" s="34">
        <v>114.82728201622081</v>
      </c>
      <c r="E98" s="34">
        <v>114.82728201622081</v>
      </c>
      <c r="F98" s="34">
        <v>36931.699999999997</v>
      </c>
      <c r="G98" s="35">
        <v>-0.83120000000000005</v>
      </c>
      <c r="H98" s="34">
        <v>113.622187103352</v>
      </c>
      <c r="I98" s="35">
        <v>-0.83119999999999861</v>
      </c>
      <c r="Q98" s="34">
        <v>0.98577767322433618</v>
      </c>
      <c r="R98" s="34">
        <v>93.599097206436042</v>
      </c>
      <c r="S98" s="34">
        <v>100</v>
      </c>
      <c r="T98" s="34">
        <v>-6.400902793563958</v>
      </c>
      <c r="U98" s="34">
        <v>-6.4009027935639576E-2</v>
      </c>
      <c r="V98" s="34">
        <v>0.24879999999999999</v>
      </c>
      <c r="W98" s="34">
        <v>92.916026317995602</v>
      </c>
      <c r="X98" s="34">
        <v>-7.0839736820043964</v>
      </c>
      <c r="AF98" s="34">
        <v>1.2063999999999999</v>
      </c>
      <c r="AG98" s="34">
        <v>107.55419389522071</v>
      </c>
      <c r="AH98" s="34">
        <v>108.2706590888959</v>
      </c>
      <c r="AI98" s="34">
        <v>-0.71646519367523354</v>
      </c>
      <c r="AJ98" s="34">
        <v>-6.6173532118889017E-3</v>
      </c>
      <c r="AK98" s="34">
        <v>0.65259999999999996</v>
      </c>
      <c r="AL98" s="34">
        <v>106.96565885614039</v>
      </c>
      <c r="AM98" s="34">
        <v>-1.205312910937439</v>
      </c>
    </row>
    <row r="99" spans="1:39" x14ac:dyDescent="0.25">
      <c r="A99" s="34" t="s">
        <v>344</v>
      </c>
      <c r="B99" s="34" t="s">
        <v>345</v>
      </c>
      <c r="C99" s="34">
        <v>0.37619999999999998</v>
      </c>
      <c r="D99" s="34">
        <v>115.25926225116579</v>
      </c>
      <c r="E99" s="34">
        <v>115.25926225116579</v>
      </c>
      <c r="F99" s="34">
        <v>37050.1</v>
      </c>
      <c r="G99" s="35">
        <v>-0.59130000000000005</v>
      </c>
      <c r="H99" s="34">
        <v>114.1483082976589</v>
      </c>
      <c r="I99" s="35">
        <v>-0.59129999999999461</v>
      </c>
      <c r="Q99" s="34">
        <v>1.408614491639828</v>
      </c>
      <c r="R99" s="34">
        <v>94.917547653729955</v>
      </c>
      <c r="S99" s="34">
        <v>100</v>
      </c>
      <c r="T99" s="34">
        <v>-5.0824523462700446</v>
      </c>
      <c r="U99" s="34">
        <v>-5.0824523462700458E-2</v>
      </c>
      <c r="V99" s="34">
        <v>-0.53800000000000003</v>
      </c>
      <c r="W99" s="34">
        <v>93.095534063465408</v>
      </c>
      <c r="X99" s="34">
        <v>-6.9044659365345868</v>
      </c>
      <c r="AF99" s="34">
        <v>1.7847999999999999</v>
      </c>
      <c r="AG99" s="34">
        <v>109.47382114786259</v>
      </c>
      <c r="AH99" s="34">
        <v>109.47382114786259</v>
      </c>
      <c r="AI99" s="34"/>
      <c r="AJ99" s="34">
        <v>0</v>
      </c>
      <c r="AK99" s="34">
        <v>1.1816</v>
      </c>
      <c r="AL99" s="34">
        <v>108.8250542502866</v>
      </c>
      <c r="AM99" s="34">
        <v>0.51204561425595152</v>
      </c>
    </row>
    <row r="100" spans="1:39" x14ac:dyDescent="0.25">
      <c r="A100" s="34" t="s">
        <v>345</v>
      </c>
      <c r="B100" s="34" t="s">
        <v>346</v>
      </c>
      <c r="C100" s="34">
        <v>2.0434999999999999</v>
      </c>
      <c r="D100" s="34">
        <v>117.6145852752684</v>
      </c>
      <c r="E100" s="34">
        <v>117.6145852752684</v>
      </c>
      <c r="F100" s="34">
        <v>37232.699999999997</v>
      </c>
      <c r="G100" s="35">
        <v>-0.37069999999999997</v>
      </c>
      <c r="H100" s="34">
        <v>114.83199616600071</v>
      </c>
      <c r="I100" s="35">
        <v>-0.37070000000000158</v>
      </c>
      <c r="Q100" s="34">
        <v>-0.53388847492260538</v>
      </c>
      <c r="R100" s="34">
        <v>94.410793806127515</v>
      </c>
      <c r="S100" s="34">
        <v>100</v>
      </c>
      <c r="T100" s="34">
        <v>-5.5892061938724851</v>
      </c>
      <c r="U100" s="34">
        <v>-5.5892061938724848E-2</v>
      </c>
      <c r="V100" s="34">
        <v>-0.66400000000000003</v>
      </c>
      <c r="W100" s="34">
        <v>94.287295137309187</v>
      </c>
      <c r="X100" s="34">
        <v>-5.7127048626908099</v>
      </c>
      <c r="AF100" s="34">
        <v>1.5096000000000001</v>
      </c>
      <c r="AG100" s="34">
        <v>111.1264379519107</v>
      </c>
      <c r="AH100" s="34">
        <v>111.1264379519107</v>
      </c>
      <c r="AI100" s="34"/>
      <c r="AJ100" s="34">
        <v>0</v>
      </c>
      <c r="AK100" s="34">
        <v>1.0645</v>
      </c>
      <c r="AL100" s="34">
        <v>110.63916997398159</v>
      </c>
      <c r="AM100" s="34">
        <v>1.064500000000002</v>
      </c>
    </row>
    <row r="101" spans="1:39" x14ac:dyDescent="0.25">
      <c r="A101" s="34" t="s">
        <v>346</v>
      </c>
      <c r="B101" s="34" t="s">
        <v>347</v>
      </c>
      <c r="C101" s="34">
        <v>-0.73540000000000005</v>
      </c>
      <c r="D101" s="34">
        <v>116.7496476151541</v>
      </c>
      <c r="E101" s="34">
        <v>117.6145852752684</v>
      </c>
      <c r="F101" s="34">
        <v>38037</v>
      </c>
      <c r="G101" s="35">
        <v>-2.1280000000000001</v>
      </c>
      <c r="H101" s="34">
        <v>115.1117469006107</v>
      </c>
      <c r="I101" s="35">
        <v>-2.127999999999997</v>
      </c>
      <c r="Q101" s="34">
        <v>1.4837603877234491</v>
      </c>
      <c r="R101" s="34">
        <v>95.811623766358096</v>
      </c>
      <c r="S101" s="34">
        <v>100</v>
      </c>
      <c r="T101" s="34">
        <v>-4.1883762336419039</v>
      </c>
      <c r="U101" s="34">
        <v>-4.1883762336419043E-2</v>
      </c>
      <c r="V101" s="34">
        <v>6.1899999999999997E-2</v>
      </c>
      <c r="W101" s="34">
        <v>94.469234087493504</v>
      </c>
      <c r="X101" s="34">
        <v>-5.5307659125064967</v>
      </c>
      <c r="AF101" s="34">
        <v>0.74839999999999995</v>
      </c>
      <c r="AG101" s="34">
        <v>111.9581082135428</v>
      </c>
      <c r="AH101" s="34">
        <v>111.9581082135428</v>
      </c>
      <c r="AI101" s="34"/>
      <c r="AJ101" s="34">
        <v>0</v>
      </c>
      <c r="AK101" s="34">
        <v>0.2077</v>
      </c>
      <c r="AL101" s="34">
        <v>111.3572475635368</v>
      </c>
      <c r="AM101" s="34">
        <v>0.20770000000001071</v>
      </c>
    </row>
    <row r="102" spans="1:39" x14ac:dyDescent="0.25">
      <c r="A102" s="34" t="s">
        <v>347</v>
      </c>
      <c r="B102" s="34" t="s">
        <v>348</v>
      </c>
      <c r="C102" s="34">
        <v>2.2456999999999998</v>
      </c>
      <c r="D102" s="34">
        <v>119.37149445164761</v>
      </c>
      <c r="E102" s="34">
        <v>119.37149445164761</v>
      </c>
      <c r="F102" s="34">
        <v>37801.65</v>
      </c>
      <c r="G102" s="35">
        <v>-0.26200000000000001</v>
      </c>
      <c r="H102" s="34">
        <v>116.44376353840239</v>
      </c>
      <c r="I102" s="35">
        <v>-0.99547325199998982</v>
      </c>
      <c r="Q102" s="34">
        <v>0.55561263806832784</v>
      </c>
      <c r="R102" s="34">
        <v>96.343965256742464</v>
      </c>
      <c r="S102" s="34">
        <v>100</v>
      </c>
      <c r="T102" s="34">
        <v>-3.656034743257536</v>
      </c>
      <c r="U102" s="34">
        <v>-3.6560347432575357E-2</v>
      </c>
      <c r="V102" s="34">
        <v>4.4900000000000002E-2</v>
      </c>
      <c r="W102" s="34">
        <v>95.854643185429182</v>
      </c>
      <c r="X102" s="34">
        <v>-4.1453568145708219</v>
      </c>
      <c r="AF102" s="34">
        <v>2.8012999999999999</v>
      </c>
      <c r="AG102" s="34">
        <v>115.09439069892881</v>
      </c>
      <c r="AH102" s="34">
        <v>115.09439069892881</v>
      </c>
      <c r="AI102" s="34"/>
      <c r="AJ102" s="34">
        <v>0</v>
      </c>
      <c r="AK102" s="34">
        <v>1.1732</v>
      </c>
      <c r="AL102" s="34">
        <v>113.2716007391041</v>
      </c>
      <c r="AM102" s="34">
        <v>1.173200000000008</v>
      </c>
    </row>
    <row r="103" spans="1:39" x14ac:dyDescent="0.25">
      <c r="A103" s="34" t="s">
        <v>348</v>
      </c>
      <c r="B103" s="34" t="s">
        <v>349</v>
      </c>
      <c r="C103" s="34">
        <v>0.87290000000000001</v>
      </c>
      <c r="D103" s="34">
        <v>120.413488226716</v>
      </c>
      <c r="E103" s="34">
        <v>120.413488226716</v>
      </c>
      <c r="F103" s="34">
        <v>38694.65</v>
      </c>
      <c r="G103" s="35">
        <v>-0.83289999999999997</v>
      </c>
      <c r="H103" s="34">
        <v>118.3772492743598</v>
      </c>
      <c r="I103" s="35">
        <v>-0.83290000000000308</v>
      </c>
      <c r="Q103" s="34">
        <v>0.96636494548446827</v>
      </c>
      <c r="R103" s="34">
        <v>97.274999564073369</v>
      </c>
      <c r="S103" s="34">
        <v>100</v>
      </c>
      <c r="T103" s="34">
        <v>-2.7250004359266309</v>
      </c>
      <c r="U103" s="34">
        <v>-2.7250004359266309E-2</v>
      </c>
      <c r="V103" s="34">
        <v>-1.1695</v>
      </c>
      <c r="W103" s="34">
        <v>95.217222583064867</v>
      </c>
      <c r="X103" s="34">
        <v>-4.7827774169351356</v>
      </c>
      <c r="AF103" s="34">
        <v>1.8392999999999999</v>
      </c>
      <c r="AG103" s="34">
        <v>117.21132182705421</v>
      </c>
      <c r="AH103" s="34">
        <v>117.21132182705421</v>
      </c>
      <c r="AI103" s="34"/>
      <c r="AJ103" s="34">
        <v>0</v>
      </c>
      <c r="AK103" s="34">
        <v>-0.1057</v>
      </c>
      <c r="AL103" s="34">
        <v>114.97273592796</v>
      </c>
      <c r="AM103" s="34">
        <v>-0.1056999999999975</v>
      </c>
    </row>
    <row r="104" spans="1:39" x14ac:dyDescent="0.25">
      <c r="A104" s="34" t="s">
        <v>349</v>
      </c>
      <c r="B104" s="34" t="s">
        <v>350</v>
      </c>
      <c r="C104" s="34">
        <v>2.9095</v>
      </c>
      <c r="D104" s="34">
        <v>123.9169186666723</v>
      </c>
      <c r="E104" s="34">
        <v>123.9169186666723</v>
      </c>
      <c r="F104" s="34">
        <v>39077.550000000003</v>
      </c>
      <c r="G104" s="35">
        <v>-0.30230000000000001</v>
      </c>
      <c r="H104" s="34">
        <v>120.0494782518066</v>
      </c>
      <c r="I104" s="35">
        <v>-0.30229999999999979</v>
      </c>
      <c r="Q104" s="34">
        <v>-1.3288572912709431</v>
      </c>
      <c r="R104" s="34">
        <v>95.982353639782403</v>
      </c>
      <c r="S104" s="34">
        <v>100</v>
      </c>
      <c r="T104" s="34">
        <v>-4.0176463602175971</v>
      </c>
      <c r="U104" s="34">
        <v>-4.0176463602175971E-2</v>
      </c>
      <c r="V104" s="34">
        <v>-1.3994</v>
      </c>
      <c r="W104" s="34">
        <v>95.913733220173725</v>
      </c>
      <c r="X104" s="34">
        <v>-4.0862667798262748</v>
      </c>
      <c r="AF104" s="34">
        <v>1.5806</v>
      </c>
      <c r="AG104" s="34">
        <v>119.0639639798526</v>
      </c>
      <c r="AH104" s="34">
        <v>119.0639639798526</v>
      </c>
      <c r="AI104" s="34"/>
      <c r="AJ104" s="34">
        <v>0</v>
      </c>
      <c r="AK104" s="34">
        <v>0.1706</v>
      </c>
      <c r="AL104" s="34">
        <v>117.41128434209119</v>
      </c>
      <c r="AM104" s="34">
        <v>0.1705999999999985</v>
      </c>
    </row>
    <row r="105" spans="1:39" x14ac:dyDescent="0.25">
      <c r="A105" s="34" t="s">
        <v>350</v>
      </c>
      <c r="B105" s="34" t="s">
        <v>351</v>
      </c>
      <c r="C105" s="34">
        <v>5.91E-2</v>
      </c>
      <c r="D105" s="34">
        <v>123.9901535656043</v>
      </c>
      <c r="E105" s="34">
        <v>123.9901535656043</v>
      </c>
      <c r="F105" s="34">
        <v>40253.599999999999</v>
      </c>
      <c r="G105" s="35">
        <v>-0.2621</v>
      </c>
      <c r="H105" s="34">
        <v>123.592132422847</v>
      </c>
      <c r="I105" s="35">
        <v>-0.26209999999999839</v>
      </c>
      <c r="Q105" s="34">
        <v>1.4559461351015841E-2</v>
      </c>
      <c r="R105" s="34">
        <v>95.99632815346439</v>
      </c>
      <c r="S105" s="34">
        <v>100</v>
      </c>
      <c r="T105" s="34">
        <v>-4.0036718465356103</v>
      </c>
      <c r="U105" s="34">
        <v>-4.00367184653561E-2</v>
      </c>
      <c r="V105" s="34">
        <v>-6.8500000000000005E-2</v>
      </c>
      <c r="W105" s="34">
        <v>95.916605727539149</v>
      </c>
      <c r="X105" s="34">
        <v>-4.0833942724608496</v>
      </c>
      <c r="AF105" s="34">
        <v>7.3700000000000002E-2</v>
      </c>
      <c r="AG105" s="34">
        <v>119.1517141213058</v>
      </c>
      <c r="AH105" s="34">
        <v>119.1517141213058</v>
      </c>
      <c r="AI105" s="34"/>
      <c r="AJ105" s="34">
        <v>0</v>
      </c>
      <c r="AK105" s="34">
        <v>7.3700000000000002E-2</v>
      </c>
      <c r="AL105" s="34">
        <v>119.1517141213058</v>
      </c>
      <c r="AM105" s="34">
        <v>7.3699999999998766E-2</v>
      </c>
    </row>
    <row r="106" spans="1:39" x14ac:dyDescent="0.25">
      <c r="A106" s="34" t="s">
        <v>351</v>
      </c>
      <c r="B106" s="34" t="s">
        <v>352</v>
      </c>
      <c r="C106" s="34">
        <v>1.6886000000000001</v>
      </c>
      <c r="D106" s="34">
        <v>126.0838512987131</v>
      </c>
      <c r="E106" s="34">
        <v>126.0838512987131</v>
      </c>
      <c r="F106" s="34">
        <v>40284.1</v>
      </c>
      <c r="G106" s="35">
        <v>-1.67E-2</v>
      </c>
      <c r="H106" s="34">
        <v>123.9694472099589</v>
      </c>
      <c r="I106" s="35">
        <v>-1.670000000000282E-2</v>
      </c>
      <c r="Q106" s="34">
        <v>-1.0341108711670211</v>
      </c>
      <c r="R106" s="34">
        <v>95.003619688108259</v>
      </c>
      <c r="S106" s="34">
        <v>100</v>
      </c>
      <c r="T106" s="34">
        <v>-4.9963803118917411</v>
      </c>
      <c r="U106" s="34">
        <v>-4.9963803118917412E-2</v>
      </c>
      <c r="V106" s="34">
        <v>-1.2668999999999999</v>
      </c>
      <c r="W106" s="34">
        <v>94.780150672088141</v>
      </c>
      <c r="X106" s="34">
        <v>-5.219849327911863</v>
      </c>
      <c r="AF106" s="34">
        <v>0.65449999999999997</v>
      </c>
      <c r="AG106" s="34">
        <v>119.9315620902297</v>
      </c>
      <c r="AH106" s="34">
        <v>119.9315620902297</v>
      </c>
      <c r="AI106" s="34"/>
      <c r="AJ106" s="34">
        <v>0</v>
      </c>
      <c r="AK106" s="34">
        <v>0.23169999999999999</v>
      </c>
      <c r="AL106" s="34">
        <v>119.4277886429248</v>
      </c>
      <c r="AM106" s="34">
        <v>0.23169999999999019</v>
      </c>
    </row>
    <row r="107" spans="1:39" x14ac:dyDescent="0.25">
      <c r="A107" s="34" t="s">
        <v>352</v>
      </c>
      <c r="B107" s="34" t="s">
        <v>353</v>
      </c>
      <c r="C107" s="34">
        <v>-1.8713</v>
      </c>
      <c r="D107" s="34">
        <v>123.7244441893603</v>
      </c>
      <c r="E107" s="34">
        <v>126.0838512987131</v>
      </c>
      <c r="F107" s="34">
        <v>40977.75</v>
      </c>
      <c r="G107" s="35">
        <v>-3.4338000000000002</v>
      </c>
      <c r="H107" s="34">
        <v>121.75438401281789</v>
      </c>
      <c r="I107" s="35">
        <v>-3.433799999999998</v>
      </c>
      <c r="Q107" s="34">
        <v>-1.4606494970976209</v>
      </c>
      <c r="R107" s="34">
        <v>93.615949794909369</v>
      </c>
      <c r="S107" s="34">
        <v>100</v>
      </c>
      <c r="T107" s="34">
        <v>-6.3840502050906309</v>
      </c>
      <c r="U107" s="34">
        <v>-6.3840502050906314E-2</v>
      </c>
      <c r="V107" s="34">
        <v>-1.7115</v>
      </c>
      <c r="W107" s="34">
        <v>93.377632737146286</v>
      </c>
      <c r="X107" s="34">
        <v>-6.6223672628537127</v>
      </c>
      <c r="AF107" s="34">
        <v>-3.3319000000000001</v>
      </c>
      <c r="AG107" s="34">
        <v>115.9355623729454</v>
      </c>
      <c r="AH107" s="34">
        <v>119.9315620902297</v>
      </c>
      <c r="AI107" s="34">
        <v>-3.9959997172843629</v>
      </c>
      <c r="AJ107" s="34">
        <v>-3.3318999999999988E-2</v>
      </c>
      <c r="AK107" s="34">
        <v>-3.6446999999999998</v>
      </c>
      <c r="AL107" s="34">
        <v>115.5604164467271</v>
      </c>
      <c r="AM107" s="34">
        <v>-3.6447000000000012</v>
      </c>
    </row>
    <row r="108" spans="1:39" x14ac:dyDescent="0.25">
      <c r="A108" s="34" t="s">
        <v>353</v>
      </c>
      <c r="B108" s="34" t="s">
        <v>354</v>
      </c>
      <c r="C108" s="34">
        <v>0.62570000000000003</v>
      </c>
      <c r="D108" s="34">
        <v>124.4985880366531</v>
      </c>
      <c r="E108" s="34">
        <v>126.0838512987131</v>
      </c>
      <c r="F108" s="34">
        <v>40245.1</v>
      </c>
      <c r="G108" s="35">
        <v>4.8599999999999997E-2</v>
      </c>
      <c r="H108" s="34">
        <v>123.7845742692363</v>
      </c>
      <c r="I108" s="35">
        <v>-1.8236094517999899</v>
      </c>
      <c r="Q108" s="34">
        <v>0.63403089187842554</v>
      </c>
      <c r="R108" s="34">
        <v>94.209503836334505</v>
      </c>
      <c r="S108" s="34">
        <v>100</v>
      </c>
      <c r="T108" s="34">
        <v>-5.7904961636654946</v>
      </c>
      <c r="U108" s="34">
        <v>-5.7904961636654949E-2</v>
      </c>
      <c r="V108" s="34">
        <v>-0.63100000000000001</v>
      </c>
      <c r="W108" s="34">
        <v>93.025233151703489</v>
      </c>
      <c r="X108" s="34">
        <v>-6.9747668482965093</v>
      </c>
      <c r="AF108" s="34">
        <v>1.2597</v>
      </c>
      <c r="AG108" s="34">
        <v>117.39600265215731</v>
      </c>
      <c r="AH108" s="34">
        <v>119.9315620902297</v>
      </c>
      <c r="AI108" s="34">
        <v>-2.5355594380723692</v>
      </c>
      <c r="AJ108" s="34">
        <v>-2.114171944299998E-2</v>
      </c>
      <c r="AK108" s="34">
        <v>0.84040000000000004</v>
      </c>
      <c r="AL108" s="34">
        <v>116.9098848391276</v>
      </c>
      <c r="AM108" s="34">
        <v>-2.51950128759999</v>
      </c>
    </row>
    <row r="109" spans="1:39" x14ac:dyDescent="0.25">
      <c r="A109" s="34" t="s">
        <v>354</v>
      </c>
      <c r="B109" s="34" t="s">
        <v>355</v>
      </c>
      <c r="C109" s="34">
        <v>0.1225</v>
      </c>
      <c r="D109" s="34">
        <v>124.65109880699799</v>
      </c>
      <c r="E109" s="34">
        <v>126.0838512987131</v>
      </c>
      <c r="F109" s="34">
        <v>40543.85</v>
      </c>
      <c r="G109" s="35">
        <v>-1.6456999999999999</v>
      </c>
      <c r="H109" s="34">
        <v>122.44971477333389</v>
      </c>
      <c r="I109" s="35">
        <v>-2.8823171944274861</v>
      </c>
      <c r="Q109" s="34">
        <v>1.5777784477473951</v>
      </c>
      <c r="R109" s="34">
        <v>95.695921083593959</v>
      </c>
      <c r="S109" s="34">
        <v>100</v>
      </c>
      <c r="T109" s="34">
        <v>-4.3040789164060413</v>
      </c>
      <c r="U109" s="34">
        <v>-4.3040789164060407E-2</v>
      </c>
      <c r="V109" s="34">
        <v>0.248</v>
      </c>
      <c r="W109" s="34">
        <v>94.443143405848616</v>
      </c>
      <c r="X109" s="34">
        <v>-5.5568565941513821</v>
      </c>
      <c r="AF109" s="34">
        <v>1.7002999999999999</v>
      </c>
      <c r="AG109" s="34">
        <v>119.392086885252</v>
      </c>
      <c r="AH109" s="34">
        <v>119.9315620902297</v>
      </c>
      <c r="AI109" s="34">
        <v>-0.53947520497771961</v>
      </c>
      <c r="AJ109" s="34">
        <v>-4.4981920986891591E-3</v>
      </c>
      <c r="AK109" s="34">
        <v>0.53</v>
      </c>
      <c r="AL109" s="34">
        <v>118.0182014662138</v>
      </c>
      <c r="AM109" s="34">
        <v>-1.5953770556047739</v>
      </c>
    </row>
    <row r="110" spans="1:39" x14ac:dyDescent="0.25">
      <c r="A110" s="34" t="s">
        <v>355</v>
      </c>
      <c r="B110" s="34" t="s">
        <v>356</v>
      </c>
      <c r="C110" s="34">
        <v>-1.5765</v>
      </c>
      <c r="D110" s="34">
        <v>122.6859742343057</v>
      </c>
      <c r="E110" s="34">
        <v>126.0838512987131</v>
      </c>
      <c r="F110" s="34">
        <v>40640.800000000003</v>
      </c>
      <c r="G110" s="35">
        <v>-2.3136000000000001</v>
      </c>
      <c r="H110" s="34">
        <v>121.7671709849993</v>
      </c>
      <c r="I110" s="35">
        <v>-3.42365835850531</v>
      </c>
      <c r="Q110" s="34">
        <v>1.218525647365525</v>
      </c>
      <c r="R110" s="34">
        <v>96.862000425480232</v>
      </c>
      <c r="S110" s="34">
        <v>100</v>
      </c>
      <c r="T110" s="34">
        <v>-3.137999574519768</v>
      </c>
      <c r="U110" s="34">
        <v>-3.1379995745197682E-2</v>
      </c>
      <c r="V110" s="34">
        <v>-0.1333</v>
      </c>
      <c r="W110" s="34">
        <v>95.568358420789522</v>
      </c>
      <c r="X110" s="34">
        <v>-4.4316415792104769</v>
      </c>
      <c r="AF110" s="34">
        <v>-0.35799999999999998</v>
      </c>
      <c r="AG110" s="34">
        <v>118.9646632142028</v>
      </c>
      <c r="AH110" s="34">
        <v>119.9315620902297</v>
      </c>
      <c r="AI110" s="34">
        <v>-0.96689887602693148</v>
      </c>
      <c r="AJ110" s="34">
        <v>-8.0620885709759334E-3</v>
      </c>
      <c r="AK110" s="34">
        <v>-0.76670000000000005</v>
      </c>
      <c r="AL110" s="34">
        <v>118.47670775510279</v>
      </c>
      <c r="AM110" s="34">
        <v>-1.2130704459868411</v>
      </c>
    </row>
    <row r="111" spans="1:39" x14ac:dyDescent="0.25">
      <c r="A111" s="34" t="s">
        <v>356</v>
      </c>
      <c r="B111" s="34" t="s">
        <v>357</v>
      </c>
      <c r="C111" s="34">
        <v>0.55900000000000005</v>
      </c>
      <c r="D111" s="34">
        <v>123.37178883027551</v>
      </c>
      <c r="E111" s="34">
        <v>126.0838512987131</v>
      </c>
      <c r="F111" s="34">
        <v>40047.5</v>
      </c>
      <c r="G111" s="35">
        <v>-0.1002</v>
      </c>
      <c r="H111" s="34">
        <v>122.56304288812289</v>
      </c>
      <c r="I111" s="35">
        <v>-2.7924340621931281</v>
      </c>
      <c r="Q111" s="34">
        <v>-1.333858129974635</v>
      </c>
      <c r="R111" s="34">
        <v>95.569998757948909</v>
      </c>
      <c r="S111" s="34">
        <v>100</v>
      </c>
      <c r="T111" s="34">
        <v>-4.430001242051091</v>
      </c>
      <c r="U111" s="34">
        <v>-4.4300012420510911E-2</v>
      </c>
      <c r="V111" s="34">
        <v>-1.4419</v>
      </c>
      <c r="W111" s="34">
        <v>95.465347241345242</v>
      </c>
      <c r="X111" s="34">
        <v>-4.5346527586547563</v>
      </c>
      <c r="AF111" s="34">
        <v>-0.77490000000000003</v>
      </c>
      <c r="AG111" s="34">
        <v>118.0428060389559</v>
      </c>
      <c r="AH111" s="34">
        <v>119.9315620902297</v>
      </c>
      <c r="AI111" s="34">
        <v>-1.888756051273788</v>
      </c>
      <c r="AJ111" s="34">
        <v>-1.5748615446639431E-2</v>
      </c>
      <c r="AK111" s="34">
        <v>-0.77490000000000003</v>
      </c>
      <c r="AL111" s="34">
        <v>118.0428060389559</v>
      </c>
      <c r="AM111" s="34">
        <v>-1.5748615446639409</v>
      </c>
    </row>
    <row r="112" spans="1:39" x14ac:dyDescent="0.25">
      <c r="A112" s="34" t="s">
        <v>357</v>
      </c>
      <c r="B112" s="34" t="s">
        <v>358</v>
      </c>
      <c r="C112" s="34">
        <v>0.41699999999999998</v>
      </c>
      <c r="D112" s="34">
        <v>123.88624918969769</v>
      </c>
      <c r="E112" s="34">
        <v>126.0838512987131</v>
      </c>
      <c r="F112" s="34">
        <v>40284.699999999997</v>
      </c>
      <c r="G112" s="35">
        <v>-1.6627000000000001</v>
      </c>
      <c r="H112" s="34">
        <v>121.32048609739449</v>
      </c>
      <c r="I112" s="35">
        <v>-3.7779344081372068</v>
      </c>
      <c r="Q112" s="34">
        <v>-0.57928613224107661</v>
      </c>
      <c r="R112" s="34">
        <v>95.016375008561141</v>
      </c>
      <c r="S112" s="34">
        <v>100</v>
      </c>
      <c r="T112" s="34">
        <v>-4.9836249914388588</v>
      </c>
      <c r="U112" s="34">
        <v>-4.9836249914388592E-2</v>
      </c>
      <c r="V112" s="34">
        <v>-0.74229999999999996</v>
      </c>
      <c r="W112" s="34">
        <v>94.860582657168663</v>
      </c>
      <c r="X112" s="34">
        <v>-5.1394173428313312</v>
      </c>
      <c r="AF112" s="34">
        <v>-0.1623</v>
      </c>
      <c r="AG112" s="34">
        <v>117.85122256475471</v>
      </c>
      <c r="AH112" s="34">
        <v>119.9315620902297</v>
      </c>
      <c r="AI112" s="34">
        <v>-2.080339525475011</v>
      </c>
      <c r="AJ112" s="34">
        <v>-1.734605544376952E-2</v>
      </c>
      <c r="AK112" s="34">
        <v>-0.98719999999999997</v>
      </c>
      <c r="AL112" s="34">
        <v>116.87748745773941</v>
      </c>
      <c r="AM112" s="34">
        <v>-2.5465145114950132</v>
      </c>
    </row>
    <row r="113" spans="1:39" x14ac:dyDescent="0.25">
      <c r="A113" s="34" t="s">
        <v>358</v>
      </c>
      <c r="B113" s="34" t="s">
        <v>359</v>
      </c>
      <c r="C113" s="34">
        <v>-0.4108</v>
      </c>
      <c r="D113" s="34">
        <v>123.3773244780264</v>
      </c>
      <c r="E113" s="34">
        <v>126.0838512987131</v>
      </c>
      <c r="F113" s="34">
        <v>40486.25</v>
      </c>
      <c r="G113" s="35">
        <v>-0.52949999999999997</v>
      </c>
      <c r="H113" s="34">
        <v>123.2302715002382</v>
      </c>
      <c r="I113" s="35">
        <v>-2.2632397163331208</v>
      </c>
      <c r="Q113" s="34">
        <v>0.64786094839574282</v>
      </c>
      <c r="R113" s="34">
        <v>95.631948996822871</v>
      </c>
      <c r="S113" s="34">
        <v>100</v>
      </c>
      <c r="T113" s="34">
        <v>-4.3680510031771291</v>
      </c>
      <c r="U113" s="34">
        <v>-4.3680510031771293E-2</v>
      </c>
      <c r="V113" s="34">
        <v>-0.23730000000000001</v>
      </c>
      <c r="W113" s="34">
        <v>94.790901150665832</v>
      </c>
      <c r="X113" s="34">
        <v>-5.2090988493341701</v>
      </c>
      <c r="AF113" s="34">
        <v>0.23710000000000001</v>
      </c>
      <c r="AG113" s="34">
        <v>118.1306478134557</v>
      </c>
      <c r="AH113" s="34">
        <v>119.9315620902297</v>
      </c>
      <c r="AI113" s="34">
        <v>-1.800914276773995</v>
      </c>
      <c r="AJ113" s="34">
        <v>-1.5016182941226841E-2</v>
      </c>
      <c r="AK113" s="34">
        <v>0.23710000000000001</v>
      </c>
      <c r="AL113" s="34">
        <v>118.1306478134557</v>
      </c>
      <c r="AM113" s="34">
        <v>-1.5016182941226861</v>
      </c>
    </row>
    <row r="114" spans="1:39" x14ac:dyDescent="0.25">
      <c r="A114" s="34" t="s">
        <v>359</v>
      </c>
      <c r="B114" s="34" t="s">
        <v>360</v>
      </c>
      <c r="C114" s="34">
        <v>-4.5829000000000004</v>
      </c>
      <c r="D114" s="34">
        <v>117.72306507452291</v>
      </c>
      <c r="E114" s="34">
        <v>126.0838512987131</v>
      </c>
      <c r="F114" s="34">
        <v>40367.15</v>
      </c>
      <c r="G114" s="35">
        <v>-5.5094000000000003</v>
      </c>
      <c r="H114" s="34">
        <v>116.579974163234</v>
      </c>
      <c r="I114" s="35">
        <v>-7.537743364899951</v>
      </c>
      <c r="Q114" s="34">
        <v>2.187218813386135</v>
      </c>
      <c r="R114" s="34">
        <v>97.723628976889202</v>
      </c>
      <c r="S114" s="34">
        <v>100</v>
      </c>
      <c r="T114" s="34">
        <v>-2.2763710231107979</v>
      </c>
      <c r="U114" s="34">
        <v>-2.2763710231107979E-2</v>
      </c>
      <c r="V114" s="34">
        <v>5.1400000000000001E-2</v>
      </c>
      <c r="W114" s="34">
        <v>95.681103818607227</v>
      </c>
      <c r="X114" s="34">
        <v>-4.3188961813927733</v>
      </c>
      <c r="AF114" s="34">
        <v>-2.3957000000000002</v>
      </c>
      <c r="AG114" s="34">
        <v>115.3005918837888</v>
      </c>
      <c r="AH114" s="34">
        <v>119.9315620902297</v>
      </c>
      <c r="AI114" s="34">
        <v>-4.6309702064409493</v>
      </c>
      <c r="AJ114" s="34">
        <v>-3.861344024650383E-2</v>
      </c>
      <c r="AK114" s="34">
        <v>-3.0169000000000001</v>
      </c>
      <c r="AL114" s="34">
        <v>114.5667642995716</v>
      </c>
      <c r="AM114" s="34">
        <v>-4.4732159718072984</v>
      </c>
    </row>
    <row r="115" spans="1:39" x14ac:dyDescent="0.25">
      <c r="A115" s="34" t="s">
        <v>360</v>
      </c>
      <c r="B115" s="34" t="s">
        <v>361</v>
      </c>
      <c r="C115" s="34">
        <v>0.43009999999999998</v>
      </c>
      <c r="D115" s="34">
        <v>118.2293919774085</v>
      </c>
      <c r="E115" s="34">
        <v>126.0838512987131</v>
      </c>
      <c r="F115" s="34">
        <v>38564.25</v>
      </c>
      <c r="G115" s="35">
        <v>-2.3717999999999999</v>
      </c>
      <c r="H115" s="34">
        <v>114.9309094170854</v>
      </c>
      <c r="I115" s="35">
        <v>-8.8456545122535637</v>
      </c>
      <c r="Q115" s="34">
        <v>0.95334468142965101</v>
      </c>
      <c r="R115" s="34">
        <v>98.655271996240415</v>
      </c>
      <c r="S115" s="34">
        <v>100</v>
      </c>
      <c r="T115" s="34">
        <v>-1.344728003759585</v>
      </c>
      <c r="U115" s="34">
        <v>-1.3447280037595851E-2</v>
      </c>
      <c r="V115" s="34">
        <v>-0.1961</v>
      </c>
      <c r="W115" s="34">
        <v>97.531992940465528</v>
      </c>
      <c r="X115" s="34">
        <v>-2.4680070595344721</v>
      </c>
      <c r="AF115" s="34">
        <v>1.3834</v>
      </c>
      <c r="AG115" s="34">
        <v>116.89566027190909</v>
      </c>
      <c r="AH115" s="34">
        <v>119.9315620902297</v>
      </c>
      <c r="AI115" s="34">
        <v>-3.035901818320625</v>
      </c>
      <c r="AJ115" s="34">
        <v>-2.5313618578874039E-2</v>
      </c>
      <c r="AK115" s="34">
        <v>-0.84189999999999998</v>
      </c>
      <c r="AL115" s="34">
        <v>114.3298762007192</v>
      </c>
      <c r="AM115" s="34">
        <v>-4.6707353693068443</v>
      </c>
    </row>
    <row r="116" spans="1:39" x14ac:dyDescent="0.25">
      <c r="A116" s="34" t="s">
        <v>361</v>
      </c>
      <c r="B116" s="34" t="s">
        <v>362</v>
      </c>
      <c r="C116" s="34">
        <v>2.0615999999999999</v>
      </c>
      <c r="D116" s="34">
        <v>120.6668091224147</v>
      </c>
      <c r="E116" s="34">
        <v>126.0838512987131</v>
      </c>
      <c r="F116" s="34">
        <v>38775.1</v>
      </c>
      <c r="G116" s="35">
        <v>0.70620000000000005</v>
      </c>
      <c r="H116" s="34">
        <v>119.0643279435529</v>
      </c>
      <c r="I116" s="35">
        <v>-5.5673452887553321</v>
      </c>
      <c r="Q116" s="34">
        <v>-1.3199642954002679</v>
      </c>
      <c r="R116" s="34">
        <v>97.353057630360027</v>
      </c>
      <c r="S116" s="34">
        <v>100</v>
      </c>
      <c r="T116" s="34">
        <v>-2.646942369639973</v>
      </c>
      <c r="U116" s="34">
        <v>-2.6469423696399728E-2</v>
      </c>
      <c r="V116" s="34">
        <v>-1.7222</v>
      </c>
      <c r="W116" s="34">
        <v>96.956230901921174</v>
      </c>
      <c r="X116" s="34">
        <v>-3.0437690980788301</v>
      </c>
      <c r="AF116" s="34">
        <v>0.74160000000000004</v>
      </c>
      <c r="AG116" s="34">
        <v>117.7625584884856</v>
      </c>
      <c r="AH116" s="34">
        <v>119.9315620902297</v>
      </c>
      <c r="AI116" s="34">
        <v>-2.1690036017441372</v>
      </c>
      <c r="AJ116" s="34">
        <v>-1.8085344374254891E-2</v>
      </c>
      <c r="AK116" s="34">
        <v>0.32169999999999999</v>
      </c>
      <c r="AL116" s="34">
        <v>117.2717136110038</v>
      </c>
      <c r="AM116" s="34">
        <v>-2.217805248984217</v>
      </c>
    </row>
    <row r="117" spans="1:39" x14ac:dyDescent="0.25">
      <c r="A117" s="34" t="s">
        <v>362</v>
      </c>
      <c r="B117" s="34" t="s">
        <v>363</v>
      </c>
      <c r="C117" s="34">
        <v>0.83340000000000003</v>
      </c>
      <c r="D117" s="34">
        <v>121.6724463096409</v>
      </c>
      <c r="E117" s="34">
        <v>126.0838512987131</v>
      </c>
      <c r="F117" s="34">
        <v>39587.4</v>
      </c>
      <c r="G117" s="35">
        <v>0.34389999999999998</v>
      </c>
      <c r="H117" s="34">
        <v>121.08178227898669</v>
      </c>
      <c r="I117" s="35">
        <v>-3.9672558921726608</v>
      </c>
      <c r="Q117" s="34">
        <v>-0.83460734454463215</v>
      </c>
      <c r="R117" s="34">
        <v>96.540541861238268</v>
      </c>
      <c r="S117" s="34">
        <v>100</v>
      </c>
      <c r="T117" s="34">
        <v>-3.459458138761732</v>
      </c>
      <c r="U117" s="34">
        <v>-3.4594581387617333E-2</v>
      </c>
      <c r="V117" s="34">
        <v>-0.92170000000000007</v>
      </c>
      <c r="W117" s="34">
        <v>96.455754498180994</v>
      </c>
      <c r="X117" s="34">
        <v>-3.54424550181901</v>
      </c>
      <c r="AF117" s="34">
        <v>-1.1999999999999999E-3</v>
      </c>
      <c r="AG117" s="34">
        <v>117.7611453377837</v>
      </c>
      <c r="AH117" s="34">
        <v>119.9315620902297</v>
      </c>
      <c r="AI117" s="34">
        <v>-2.1704167524460019</v>
      </c>
      <c r="AJ117" s="34">
        <v>-1.8097127350122429E-2</v>
      </c>
      <c r="AK117" s="34">
        <v>-1.15E-2</v>
      </c>
      <c r="AL117" s="34">
        <v>117.74901579425941</v>
      </c>
      <c r="AM117" s="34">
        <v>-1.8198264559651789</v>
      </c>
    </row>
    <row r="118" spans="1:39" x14ac:dyDescent="0.25">
      <c r="A118" s="34" t="s">
        <v>363</v>
      </c>
      <c r="B118" s="34" t="s">
        <v>364</v>
      </c>
      <c r="C118" s="34">
        <v>1.2430000000000001</v>
      </c>
      <c r="D118" s="34">
        <v>123.1848348172698</v>
      </c>
      <c r="E118" s="34">
        <v>126.0838512987131</v>
      </c>
      <c r="F118" s="34">
        <v>39937.1</v>
      </c>
      <c r="G118" s="35">
        <v>-0.12809999999999999</v>
      </c>
      <c r="H118" s="34">
        <v>121.5165839059183</v>
      </c>
      <c r="I118" s="35">
        <v>-3.622404729670115</v>
      </c>
      <c r="Q118" s="34">
        <v>6.3363684366427558E-2</v>
      </c>
      <c r="R118" s="34">
        <v>96.601713505468865</v>
      </c>
      <c r="S118" s="34">
        <v>100</v>
      </c>
      <c r="T118" s="34">
        <v>-3.3982864945311348</v>
      </c>
      <c r="U118" s="34">
        <v>-3.3982864945311352E-2</v>
      </c>
      <c r="V118" s="34">
        <v>-0.1489</v>
      </c>
      <c r="W118" s="34">
        <v>96.396792994406894</v>
      </c>
      <c r="X118" s="34">
        <v>-3.6032070055931009</v>
      </c>
      <c r="AF118" s="34">
        <v>1.3064</v>
      </c>
      <c r="AG118" s="34">
        <v>119.2995769404765</v>
      </c>
      <c r="AH118" s="34">
        <v>119.9315620902297</v>
      </c>
      <c r="AI118" s="34">
        <v>-0.63198514975320563</v>
      </c>
      <c r="AJ118" s="34">
        <v>-5.2695482218245082E-3</v>
      </c>
      <c r="AK118" s="34">
        <v>0.2843</v>
      </c>
      <c r="AL118" s="34">
        <v>118.095940273979</v>
      </c>
      <c r="AM118" s="34">
        <v>-1.530557748317896</v>
      </c>
    </row>
    <row r="119" spans="1:39" x14ac:dyDescent="0.25">
      <c r="A119" s="34" t="s">
        <v>364</v>
      </c>
      <c r="B119" s="34" t="s">
        <v>365</v>
      </c>
      <c r="C119" s="34">
        <v>2.2519</v>
      </c>
      <c r="D119" s="34">
        <v>125.9588341125199</v>
      </c>
      <c r="E119" s="34">
        <v>126.0838512987131</v>
      </c>
      <c r="F119" s="34">
        <v>40446.85</v>
      </c>
      <c r="G119" s="35">
        <v>-0.40300000000000002</v>
      </c>
      <c r="H119" s="34">
        <v>122.6883999329562</v>
      </c>
      <c r="I119" s="35">
        <v>-2.6930105091036332</v>
      </c>
      <c r="Q119" s="34">
        <v>-1.346208244400442</v>
      </c>
      <c r="R119" s="34">
        <v>95.301253274026152</v>
      </c>
      <c r="S119" s="34">
        <v>100</v>
      </c>
      <c r="T119" s="34">
        <v>-4.698746725973848</v>
      </c>
      <c r="U119" s="34">
        <v>-4.6987467259738479E-2</v>
      </c>
      <c r="V119" s="34">
        <v>-1.5702</v>
      </c>
      <c r="W119" s="34">
        <v>95.084873400005989</v>
      </c>
      <c r="X119" s="34">
        <v>-4.9151265999940126</v>
      </c>
      <c r="AF119" s="34">
        <v>0.90569999999999995</v>
      </c>
      <c r="AG119" s="34">
        <v>120.3800732088264</v>
      </c>
      <c r="AH119" s="34">
        <v>120.3800732088264</v>
      </c>
      <c r="AI119" s="34"/>
      <c r="AJ119" s="34">
        <v>0</v>
      </c>
      <c r="AK119" s="34">
        <v>0.23319999999999999</v>
      </c>
      <c r="AL119" s="34">
        <v>119.5777835539017</v>
      </c>
      <c r="AM119" s="34">
        <v>-0.29498368082777621</v>
      </c>
    </row>
    <row r="120" spans="1:39" x14ac:dyDescent="0.25">
      <c r="A120" s="34" t="s">
        <v>365</v>
      </c>
      <c r="B120" s="34" t="s">
        <v>366</v>
      </c>
      <c r="C120" s="34">
        <v>1.3862000000000001</v>
      </c>
      <c r="D120" s="34">
        <v>127.7048754709876</v>
      </c>
      <c r="E120" s="34">
        <v>127.7048754709876</v>
      </c>
      <c r="F120" s="34">
        <v>41404.85</v>
      </c>
      <c r="G120" s="35">
        <v>7.6E-3</v>
      </c>
      <c r="H120" s="34">
        <v>125.9684069839124</v>
      </c>
      <c r="I120" s="35">
        <v>-9.1561539096063349E-2</v>
      </c>
      <c r="Q120" s="34">
        <v>-0.46657128553603588</v>
      </c>
      <c r="R120" s="34">
        <v>94.856604991493583</v>
      </c>
      <c r="S120" s="34">
        <v>100</v>
      </c>
      <c r="T120" s="34">
        <v>-5.1433950085064168</v>
      </c>
      <c r="U120" s="34">
        <v>-5.143395008506417E-2</v>
      </c>
      <c r="V120" s="34">
        <v>-0.95810000000000006</v>
      </c>
      <c r="W120" s="34">
        <v>94.388171966407711</v>
      </c>
      <c r="X120" s="34">
        <v>-5.6118280335922934</v>
      </c>
      <c r="AF120" s="34">
        <v>0.91959999999999997</v>
      </c>
      <c r="AG120" s="34">
        <v>121.48708836205481</v>
      </c>
      <c r="AH120" s="34">
        <v>121.48708836205481</v>
      </c>
      <c r="AI120" s="34"/>
      <c r="AJ120" s="34">
        <v>0</v>
      </c>
      <c r="AK120" s="34">
        <v>0.25609999999999999</v>
      </c>
      <c r="AL120" s="34">
        <v>120.68836657631419</v>
      </c>
      <c r="AM120" s="34">
        <v>0.25610000000000349</v>
      </c>
    </row>
    <row r="121" spans="1:39" x14ac:dyDescent="0.25">
      <c r="A121" s="34" t="s">
        <v>366</v>
      </c>
      <c r="B121" s="34" t="s">
        <v>367</v>
      </c>
      <c r="C121" s="34">
        <v>0.497</v>
      </c>
      <c r="D121" s="34">
        <v>128.3395687020784</v>
      </c>
      <c r="E121" s="34">
        <v>128.3395687020784</v>
      </c>
      <c r="F121" s="34">
        <v>42027.1</v>
      </c>
      <c r="G121" s="35">
        <v>-0.11459999999999999</v>
      </c>
      <c r="H121" s="34">
        <v>127.55852568369789</v>
      </c>
      <c r="I121" s="35">
        <v>-0.114599999999998</v>
      </c>
      <c r="Q121" s="34">
        <v>-5.9307939440284493E-2</v>
      </c>
      <c r="R121" s="34">
        <v>94.800347493650108</v>
      </c>
      <c r="S121" s="34">
        <v>100</v>
      </c>
      <c r="T121" s="34">
        <v>-5.1996525063498922</v>
      </c>
      <c r="U121" s="34">
        <v>-5.1996525063498923E-2</v>
      </c>
      <c r="V121" s="34">
        <v>-0.17030000000000001</v>
      </c>
      <c r="W121" s="34">
        <v>94.695064193193062</v>
      </c>
      <c r="X121" s="34">
        <v>-5.3049358068069434</v>
      </c>
      <c r="AF121" s="34">
        <v>0.43769999999999998</v>
      </c>
      <c r="AG121" s="34">
        <v>122.01883734781551</v>
      </c>
      <c r="AH121" s="34">
        <v>122.01883734781551</v>
      </c>
      <c r="AI121" s="34"/>
      <c r="AJ121" s="34">
        <v>0</v>
      </c>
      <c r="AK121" s="34">
        <v>0.248</v>
      </c>
      <c r="AL121" s="34">
        <v>121.7883763411927</v>
      </c>
      <c r="AM121" s="34">
        <v>0.2480000000000038</v>
      </c>
    </row>
    <row r="122" spans="1:39" x14ac:dyDescent="0.25">
      <c r="A122" s="34" t="s">
        <v>367</v>
      </c>
      <c r="B122" s="34" t="s">
        <v>368</v>
      </c>
      <c r="C122" s="34">
        <v>0.78920000000000001</v>
      </c>
      <c r="D122" s="34">
        <v>129.35242457827519</v>
      </c>
      <c r="E122" s="34">
        <v>129.35242457827519</v>
      </c>
      <c r="F122" s="34">
        <v>42278</v>
      </c>
      <c r="G122" s="35">
        <v>0.51139999999999997</v>
      </c>
      <c r="H122" s="34">
        <v>128.9958972564209</v>
      </c>
      <c r="I122" s="35">
        <v>0.51140000000000629</v>
      </c>
      <c r="Q122" s="34">
        <v>-1.1960964720433189</v>
      </c>
      <c r="R122" s="34">
        <v>93.666443881793754</v>
      </c>
      <c r="S122" s="34">
        <v>100</v>
      </c>
      <c r="T122" s="34">
        <v>-6.3335561182062463</v>
      </c>
      <c r="U122" s="34">
        <v>-6.3335561182062461E-2</v>
      </c>
      <c r="V122" s="34">
        <v>-1.2709999999999999</v>
      </c>
      <c r="W122" s="34">
        <v>93.595435077005817</v>
      </c>
      <c r="X122" s="34">
        <v>-6.404564922994183</v>
      </c>
      <c r="AF122" s="34">
        <v>-0.40689999999999998</v>
      </c>
      <c r="AG122" s="34">
        <v>121.52234269864729</v>
      </c>
      <c r="AH122" s="34">
        <v>122.01883734781551</v>
      </c>
      <c r="AI122" s="34">
        <v>-0.49649464916825542</v>
      </c>
      <c r="AJ122" s="34">
        <v>-4.0689999999999511E-3</v>
      </c>
      <c r="AK122" s="34">
        <v>-0.40689999999999998</v>
      </c>
      <c r="AL122" s="34">
        <v>121.52234269864729</v>
      </c>
      <c r="AM122" s="34">
        <v>-0.40689999999999887</v>
      </c>
    </row>
    <row r="123" spans="1:39" x14ac:dyDescent="0.25">
      <c r="A123" s="34" t="s">
        <v>368</v>
      </c>
      <c r="B123" s="34" t="s">
        <v>369</v>
      </c>
      <c r="C123" s="34">
        <v>2.9666999999999999</v>
      </c>
      <c r="D123" s="34">
        <v>133.1899229582389</v>
      </c>
      <c r="E123" s="34">
        <v>133.1899229582389</v>
      </c>
      <c r="F123" s="34">
        <v>42618.7</v>
      </c>
      <c r="G123" s="35">
        <v>-0.33339999999999997</v>
      </c>
      <c r="H123" s="34">
        <v>128.9211635947313</v>
      </c>
      <c r="I123" s="35">
        <v>-0.33339999999998371</v>
      </c>
      <c r="Q123" s="34">
        <v>-2.6626394514494991</v>
      </c>
      <c r="R123" s="34">
        <v>91.17244419422731</v>
      </c>
      <c r="S123" s="34">
        <v>100</v>
      </c>
      <c r="T123" s="34">
        <v>-8.8275558057726897</v>
      </c>
      <c r="U123" s="34">
        <v>-8.8275558057726897E-2</v>
      </c>
      <c r="V123" s="34">
        <v>-2.8628999999999998</v>
      </c>
      <c r="W123" s="34">
        <v>90.984867259901876</v>
      </c>
      <c r="X123" s="34">
        <v>-9.0151327400981192</v>
      </c>
      <c r="AF123" s="34">
        <v>0.30409999999999998</v>
      </c>
      <c r="AG123" s="34">
        <v>121.89189214279379</v>
      </c>
      <c r="AH123" s="34">
        <v>122.01883734781551</v>
      </c>
      <c r="AI123" s="34">
        <v>-0.12694520502165571</v>
      </c>
      <c r="AJ123" s="34">
        <v>-1.0403738289998419E-3</v>
      </c>
      <c r="AK123" s="34">
        <v>0.1109</v>
      </c>
      <c r="AL123" s="34">
        <v>121.6571109767001</v>
      </c>
      <c r="AM123" s="34">
        <v>-0.29645125209999401</v>
      </c>
    </row>
    <row r="124" spans="1:39" x14ac:dyDescent="0.25">
      <c r="A124" s="34" t="s">
        <v>369</v>
      </c>
      <c r="B124" s="34" t="s">
        <v>370</v>
      </c>
      <c r="C124" s="34">
        <v>0.68130000000000002</v>
      </c>
      <c r="D124" s="34">
        <v>134.09734590335341</v>
      </c>
      <c r="E124" s="34">
        <v>134.09734590335341</v>
      </c>
      <c r="F124" s="34">
        <v>43918.6</v>
      </c>
      <c r="G124" s="35">
        <v>-0.60289999999999999</v>
      </c>
      <c r="H124" s="34">
        <v>132.3869209127237</v>
      </c>
      <c r="I124" s="35">
        <v>-0.60290000000000621</v>
      </c>
      <c r="Q124" s="34">
        <v>-0.99024498714155884</v>
      </c>
      <c r="R124" s="34">
        <v>90.269613635939535</v>
      </c>
      <c r="S124" s="34">
        <v>100</v>
      </c>
      <c r="T124" s="34">
        <v>-9.7303863640604646</v>
      </c>
      <c r="U124" s="34">
        <v>-9.7303863640604643E-2</v>
      </c>
      <c r="V124" s="34">
        <v>-1.1041000000000001</v>
      </c>
      <c r="W124" s="34">
        <v>90.165809237878847</v>
      </c>
      <c r="X124" s="34">
        <v>-9.8341907621211533</v>
      </c>
      <c r="AF124" s="34">
        <v>-0.30890000000000001</v>
      </c>
      <c r="AG124" s="34">
        <v>121.5153680879648</v>
      </c>
      <c r="AH124" s="34">
        <v>122.01883734781551</v>
      </c>
      <c r="AI124" s="34">
        <v>-0.5034692598507462</v>
      </c>
      <c r="AJ124" s="34">
        <v>-4.126160114242064E-3</v>
      </c>
      <c r="AK124" s="34">
        <v>-0.59440000000000004</v>
      </c>
      <c r="AL124" s="34">
        <v>121.1673667358971</v>
      </c>
      <c r="AM124" s="34">
        <v>-0.69781898469601922</v>
      </c>
    </row>
    <row r="125" spans="1:39" x14ac:dyDescent="0.25">
      <c r="A125" s="34" t="s">
        <v>370</v>
      </c>
      <c r="B125" s="34" t="s">
        <v>371</v>
      </c>
      <c r="C125" s="34">
        <v>1.4995000000000001</v>
      </c>
      <c r="D125" s="34">
        <v>136.1081356051742</v>
      </c>
      <c r="E125" s="34">
        <v>136.1081356051742</v>
      </c>
      <c r="F125" s="34">
        <v>44232.45</v>
      </c>
      <c r="G125" s="35">
        <v>-0.52410000000000001</v>
      </c>
      <c r="H125" s="34">
        <v>133.3945417134739</v>
      </c>
      <c r="I125" s="35">
        <v>-0.52410000000000512</v>
      </c>
      <c r="Q125" s="34">
        <v>0.33504157572226179</v>
      </c>
      <c r="R125" s="34">
        <v>90.572054371863786</v>
      </c>
      <c r="S125" s="34">
        <v>100</v>
      </c>
      <c r="T125" s="34">
        <v>-9.4279456281362144</v>
      </c>
      <c r="U125" s="34">
        <v>-9.427945628136214E-2</v>
      </c>
      <c r="V125" s="34">
        <v>-0.52469999999999994</v>
      </c>
      <c r="W125" s="34">
        <v>89.795968973191762</v>
      </c>
      <c r="X125" s="34">
        <v>-10.20403102680824</v>
      </c>
      <c r="AF125" s="34">
        <v>1.8345</v>
      </c>
      <c r="AG125" s="34">
        <v>123.74456751553851</v>
      </c>
      <c r="AH125" s="34">
        <v>123.74456751553851</v>
      </c>
      <c r="AI125" s="34"/>
      <c r="AJ125" s="34">
        <v>0</v>
      </c>
      <c r="AK125" s="34">
        <v>0.45710000000000001</v>
      </c>
      <c r="AL125" s="34">
        <v>122.0708148354949</v>
      </c>
      <c r="AM125" s="34">
        <v>4.2597920787579291E-2</v>
      </c>
    </row>
    <row r="126" spans="1:39" x14ac:dyDescent="0.25">
      <c r="A126" s="34" t="s">
        <v>371</v>
      </c>
      <c r="B126" s="34" t="s">
        <v>372</v>
      </c>
      <c r="C126" s="34">
        <v>1.2892999999999999</v>
      </c>
      <c r="D126" s="34">
        <v>137.8629777975317</v>
      </c>
      <c r="E126" s="34">
        <v>137.8629777975317</v>
      </c>
      <c r="F126" s="34">
        <v>44947.3</v>
      </c>
      <c r="G126" s="35">
        <v>0.59319999999999995</v>
      </c>
      <c r="H126" s="34">
        <v>136.91552906558411</v>
      </c>
      <c r="I126" s="35">
        <v>0.59320000000000483</v>
      </c>
      <c r="Q126" s="34">
        <v>-1.4742179118670959</v>
      </c>
      <c r="R126" s="34">
        <v>89.236824923167774</v>
      </c>
      <c r="S126" s="34">
        <v>100</v>
      </c>
      <c r="T126" s="34">
        <v>-10.76317507683223</v>
      </c>
      <c r="U126" s="34">
        <v>-0.10763175076832231</v>
      </c>
      <c r="V126" s="34">
        <v>-1.6480999999999999</v>
      </c>
      <c r="W126" s="34">
        <v>89.079336343761099</v>
      </c>
      <c r="X126" s="34">
        <v>-10.920663656238901</v>
      </c>
      <c r="AF126" s="34">
        <v>-0.18490000000000001</v>
      </c>
      <c r="AG126" s="34">
        <v>123.5157638102022</v>
      </c>
      <c r="AH126" s="34">
        <v>123.74456751553851</v>
      </c>
      <c r="AI126" s="34">
        <v>-0.22880370533623309</v>
      </c>
      <c r="AJ126" s="34">
        <v>-1.849000000000019E-3</v>
      </c>
      <c r="AK126" s="34">
        <v>-0.24179999999999999</v>
      </c>
      <c r="AL126" s="34">
        <v>123.4453531512859</v>
      </c>
      <c r="AM126" s="34">
        <v>-0.2418000000000031</v>
      </c>
    </row>
    <row r="127" spans="1:39" x14ac:dyDescent="0.25">
      <c r="A127" s="34" t="s">
        <v>372</v>
      </c>
      <c r="B127" s="34" t="s">
        <v>373</v>
      </c>
      <c r="C127" s="34">
        <v>9.8100000000000007E-2</v>
      </c>
      <c r="D127" s="34">
        <v>137.99822137875111</v>
      </c>
      <c r="E127" s="34">
        <v>137.99822137875111</v>
      </c>
      <c r="F127" s="34">
        <v>45534.3</v>
      </c>
      <c r="G127" s="35">
        <v>-6.0999999999999999E-2</v>
      </c>
      <c r="H127" s="34">
        <v>137.77888138107519</v>
      </c>
      <c r="I127" s="35">
        <v>-6.1000000000011052E-2</v>
      </c>
      <c r="Q127" s="34">
        <v>-0.93519711840322517</v>
      </c>
      <c r="R127" s="34">
        <v>88.40228470793177</v>
      </c>
      <c r="S127" s="34">
        <v>100</v>
      </c>
      <c r="T127" s="34">
        <v>-11.59771529206823</v>
      </c>
      <c r="U127" s="34">
        <v>-0.11597715292068229</v>
      </c>
      <c r="V127" s="34">
        <v>-1.1405000000000001</v>
      </c>
      <c r="W127" s="34">
        <v>88.21907893491904</v>
      </c>
      <c r="X127" s="34">
        <v>-11.78092106508096</v>
      </c>
      <c r="AF127" s="34">
        <v>-0.83709999999999996</v>
      </c>
      <c r="AG127" s="34">
        <v>122.481813351347</v>
      </c>
      <c r="AH127" s="34">
        <v>123.74456751553851</v>
      </c>
      <c r="AI127" s="34">
        <v>-1.262754164191435</v>
      </c>
      <c r="AJ127" s="34">
        <v>-1.020452202100001E-2</v>
      </c>
      <c r="AK127" s="34">
        <v>-0.83709999999999996</v>
      </c>
      <c r="AL127" s="34">
        <v>122.481813351347</v>
      </c>
      <c r="AM127" s="34">
        <v>-1.0204522020999971</v>
      </c>
    </row>
    <row r="128" spans="1:39" x14ac:dyDescent="0.25">
      <c r="A128" s="34" t="s">
        <v>373</v>
      </c>
      <c r="B128" s="34" t="s">
        <v>374</v>
      </c>
      <c r="C128" s="34">
        <v>-3.5089000000000001</v>
      </c>
      <c r="D128" s="34">
        <v>133.15600178879211</v>
      </c>
      <c r="E128" s="34">
        <v>137.99822137875111</v>
      </c>
      <c r="F128" s="34">
        <v>45586.55</v>
      </c>
      <c r="G128" s="35">
        <v>-3.8996</v>
      </c>
      <c r="H128" s="34">
        <v>132.61684273786531</v>
      </c>
      <c r="I128" s="35">
        <v>-3.899599999999992</v>
      </c>
      <c r="Q128" s="34">
        <v>1.3455036084384091</v>
      </c>
      <c r="R128" s="34">
        <v>89.591740638618987</v>
      </c>
      <c r="S128" s="34">
        <v>100</v>
      </c>
      <c r="T128" s="34">
        <v>-10.40825936138101</v>
      </c>
      <c r="U128" s="34">
        <v>-0.1040825936138101</v>
      </c>
      <c r="V128" s="34">
        <v>-0.374</v>
      </c>
      <c r="W128" s="34">
        <v>88.071660163124108</v>
      </c>
      <c r="X128" s="34">
        <v>-11.928339836875891</v>
      </c>
      <c r="AF128" s="34">
        <v>-2.1634000000000002</v>
      </c>
      <c r="AG128" s="34">
        <v>119.832041801304</v>
      </c>
      <c r="AH128" s="34">
        <v>123.74456751553851</v>
      </c>
      <c r="AI128" s="34">
        <v>-3.912525714234476</v>
      </c>
      <c r="AJ128" s="34">
        <v>-3.1617757391597702E-2</v>
      </c>
      <c r="AK128" s="34">
        <v>-2.3113000000000001</v>
      </c>
      <c r="AL128" s="34">
        <v>119.6508911993573</v>
      </c>
      <c r="AM128" s="34">
        <v>-3.3081664903528711</v>
      </c>
    </row>
    <row r="129" spans="1:39" x14ac:dyDescent="0.25">
      <c r="A129" s="34" t="s">
        <v>374</v>
      </c>
      <c r="B129" s="34" t="s">
        <v>375</v>
      </c>
      <c r="C129" s="34">
        <v>2.9963000000000002</v>
      </c>
      <c r="D129" s="34">
        <v>137.14575507038961</v>
      </c>
      <c r="E129" s="34">
        <v>137.99822137875111</v>
      </c>
      <c r="F129" s="34">
        <v>44024.95</v>
      </c>
      <c r="G129" s="35">
        <v>-1.7055</v>
      </c>
      <c r="H129" s="34">
        <v>130.88502617828419</v>
      </c>
      <c r="I129" s="35">
        <v>-5.1545557105000084</v>
      </c>
      <c r="Q129" s="34">
        <v>-1.68391240724061</v>
      </c>
      <c r="R129" s="34">
        <v>88.083094202142462</v>
      </c>
      <c r="S129" s="34">
        <v>100</v>
      </c>
      <c r="T129" s="34">
        <v>-11.91690579785754</v>
      </c>
      <c r="U129" s="34">
        <v>-0.1191690579785754</v>
      </c>
      <c r="V129" s="34">
        <v>-2.0817999999999999</v>
      </c>
      <c r="W129" s="34">
        <v>87.726619782004221</v>
      </c>
      <c r="X129" s="34">
        <v>-12.273380217995779</v>
      </c>
      <c r="AF129" s="34">
        <v>1.3124</v>
      </c>
      <c r="AG129" s="34">
        <v>121.4047175179043</v>
      </c>
      <c r="AH129" s="34">
        <v>123.74456751553851</v>
      </c>
      <c r="AI129" s="34">
        <v>-2.3398499976341749</v>
      </c>
      <c r="AJ129" s="34">
        <v>-1.8908708839605121E-2</v>
      </c>
      <c r="AK129" s="34">
        <v>-0.66390000000000005</v>
      </c>
      <c r="AL129" s="34">
        <v>119.0364768757852</v>
      </c>
      <c r="AM129" s="34">
        <v>-3.8046847100274839</v>
      </c>
    </row>
    <row r="130" spans="1:39" x14ac:dyDescent="0.25">
      <c r="A130" s="34" t="s">
        <v>375</v>
      </c>
      <c r="B130" s="34" t="s">
        <v>376</v>
      </c>
      <c r="C130" s="34">
        <v>0.35980000000000001</v>
      </c>
      <c r="D130" s="34">
        <v>137.63920549713291</v>
      </c>
      <c r="E130" s="34">
        <v>137.99822137875111</v>
      </c>
      <c r="F130" s="34">
        <v>45388.1</v>
      </c>
      <c r="G130" s="35">
        <v>-0.1192</v>
      </c>
      <c r="H130" s="34">
        <v>136.98227733034571</v>
      </c>
      <c r="I130" s="35">
        <v>-0.73620082799253916</v>
      </c>
      <c r="Q130" s="34">
        <v>-1.095779883262948</v>
      </c>
      <c r="R130" s="34">
        <v>87.117897375319828</v>
      </c>
      <c r="S130" s="34">
        <v>100</v>
      </c>
      <c r="T130" s="34">
        <v>-12.88210262468017</v>
      </c>
      <c r="U130" s="34">
        <v>-0.1288210262468017</v>
      </c>
      <c r="V130" s="34">
        <v>-1.2587999999999999</v>
      </c>
      <c r="W130" s="34">
        <v>86.97430421232589</v>
      </c>
      <c r="X130" s="34">
        <v>-13.02569578767411</v>
      </c>
      <c r="AF130" s="34">
        <v>-0.73599999999999999</v>
      </c>
      <c r="AG130" s="34">
        <v>120.5111787969725</v>
      </c>
      <c r="AH130" s="34">
        <v>123.74456751553851</v>
      </c>
      <c r="AI130" s="34">
        <v>-3.233388718565962</v>
      </c>
      <c r="AJ130" s="34">
        <v>-2.6129540742545719E-2</v>
      </c>
      <c r="AK130" s="34">
        <v>-0.73599999999999999</v>
      </c>
      <c r="AL130" s="34">
        <v>120.5111787969725</v>
      </c>
      <c r="AM130" s="34">
        <v>-2.6129540742545698</v>
      </c>
    </row>
    <row r="131" spans="1:39" x14ac:dyDescent="0.25">
      <c r="A131" s="34" t="s">
        <v>376</v>
      </c>
      <c r="B131" s="34" t="s">
        <v>377</v>
      </c>
      <c r="C131" s="34">
        <v>2.0127000000000002</v>
      </c>
      <c r="D131" s="34">
        <v>140.4094697861737</v>
      </c>
      <c r="E131" s="34">
        <v>140.4094697861737</v>
      </c>
      <c r="F131" s="34">
        <v>45558.95</v>
      </c>
      <c r="G131" s="35">
        <v>-3.8199999999999998E-2</v>
      </c>
      <c r="H131" s="34">
        <v>137.586627320633</v>
      </c>
      <c r="I131" s="35">
        <v>-0.29826040800078341</v>
      </c>
      <c r="Q131" s="34">
        <v>0.99054479963980191</v>
      </c>
      <c r="R131" s="34">
        <v>87.980839177326601</v>
      </c>
      <c r="S131" s="34">
        <v>100</v>
      </c>
      <c r="T131" s="34">
        <v>-12.019160822673401</v>
      </c>
      <c r="U131" s="34">
        <v>-0.120191608226734</v>
      </c>
      <c r="V131" s="34">
        <v>-0.82620000000000005</v>
      </c>
      <c r="W131" s="34">
        <v>86.39812930720494</v>
      </c>
      <c r="X131" s="34">
        <v>-13.60187069279506</v>
      </c>
      <c r="AF131" s="34">
        <v>3.0032000000000001</v>
      </c>
      <c r="AG131" s="34">
        <v>124.1303705186032</v>
      </c>
      <c r="AH131" s="34">
        <v>124.1303705186032</v>
      </c>
      <c r="AI131" s="34"/>
      <c r="AJ131" s="34">
        <v>0</v>
      </c>
      <c r="AK131" s="34">
        <v>1.0112000000000001</v>
      </c>
      <c r="AL131" s="34">
        <v>121.7297878369675</v>
      </c>
      <c r="AM131" s="34">
        <v>-1.6281762658534431</v>
      </c>
    </row>
    <row r="132" spans="1:39" x14ac:dyDescent="0.25">
      <c r="A132" s="34" t="s">
        <v>377</v>
      </c>
      <c r="B132" s="34" t="s">
        <v>378</v>
      </c>
      <c r="C132" s="34">
        <v>1.1257999999999999</v>
      </c>
      <c r="D132" s="34">
        <v>141.99019959702639</v>
      </c>
      <c r="E132" s="34">
        <v>141.99019959702639</v>
      </c>
      <c r="F132" s="34">
        <v>46529.05</v>
      </c>
      <c r="G132" s="35">
        <v>-1.3899999999999999E-2</v>
      </c>
      <c r="H132" s="34">
        <v>140.38995286987341</v>
      </c>
      <c r="I132" s="35">
        <v>-1.3900000000011129E-2</v>
      </c>
      <c r="Q132" s="34">
        <v>-0.47171236234945291</v>
      </c>
      <c r="R132" s="34">
        <v>87.565822682428362</v>
      </c>
      <c r="S132" s="34">
        <v>100</v>
      </c>
      <c r="T132" s="34">
        <v>-12.43417731757164</v>
      </c>
      <c r="U132" s="34">
        <v>-0.1243417731757164</v>
      </c>
      <c r="V132" s="34">
        <v>-1.1122000000000001</v>
      </c>
      <c r="W132" s="34">
        <v>87.002316283996379</v>
      </c>
      <c r="X132" s="34">
        <v>-12.997683716003619</v>
      </c>
      <c r="AF132" s="34">
        <v>0.65410000000000001</v>
      </c>
      <c r="AG132" s="34">
        <v>124.94230727216539</v>
      </c>
      <c r="AH132" s="34">
        <v>124.94230727216539</v>
      </c>
      <c r="AI132" s="34"/>
      <c r="AJ132" s="34">
        <v>0</v>
      </c>
      <c r="AK132" s="34">
        <v>0.52259999999999995</v>
      </c>
      <c r="AL132" s="34">
        <v>124.77907583493339</v>
      </c>
      <c r="AM132" s="34">
        <v>0.52259999999999529</v>
      </c>
    </row>
    <row r="133" spans="1:39" x14ac:dyDescent="0.25">
      <c r="A133" s="34" t="s">
        <v>378</v>
      </c>
      <c r="B133" s="34" t="s">
        <v>379</v>
      </c>
      <c r="C133" s="34">
        <v>0.82740000000000002</v>
      </c>
      <c r="D133" s="34">
        <v>143.16502650849219</v>
      </c>
      <c r="E133" s="34">
        <v>143.16502650849219</v>
      </c>
      <c r="F133" s="34">
        <v>47107.15</v>
      </c>
      <c r="G133" s="35">
        <v>0.1749</v>
      </c>
      <c r="H133" s="34">
        <v>142.2385404561216</v>
      </c>
      <c r="I133" s="35">
        <v>0.17490000000000011</v>
      </c>
      <c r="Q133" s="34">
        <v>-1.0731450087193031</v>
      </c>
      <c r="R133" s="34">
        <v>86.626114426967888</v>
      </c>
      <c r="S133" s="34">
        <v>100</v>
      </c>
      <c r="T133" s="34">
        <v>-13.37388557303211</v>
      </c>
      <c r="U133" s="34">
        <v>-0.1337388557303211</v>
      </c>
      <c r="V133" s="34">
        <v>-1.3720000000000001</v>
      </c>
      <c r="W133" s="34">
        <v>86.364419595225442</v>
      </c>
      <c r="X133" s="34">
        <v>-13.63558040477456</v>
      </c>
      <c r="AF133" s="34">
        <v>-0.2457</v>
      </c>
      <c r="AG133" s="34">
        <v>124.6353240231977</v>
      </c>
      <c r="AH133" s="34">
        <v>124.94230727216539</v>
      </c>
      <c r="AI133" s="34">
        <v>-0.30698324896771112</v>
      </c>
      <c r="AJ133" s="34">
        <v>-2.4570000000000061E-3</v>
      </c>
      <c r="AK133" s="34">
        <v>-0.36919999999999997</v>
      </c>
      <c r="AL133" s="34">
        <v>124.4810202737165</v>
      </c>
      <c r="AM133" s="34">
        <v>-0.36920000000000291</v>
      </c>
    </row>
    <row r="134" spans="1:39" x14ac:dyDescent="0.25">
      <c r="A134" s="34" t="s">
        <v>379</v>
      </c>
      <c r="B134" s="34" t="s">
        <v>380</v>
      </c>
      <c r="C134" s="34">
        <v>-0.84319999999999995</v>
      </c>
      <c r="D134" s="34">
        <v>141.95785900497259</v>
      </c>
      <c r="E134" s="34">
        <v>143.16502650849219</v>
      </c>
      <c r="F134" s="34">
        <v>47512.6</v>
      </c>
      <c r="G134" s="35">
        <v>-1.3725000000000001</v>
      </c>
      <c r="H134" s="34">
        <v>141.2000865196631</v>
      </c>
      <c r="I134" s="35">
        <v>-1.3724999999999989</v>
      </c>
      <c r="Q134" s="34">
        <v>1.7323945913480749</v>
      </c>
      <c r="R134" s="34">
        <v>88.126820547995678</v>
      </c>
      <c r="S134" s="34">
        <v>100</v>
      </c>
      <c r="T134" s="34">
        <v>-11.873179452004321</v>
      </c>
      <c r="U134" s="34">
        <v>-0.1187317945200432</v>
      </c>
      <c r="V134" s="34">
        <v>-1.0185</v>
      </c>
      <c r="W134" s="34">
        <v>85.743827451529214</v>
      </c>
      <c r="X134" s="34">
        <v>-14.25617254847079</v>
      </c>
      <c r="AF134" s="34">
        <v>0.88919999999999999</v>
      </c>
      <c r="AG134" s="34">
        <v>125.74358132441191</v>
      </c>
      <c r="AH134" s="34">
        <v>125.74358132441191</v>
      </c>
      <c r="AI134" s="34"/>
      <c r="AJ134" s="34">
        <v>0</v>
      </c>
      <c r="AK134" s="34">
        <v>5.2499999999999998E-2</v>
      </c>
      <c r="AL134" s="34">
        <v>124.7007575683099</v>
      </c>
      <c r="AM134" s="34">
        <v>-0.19332899249999699</v>
      </c>
    </row>
    <row r="135" spans="1:39" x14ac:dyDescent="0.25">
      <c r="A135" s="34" t="s">
        <v>380</v>
      </c>
      <c r="B135" s="34" t="s">
        <v>381</v>
      </c>
      <c r="C135" s="34">
        <v>0.45989999999999998</v>
      </c>
      <c r="D135" s="34">
        <v>142.6107231985365</v>
      </c>
      <c r="E135" s="34">
        <v>143.16502650849219</v>
      </c>
      <c r="F135" s="34">
        <v>47151.55</v>
      </c>
      <c r="G135" s="35">
        <v>-2.7547999999999999</v>
      </c>
      <c r="H135" s="34">
        <v>138.0472039051036</v>
      </c>
      <c r="I135" s="35">
        <v>-3.5747715264000002</v>
      </c>
      <c r="Q135" s="34">
        <v>1.088914075918032</v>
      </c>
      <c r="R135" s="34">
        <v>89.08644590160182</v>
      </c>
      <c r="S135" s="34">
        <v>100</v>
      </c>
      <c r="T135" s="34">
        <v>-10.91355409839818</v>
      </c>
      <c r="U135" s="34">
        <v>-0.1091355409839818</v>
      </c>
      <c r="V135" s="34">
        <v>-1.1432</v>
      </c>
      <c r="W135" s="34">
        <v>87.119354735490987</v>
      </c>
      <c r="X135" s="34">
        <v>-12.88064526450902</v>
      </c>
      <c r="AF135" s="34">
        <v>1.5488</v>
      </c>
      <c r="AG135" s="34">
        <v>127.69109791196441</v>
      </c>
      <c r="AH135" s="34">
        <v>127.69109791196441</v>
      </c>
      <c r="AI135" s="34"/>
      <c r="AJ135" s="34">
        <v>0</v>
      </c>
      <c r="AK135" s="34">
        <v>-2.1399999999999999E-2</v>
      </c>
      <c r="AL135" s="34">
        <v>125.7166721980085</v>
      </c>
      <c r="AM135" s="34">
        <v>-2.1400000000004749E-2</v>
      </c>
    </row>
    <row r="136" spans="1:39" x14ac:dyDescent="0.25">
      <c r="A136" s="34" t="s">
        <v>381</v>
      </c>
      <c r="B136" s="34" t="s">
        <v>382</v>
      </c>
      <c r="C136" s="34">
        <v>1.0883</v>
      </c>
      <c r="D136" s="34">
        <v>144.16275569910621</v>
      </c>
      <c r="E136" s="34">
        <v>144.16275569910621</v>
      </c>
      <c r="F136" s="34">
        <v>47423.4</v>
      </c>
      <c r="G136" s="35">
        <v>-1.0116000000000001</v>
      </c>
      <c r="H136" s="34">
        <v>141.1680731226601</v>
      </c>
      <c r="I136" s="35">
        <v>-1.3948611853982771</v>
      </c>
      <c r="Q136" s="34">
        <v>-0.93992015456361189</v>
      </c>
      <c r="R136" s="34">
        <v>88.249104441588258</v>
      </c>
      <c r="S136" s="34">
        <v>100</v>
      </c>
      <c r="T136" s="34">
        <v>-11.75089555841174</v>
      </c>
      <c r="U136" s="34">
        <v>-0.11750895558411741</v>
      </c>
      <c r="V136" s="34">
        <v>-1.1888000000000001</v>
      </c>
      <c r="W136" s="34">
        <v>88.027386232723572</v>
      </c>
      <c r="X136" s="34">
        <v>-11.97261376727643</v>
      </c>
      <c r="AF136" s="34">
        <v>0.1484</v>
      </c>
      <c r="AG136" s="34">
        <v>127.8805915012658</v>
      </c>
      <c r="AH136" s="34">
        <v>127.8805915012658</v>
      </c>
      <c r="AI136" s="34"/>
      <c r="AJ136" s="34">
        <v>0</v>
      </c>
      <c r="AK136" s="34">
        <v>-5.0599999999999999E-2</v>
      </c>
      <c r="AL136" s="34">
        <v>127.626486216421</v>
      </c>
      <c r="AM136" s="34">
        <v>-5.0600000000000638E-2</v>
      </c>
    </row>
    <row r="137" spans="1:39" x14ac:dyDescent="0.25">
      <c r="A137" s="34" t="s">
        <v>382</v>
      </c>
      <c r="B137" s="34" t="s">
        <v>383</v>
      </c>
      <c r="C137" s="34">
        <v>1.1954</v>
      </c>
      <c r="D137" s="34">
        <v>145.8860772807333</v>
      </c>
      <c r="E137" s="34">
        <v>145.8860772807333</v>
      </c>
      <c r="F137" s="34">
        <v>47979.05</v>
      </c>
      <c r="G137" s="35">
        <v>-0.53180000000000005</v>
      </c>
      <c r="H137" s="34">
        <v>143.39609816429831</v>
      </c>
      <c r="I137" s="35">
        <v>-0.53180000000000449</v>
      </c>
      <c r="Q137" s="34">
        <v>0.35077469453849552</v>
      </c>
      <c r="R137" s="34">
        <v>88.558659968126207</v>
      </c>
      <c r="S137" s="34">
        <v>100</v>
      </c>
      <c r="T137" s="34">
        <v>-11.441340031873789</v>
      </c>
      <c r="U137" s="34">
        <v>-0.1144134003187379</v>
      </c>
      <c r="V137" s="34">
        <v>-0.37290000000000001</v>
      </c>
      <c r="W137" s="34">
        <v>87.92002353112558</v>
      </c>
      <c r="X137" s="34">
        <v>-12.07997646887442</v>
      </c>
      <c r="AF137" s="34">
        <v>1.5462</v>
      </c>
      <c r="AG137" s="34">
        <v>129.8578812070584</v>
      </c>
      <c r="AH137" s="34">
        <v>129.8578812070584</v>
      </c>
      <c r="AI137" s="34"/>
      <c r="AJ137" s="34">
        <v>0</v>
      </c>
      <c r="AK137" s="34">
        <v>0.72360000000000002</v>
      </c>
      <c r="AL137" s="34">
        <v>128.8059354613689</v>
      </c>
      <c r="AM137" s="34">
        <v>0.72360000000000202</v>
      </c>
    </row>
    <row r="138" spans="1:39" x14ac:dyDescent="0.25">
      <c r="A138" s="34" t="s">
        <v>383</v>
      </c>
      <c r="B138" s="34" t="s">
        <v>384</v>
      </c>
      <c r="C138" s="34">
        <v>1.4964</v>
      </c>
      <c r="D138" s="34">
        <v>148.0691165411622</v>
      </c>
      <c r="E138" s="34">
        <v>148.0691165411622</v>
      </c>
      <c r="F138" s="34">
        <v>48568.6</v>
      </c>
      <c r="G138" s="35">
        <v>-1.2133</v>
      </c>
      <c r="H138" s="34">
        <v>144.11604150508609</v>
      </c>
      <c r="I138" s="35">
        <v>-1.2132999999999949</v>
      </c>
      <c r="Q138" s="34">
        <v>-0.46879962440795919</v>
      </c>
      <c r="R138" s="34">
        <v>88.143497302814907</v>
      </c>
      <c r="S138" s="34">
        <v>100</v>
      </c>
      <c r="T138" s="34">
        <v>-11.856502697185091</v>
      </c>
      <c r="U138" s="34">
        <v>-0.1185650269718509</v>
      </c>
      <c r="V138" s="34">
        <v>-1.6333</v>
      </c>
      <c r="W138" s="34">
        <v>87.112231374866795</v>
      </c>
      <c r="X138" s="34">
        <v>-12.8877686251332</v>
      </c>
      <c r="AF138" s="34">
        <v>1.0276000000000001</v>
      </c>
      <c r="AG138" s="34">
        <v>131.19230079434209</v>
      </c>
      <c r="AH138" s="34">
        <v>131.19230079434209</v>
      </c>
      <c r="AI138" s="34"/>
      <c r="AJ138" s="34">
        <v>0</v>
      </c>
      <c r="AK138" s="34">
        <v>-0.58460000000000001</v>
      </c>
      <c r="AL138" s="34">
        <v>129.09873203352191</v>
      </c>
      <c r="AM138" s="34">
        <v>-0.58459999999999068</v>
      </c>
    </row>
    <row r="139" spans="1:39" x14ac:dyDescent="0.25">
      <c r="A139" s="34" t="s">
        <v>384</v>
      </c>
      <c r="B139" s="34" t="s">
        <v>385</v>
      </c>
      <c r="C139" s="34">
        <v>-2.1838000000000002</v>
      </c>
      <c r="D139" s="34">
        <v>144.8355831741363</v>
      </c>
      <c r="E139" s="34">
        <v>148.0691165411622</v>
      </c>
      <c r="F139" s="34">
        <v>49352.05</v>
      </c>
      <c r="G139" s="35">
        <v>-4.9759000000000002</v>
      </c>
      <c r="H139" s="34">
        <v>140.70134537119051</v>
      </c>
      <c r="I139" s="35">
        <v>-4.9758999999999993</v>
      </c>
      <c r="Q139" s="34">
        <v>0.57135040240760571</v>
      </c>
      <c r="R139" s="34">
        <v>88.647105529350682</v>
      </c>
      <c r="S139" s="34">
        <v>100</v>
      </c>
      <c r="T139" s="34">
        <v>-11.35289447064932</v>
      </c>
      <c r="U139" s="34">
        <v>-0.1135289447064932</v>
      </c>
      <c r="V139" s="34">
        <v>-0.36630000000000001</v>
      </c>
      <c r="W139" s="34">
        <v>87.820627672194703</v>
      </c>
      <c r="X139" s="34">
        <v>-12.179372327805289</v>
      </c>
      <c r="AF139" s="34">
        <v>-1.6124000000000001</v>
      </c>
      <c r="AG139" s="34">
        <v>129.0769561363341</v>
      </c>
      <c r="AH139" s="34">
        <v>131.19230079434209</v>
      </c>
      <c r="AI139" s="34">
        <v>-2.115344658007984</v>
      </c>
      <c r="AJ139" s="34">
        <v>-1.61240000000001E-2</v>
      </c>
      <c r="AK139" s="34">
        <v>-3.5485000000000002</v>
      </c>
      <c r="AL139" s="34">
        <v>126.5369420006549</v>
      </c>
      <c r="AM139" s="34">
        <v>-3.5484999999999989</v>
      </c>
    </row>
    <row r="140" spans="1:39" x14ac:dyDescent="0.25">
      <c r="A140" s="34" t="s">
        <v>385</v>
      </c>
      <c r="B140" s="34" t="s">
        <v>386</v>
      </c>
      <c r="C140" s="34">
        <v>1.6220000000000001</v>
      </c>
      <c r="D140" s="34">
        <v>147.18481633322071</v>
      </c>
      <c r="E140" s="34">
        <v>148.0691165411622</v>
      </c>
      <c r="F140" s="34">
        <v>48331.9</v>
      </c>
      <c r="G140" s="35">
        <v>0.50360000000000005</v>
      </c>
      <c r="H140" s="34">
        <v>145.56497517100121</v>
      </c>
      <c r="I140" s="35">
        <v>-1.6911976167999889</v>
      </c>
      <c r="Q140" s="34">
        <v>-0.60073122543217616</v>
      </c>
      <c r="R140" s="34">
        <v>88.114574685994057</v>
      </c>
      <c r="S140" s="34">
        <v>100</v>
      </c>
      <c r="T140" s="34">
        <v>-11.885425314005939</v>
      </c>
      <c r="U140" s="34">
        <v>-0.1188542531400594</v>
      </c>
      <c r="V140" s="34">
        <v>-0.82279999999999998</v>
      </c>
      <c r="W140" s="34">
        <v>87.917717145055178</v>
      </c>
      <c r="X140" s="34">
        <v>-12.082282854944831</v>
      </c>
      <c r="AF140" s="34">
        <v>1.0213000000000001</v>
      </c>
      <c r="AG140" s="34">
        <v>130.3952190893545</v>
      </c>
      <c r="AH140" s="34">
        <v>131.19230079434209</v>
      </c>
      <c r="AI140" s="34">
        <v>-0.79708170498759046</v>
      </c>
      <c r="AJ140" s="34">
        <v>-6.0756744119999919E-3</v>
      </c>
      <c r="AK140" s="34">
        <v>0.78039999999999998</v>
      </c>
      <c r="AL140" s="34">
        <v>130.08427270202199</v>
      </c>
      <c r="AM140" s="34">
        <v>-0.84458316960001056</v>
      </c>
    </row>
    <row r="141" spans="1:39" x14ac:dyDescent="0.25">
      <c r="A141" s="34" t="s">
        <v>386</v>
      </c>
      <c r="B141" s="34" t="s">
        <v>387</v>
      </c>
      <c r="C141" s="34">
        <v>-1.1040000000000001</v>
      </c>
      <c r="D141" s="34">
        <v>145.559895960902</v>
      </c>
      <c r="E141" s="34">
        <v>148.0691165411622</v>
      </c>
      <c r="F141" s="34">
        <v>49131.95</v>
      </c>
      <c r="G141" s="35">
        <v>-1.3693</v>
      </c>
      <c r="H141" s="34">
        <v>145.16941464316989</v>
      </c>
      <c r="I141" s="35">
        <v>-1.9583434856154771</v>
      </c>
      <c r="Q141" s="34">
        <v>0.30647846937710688</v>
      </c>
      <c r="R141" s="34">
        <v>88.384626885789842</v>
      </c>
      <c r="S141" s="34">
        <v>100</v>
      </c>
      <c r="T141" s="34">
        <v>-11.615373114210159</v>
      </c>
      <c r="U141" s="34">
        <v>-0.1161537311421016</v>
      </c>
      <c r="V141" s="34">
        <v>-0.88650000000000007</v>
      </c>
      <c r="W141" s="34">
        <v>87.333438981402722</v>
      </c>
      <c r="X141" s="34">
        <v>-12.66656101859728</v>
      </c>
      <c r="AF141" s="34">
        <v>-0.79749999999999999</v>
      </c>
      <c r="AG141" s="34">
        <v>129.35531721711689</v>
      </c>
      <c r="AH141" s="34">
        <v>131.19230079434209</v>
      </c>
      <c r="AI141" s="34">
        <v>-1.836983577225197</v>
      </c>
      <c r="AJ141" s="34">
        <v>-1.4002220908564331E-2</v>
      </c>
      <c r="AK141" s="34">
        <v>-0.79749999999999999</v>
      </c>
      <c r="AL141" s="34">
        <v>129.35531721711689</v>
      </c>
      <c r="AM141" s="34">
        <v>-1.4002220908564289</v>
      </c>
    </row>
    <row r="142" spans="1:39" x14ac:dyDescent="0.25">
      <c r="A142" s="34" t="s">
        <v>387</v>
      </c>
      <c r="B142" s="34" t="s">
        <v>388</v>
      </c>
      <c r="C142" s="34">
        <v>-1.23</v>
      </c>
      <c r="D142" s="34">
        <v>143.76950924058289</v>
      </c>
      <c r="E142" s="34">
        <v>148.0691165411622</v>
      </c>
      <c r="F142" s="34">
        <v>48630.5</v>
      </c>
      <c r="G142" s="35">
        <v>-1.4688000000000001</v>
      </c>
      <c r="H142" s="34">
        <v>143.42191220902819</v>
      </c>
      <c r="I142" s="35">
        <v>-3.138537218760296</v>
      </c>
      <c r="Q142" s="34">
        <v>0.53321121466512211</v>
      </c>
      <c r="R142" s="34">
        <v>88.855903628384795</v>
      </c>
      <c r="S142" s="34">
        <v>100</v>
      </c>
      <c r="T142" s="34">
        <v>-11.144096371615211</v>
      </c>
      <c r="U142" s="34">
        <v>-0.1114409637161521</v>
      </c>
      <c r="V142" s="34">
        <v>-1.1664000000000001</v>
      </c>
      <c r="W142" s="34">
        <v>87.353708597793982</v>
      </c>
      <c r="X142" s="34">
        <v>-12.646291402206019</v>
      </c>
      <c r="AF142" s="34">
        <v>-0.69679999999999997</v>
      </c>
      <c r="AG142" s="34">
        <v>128.453969366748</v>
      </c>
      <c r="AH142" s="34">
        <v>131.19230079434209</v>
      </c>
      <c r="AI142" s="34">
        <v>-2.738331427594062</v>
      </c>
      <c r="AJ142" s="34">
        <v>-2.0872653433273412E-2</v>
      </c>
      <c r="AK142" s="34">
        <v>-0.69679999999999997</v>
      </c>
      <c r="AL142" s="34">
        <v>128.453969366748</v>
      </c>
      <c r="AM142" s="34">
        <v>-2.087265343327338</v>
      </c>
    </row>
    <row r="143" spans="1:39" x14ac:dyDescent="0.25">
      <c r="A143" s="34" t="s">
        <v>388</v>
      </c>
      <c r="B143" s="34" t="s">
        <v>389</v>
      </c>
      <c r="C143" s="34">
        <v>1.4254</v>
      </c>
      <c r="D143" s="34">
        <v>145.81879982529821</v>
      </c>
      <c r="E143" s="34">
        <v>148.0691165411622</v>
      </c>
      <c r="F143" s="34">
        <v>48089.1</v>
      </c>
      <c r="G143" s="35">
        <v>-1.1399999999999999</v>
      </c>
      <c r="H143" s="34">
        <v>142.13053683524029</v>
      </c>
      <c r="I143" s="35">
        <v>-4.0106808527293536</v>
      </c>
      <c r="Q143" s="34">
        <v>-1.694444254629029</v>
      </c>
      <c r="R143" s="34">
        <v>87.35028987445493</v>
      </c>
      <c r="S143" s="34">
        <v>100</v>
      </c>
      <c r="T143" s="34">
        <v>-12.64971012554507</v>
      </c>
      <c r="U143" s="34">
        <v>-0.12649710125545069</v>
      </c>
      <c r="V143" s="34">
        <v>-1.802</v>
      </c>
      <c r="W143" s="34">
        <v>87.254720245001295</v>
      </c>
      <c r="X143" s="34">
        <v>-12.745279754998711</v>
      </c>
      <c r="AF143" s="34">
        <v>-0.26900000000000002</v>
      </c>
      <c r="AG143" s="34">
        <v>128.10842818915151</v>
      </c>
      <c r="AH143" s="34">
        <v>131.19230079434209</v>
      </c>
      <c r="AI143" s="34">
        <v>-3.083872605190606</v>
      </c>
      <c r="AJ143" s="34">
        <v>-2.350650599553784E-2</v>
      </c>
      <c r="AK143" s="34">
        <v>-0.88290000000000002</v>
      </c>
      <c r="AL143" s="34">
        <v>127.31984927120899</v>
      </c>
      <c r="AM143" s="34">
        <v>-2.9517368776111002</v>
      </c>
    </row>
    <row r="144" spans="1:39" x14ac:dyDescent="0.25">
      <c r="A144" s="34" t="s">
        <v>389</v>
      </c>
      <c r="B144" s="34" t="s">
        <v>390</v>
      </c>
      <c r="C144" s="34">
        <v>5.3400000000000003E-2</v>
      </c>
      <c r="D144" s="34">
        <v>145.89666706440491</v>
      </c>
      <c r="E144" s="34">
        <v>148.0691165411622</v>
      </c>
      <c r="F144" s="34">
        <v>48790.6</v>
      </c>
      <c r="G144" s="35">
        <v>-1.5125999999999999</v>
      </c>
      <c r="H144" s="34">
        <v>143.61314465914069</v>
      </c>
      <c r="I144" s="35">
        <v>-3.009386417715787</v>
      </c>
      <c r="Q144" s="34">
        <v>-0.68110346371215935</v>
      </c>
      <c r="R144" s="34">
        <v>86.755344024557402</v>
      </c>
      <c r="S144" s="34">
        <v>100</v>
      </c>
      <c r="T144" s="34">
        <v>-13.244655975442599</v>
      </c>
      <c r="U144" s="34">
        <v>-0.13244655975442601</v>
      </c>
      <c r="V144" s="34">
        <v>-0.81679999999999997</v>
      </c>
      <c r="W144" s="34">
        <v>86.636812706760381</v>
      </c>
      <c r="X144" s="34">
        <v>-13.363187293239619</v>
      </c>
      <c r="AF144" s="34">
        <v>-0.62770000000000004</v>
      </c>
      <c r="AG144" s="34">
        <v>127.30429158540819</v>
      </c>
      <c r="AH144" s="34">
        <v>131.19230079434209</v>
      </c>
      <c r="AI144" s="34">
        <v>-3.8880092089339091</v>
      </c>
      <c r="AJ144" s="34">
        <v>-2.9635955657403842E-2</v>
      </c>
      <c r="AK144" s="34">
        <v>-0.79120000000000001</v>
      </c>
      <c r="AL144" s="34">
        <v>127.0948343053189</v>
      </c>
      <c r="AM144" s="34">
        <v>-3.123252252010122</v>
      </c>
    </row>
    <row r="145" spans="1:39" x14ac:dyDescent="0.25">
      <c r="A145" s="34" t="s">
        <v>390</v>
      </c>
      <c r="B145" s="34" t="s">
        <v>391</v>
      </c>
      <c r="C145" s="34">
        <v>-6.0235000000000003</v>
      </c>
      <c r="D145" s="34">
        <v>137.10858132378041</v>
      </c>
      <c r="E145" s="34">
        <v>148.0691165411622</v>
      </c>
      <c r="F145" s="34">
        <v>48857.3</v>
      </c>
      <c r="G145" s="35">
        <v>-6.6595000000000004</v>
      </c>
      <c r="H145" s="34">
        <v>136.18067852125091</v>
      </c>
      <c r="I145" s="35">
        <v>-8.028978829360689</v>
      </c>
      <c r="Q145" s="34">
        <v>1.9155425924566329</v>
      </c>
      <c r="R145" s="34">
        <v>88.417179590580076</v>
      </c>
      <c r="S145" s="34">
        <v>100</v>
      </c>
      <c r="T145" s="34">
        <v>-11.58282040941992</v>
      </c>
      <c r="U145" s="34">
        <v>-0.11582820409419919</v>
      </c>
      <c r="V145" s="34">
        <v>-0.3039</v>
      </c>
      <c r="W145" s="34">
        <v>86.491694534066767</v>
      </c>
      <c r="X145" s="34">
        <v>-13.50830546593324</v>
      </c>
      <c r="AF145" s="34">
        <v>-4.1079999999999997</v>
      </c>
      <c r="AG145" s="34">
        <v>122.0746312870796</v>
      </c>
      <c r="AH145" s="34">
        <v>131.19230079434209</v>
      </c>
      <c r="AI145" s="34">
        <v>-9.1176695072624767</v>
      </c>
      <c r="AJ145" s="34">
        <v>-6.9498510598997684E-2</v>
      </c>
      <c r="AK145" s="34">
        <v>-4.4579000000000004</v>
      </c>
      <c r="AL145" s="34">
        <v>121.6291935708223</v>
      </c>
      <c r="AM145" s="34">
        <v>-7.2893814390152407</v>
      </c>
    </row>
    <row r="146" spans="1:39" x14ac:dyDescent="0.25">
      <c r="A146" s="34" t="s">
        <v>391</v>
      </c>
      <c r="B146" s="34" t="s">
        <v>392</v>
      </c>
      <c r="C146" s="34">
        <v>-0.22869999999999999</v>
      </c>
      <c r="D146" s="34">
        <v>136.79501399829289</v>
      </c>
      <c r="E146" s="34">
        <v>148.0691165411622</v>
      </c>
      <c r="F146" s="34">
        <v>45971.4</v>
      </c>
      <c r="G146" s="35">
        <v>-1.4913000000000001</v>
      </c>
      <c r="H146" s="34">
        <v>135.06388105049891</v>
      </c>
      <c r="I146" s="35">
        <v>-8.7832194818613036</v>
      </c>
      <c r="Q146" s="34">
        <v>1.3369579546952639</v>
      </c>
      <c r="R146" s="34">
        <v>89.599280106433525</v>
      </c>
      <c r="S146" s="34">
        <v>100</v>
      </c>
      <c r="T146" s="34">
        <v>-10.400719893566469</v>
      </c>
      <c r="U146" s="34">
        <v>-0.10400719893566469</v>
      </c>
      <c r="V146" s="34">
        <v>-1.4202999999999999</v>
      </c>
      <c r="W146" s="34">
        <v>87.161390388855068</v>
      </c>
      <c r="X146" s="34">
        <v>-12.838609611144941</v>
      </c>
      <c r="AF146" s="34">
        <v>1.1083000000000001</v>
      </c>
      <c r="AG146" s="34">
        <v>123.42758442563429</v>
      </c>
      <c r="AH146" s="34">
        <v>131.19230079434209</v>
      </c>
      <c r="AI146" s="34">
        <v>-7.7647163687077807</v>
      </c>
      <c r="AJ146" s="34">
        <v>-5.9185762591966437E-2</v>
      </c>
      <c r="AK146" s="34">
        <v>0.4073</v>
      </c>
      <c r="AL146" s="34">
        <v>122.5718412603119</v>
      </c>
      <c r="AM146" s="34">
        <v>-6.5708578032667386</v>
      </c>
    </row>
    <row r="147" spans="1:39" x14ac:dyDescent="0.25">
      <c r="A147" s="34" t="s">
        <v>392</v>
      </c>
      <c r="B147" s="34" t="s">
        <v>393</v>
      </c>
      <c r="C147" s="34">
        <v>3.0001000000000002</v>
      </c>
      <c r="D147" s="34">
        <v>140.8990012132557</v>
      </c>
      <c r="E147" s="34">
        <v>148.0691165411622</v>
      </c>
      <c r="F147" s="34">
        <v>45919.9</v>
      </c>
      <c r="G147" s="35">
        <v>1.0828</v>
      </c>
      <c r="H147" s="34">
        <v>138.27623040986651</v>
      </c>
      <c r="I147" s="35">
        <v>-6.6137263192040159</v>
      </c>
      <c r="Q147" s="34">
        <v>-1.8794272657756039</v>
      </c>
      <c r="R147" s="34">
        <v>87.915326806174562</v>
      </c>
      <c r="S147" s="34">
        <v>100</v>
      </c>
      <c r="T147" s="34">
        <v>-12.08467319382544</v>
      </c>
      <c r="U147" s="34">
        <v>-0.1208467319382544</v>
      </c>
      <c r="V147" s="34">
        <v>-2.6318000000000001</v>
      </c>
      <c r="W147" s="34">
        <v>87.241206252592406</v>
      </c>
      <c r="X147" s="34">
        <v>-12.758793747407591</v>
      </c>
      <c r="AF147" s="34">
        <v>1.1207</v>
      </c>
      <c r="AG147" s="34">
        <v>124.8108373642924</v>
      </c>
      <c r="AH147" s="34">
        <v>131.19230079434209</v>
      </c>
      <c r="AI147" s="34">
        <v>-6.3814634300497062</v>
      </c>
      <c r="AJ147" s="34">
        <v>-4.8642057433334683E-2</v>
      </c>
      <c r="AK147" s="34">
        <v>0.49390000000000001</v>
      </c>
      <c r="AL147" s="34">
        <v>124.03719326511251</v>
      </c>
      <c r="AM147" s="34">
        <v>-5.4539081073408102</v>
      </c>
    </row>
    <row r="148" spans="1:39" x14ac:dyDescent="0.25">
      <c r="A148" s="34" t="s">
        <v>393</v>
      </c>
      <c r="B148" s="34" t="s">
        <v>394</v>
      </c>
      <c r="C148" s="34">
        <v>1.0251999999999999</v>
      </c>
      <c r="D148" s="34">
        <v>142.343497773694</v>
      </c>
      <c r="E148" s="34">
        <v>148.0691165411622</v>
      </c>
      <c r="F148" s="34">
        <v>47312.85</v>
      </c>
      <c r="G148" s="35">
        <v>-0.31840000000000002</v>
      </c>
      <c r="H148" s="34">
        <v>140.4503787933927</v>
      </c>
      <c r="I148" s="35">
        <v>-5.1453928582409603</v>
      </c>
      <c r="Q148" s="34">
        <v>0.2251462319119327</v>
      </c>
      <c r="R148" s="34">
        <v>88.113264851751737</v>
      </c>
      <c r="S148" s="34">
        <v>100</v>
      </c>
      <c r="T148" s="34">
        <v>-11.88673514824826</v>
      </c>
      <c r="U148" s="34">
        <v>-0.11886735148248261</v>
      </c>
      <c r="V148" s="34">
        <v>-0.2281</v>
      </c>
      <c r="W148" s="34">
        <v>87.714791945729687</v>
      </c>
      <c r="X148" s="34">
        <v>-12.28520805427031</v>
      </c>
      <c r="AF148" s="34">
        <v>1.2503</v>
      </c>
      <c r="AG148" s="34">
        <v>126.3713472638581</v>
      </c>
      <c r="AH148" s="34">
        <v>131.19230079434209</v>
      </c>
      <c r="AI148" s="34">
        <v>-4.8209535304839619</v>
      </c>
      <c r="AJ148" s="34">
        <v>-3.6747229077423678E-2</v>
      </c>
      <c r="AK148" s="34">
        <v>0.52400000000000002</v>
      </c>
      <c r="AL148" s="34">
        <v>125.46484615208129</v>
      </c>
      <c r="AM148" s="34">
        <v>-4.3656941814285481</v>
      </c>
    </row>
    <row r="149" spans="1:39" x14ac:dyDescent="0.25">
      <c r="A149" s="34" t="s">
        <v>394</v>
      </c>
      <c r="B149" s="34" t="s">
        <v>251</v>
      </c>
      <c r="C149" s="34">
        <v>0.48170000000000002</v>
      </c>
      <c r="D149" s="34">
        <v>143.02916640246991</v>
      </c>
      <c r="E149" s="34">
        <v>148.0691165411622</v>
      </c>
      <c r="F149" s="34">
        <v>47837.35</v>
      </c>
      <c r="G149" s="35">
        <v>-0.12570000000000001</v>
      </c>
      <c r="H149" s="34">
        <v>142.16457199699249</v>
      </c>
      <c r="I149" s="35">
        <v>-3.9876948563600472</v>
      </c>
      <c r="Q149" s="34">
        <v>-1.417939625694675</v>
      </c>
      <c r="R149" s="34">
        <v>86.863871953925454</v>
      </c>
      <c r="S149" s="34">
        <v>100</v>
      </c>
      <c r="T149" s="34">
        <v>-13.13612804607455</v>
      </c>
      <c r="U149" s="34">
        <v>-0.13136128046074549</v>
      </c>
      <c r="V149" s="34">
        <v>-2.5047999999999999</v>
      </c>
      <c r="W149" s="34">
        <v>85.906203793745064</v>
      </c>
      <c r="X149" s="34">
        <v>-14.09379620625494</v>
      </c>
      <c r="AF149" s="34">
        <v>-0.93620000000000003</v>
      </c>
      <c r="AG149" s="34">
        <v>125.18825871077389</v>
      </c>
      <c r="AH149" s="34">
        <v>131.19230079434209</v>
      </c>
      <c r="AI149" s="34">
        <v>-6.0040420835681942</v>
      </c>
      <c r="AJ149" s="34">
        <v>-4.5765201518800792E-2</v>
      </c>
      <c r="AK149" s="34">
        <v>-1.6585000000000001</v>
      </c>
      <c r="AL149" s="34">
        <v>124.275478469487</v>
      </c>
      <c r="AM149" s="34">
        <v>-5.2722776283174566</v>
      </c>
    </row>
    <row r="150" spans="1:39" x14ac:dyDescent="0.25">
      <c r="A150" s="34" t="s">
        <v>253</v>
      </c>
      <c r="B150" s="34" t="s">
        <v>395</v>
      </c>
      <c r="C150" s="34">
        <v>-1.7686999999999999</v>
      </c>
      <c r="D150" s="34">
        <v>98.231300000000005</v>
      </c>
      <c r="E150" s="34">
        <v>100</v>
      </c>
      <c r="F150" s="34">
        <v>50868.2</v>
      </c>
      <c r="G150" s="35">
        <v>-3.2795000000000001</v>
      </c>
      <c r="H150" s="34">
        <v>96.720500000000001</v>
      </c>
      <c r="I150" s="35">
        <v>-3.2795000000000019</v>
      </c>
      <c r="Q150" s="34">
        <v>1.389967197305003</v>
      </c>
      <c r="R150" s="34">
        <v>101.389967197305</v>
      </c>
      <c r="S150" s="34">
        <v>101.389967197305</v>
      </c>
      <c r="T150" s="34"/>
      <c r="U150" s="34">
        <v>0</v>
      </c>
      <c r="V150" s="34">
        <v>-0.65470000000000006</v>
      </c>
      <c r="W150" s="34">
        <v>99.345300000000009</v>
      </c>
      <c r="X150" s="34">
        <v>-0.65469999999998585</v>
      </c>
      <c r="AF150" s="34">
        <v>-0.37869999999999998</v>
      </c>
      <c r="AG150" s="34">
        <v>99.621300000000005</v>
      </c>
      <c r="AH150" s="34">
        <v>100</v>
      </c>
      <c r="AI150" s="34">
        <v>-0.37869999999999487</v>
      </c>
      <c r="AJ150" s="34">
        <v>-3.7869999999999488E-3</v>
      </c>
      <c r="AK150" s="34">
        <v>-1.5233000000000001</v>
      </c>
      <c r="AL150" s="34">
        <v>98.476699999999994</v>
      </c>
      <c r="AM150" s="34">
        <v>-1.523300000000005</v>
      </c>
    </row>
    <row r="151" spans="1:39" x14ac:dyDescent="0.25">
      <c r="A151" s="34" t="s">
        <v>395</v>
      </c>
      <c r="B151" s="34" t="s">
        <v>396</v>
      </c>
      <c r="C151" s="34">
        <v>1.2253000000000001</v>
      </c>
      <c r="D151" s="34">
        <v>99.434928118900018</v>
      </c>
      <c r="E151" s="34">
        <v>100</v>
      </c>
      <c r="F151" s="34">
        <v>50036.3</v>
      </c>
      <c r="G151" s="35">
        <v>-3.0150999999999999</v>
      </c>
      <c r="H151" s="34">
        <v>95.269528073700002</v>
      </c>
      <c r="I151" s="35">
        <v>-4.7304719262999946</v>
      </c>
      <c r="Q151" s="34">
        <v>0.75574487165116022</v>
      </c>
      <c r="R151" s="34">
        <v>102.15621667476741</v>
      </c>
      <c r="S151" s="34">
        <v>102.15621667476741</v>
      </c>
      <c r="T151" s="34"/>
      <c r="U151" s="34">
        <v>0</v>
      </c>
      <c r="V151" s="34">
        <v>-0.16789999999999999</v>
      </c>
      <c r="W151" s="34">
        <v>101.2197334423807</v>
      </c>
      <c r="X151" s="34">
        <v>-0.16789999999999861</v>
      </c>
      <c r="AF151" s="34">
        <v>1.9810000000000001</v>
      </c>
      <c r="AG151" s="34">
        <v>101.594797953</v>
      </c>
      <c r="AH151" s="34">
        <v>101.594797953</v>
      </c>
      <c r="AI151" s="34"/>
      <c r="AJ151" s="34">
        <v>0</v>
      </c>
      <c r="AK151" s="34">
        <v>-0.73370000000000002</v>
      </c>
      <c r="AL151" s="34">
        <v>98.890378521900004</v>
      </c>
      <c r="AM151" s="34">
        <v>-1.109621478099998</v>
      </c>
    </row>
    <row r="152" spans="1:39" x14ac:dyDescent="0.25">
      <c r="A152" s="34" t="s">
        <v>396</v>
      </c>
      <c r="B152" s="34" t="s">
        <v>397</v>
      </c>
      <c r="C152" s="34">
        <v>1.7359</v>
      </c>
      <c r="D152" s="34">
        <v>101.161019036116</v>
      </c>
      <c r="E152" s="34">
        <v>101.161019036116</v>
      </c>
      <c r="F152" s="34">
        <v>50707.75</v>
      </c>
      <c r="G152" s="35">
        <v>1.6E-2</v>
      </c>
      <c r="H152" s="34">
        <v>99.450837707399032</v>
      </c>
      <c r="I152" s="35">
        <v>-0.54916229260096872</v>
      </c>
      <c r="Q152" s="34">
        <v>-1.203348565688688</v>
      </c>
      <c r="R152" s="34">
        <v>100.9269213066498</v>
      </c>
      <c r="S152" s="34">
        <v>102.15621667476741</v>
      </c>
      <c r="T152" s="34">
        <v>-1.2292953681176471</v>
      </c>
      <c r="U152" s="34">
        <v>-1.203348565688693E-2</v>
      </c>
      <c r="V152" s="34">
        <v>-1.4365000000000001</v>
      </c>
      <c r="W152" s="34">
        <v>100.6887426222344</v>
      </c>
      <c r="X152" s="34">
        <v>-1.4364999999999959</v>
      </c>
      <c r="AF152" s="34">
        <v>0.53259999999999996</v>
      </c>
      <c r="AG152" s="34">
        <v>102.13589184689771</v>
      </c>
      <c r="AH152" s="34">
        <v>102.13589184689771</v>
      </c>
      <c r="AI152" s="34"/>
      <c r="AJ152" s="34">
        <v>0</v>
      </c>
      <c r="AK152" s="34">
        <v>0.34720000000000001</v>
      </c>
      <c r="AL152" s="34">
        <v>101.9475350914928</v>
      </c>
      <c r="AM152" s="34">
        <v>0.34719999999999202</v>
      </c>
    </row>
    <row r="153" spans="1:39" x14ac:dyDescent="0.25">
      <c r="A153" s="34" t="s">
        <v>397</v>
      </c>
      <c r="B153" s="34" t="s">
        <v>398</v>
      </c>
      <c r="C153" s="34">
        <v>1.0068999999999999</v>
      </c>
      <c r="D153" s="34">
        <v>102.17960933679061</v>
      </c>
      <c r="E153" s="34">
        <v>102.17960933679061</v>
      </c>
      <c r="F153" s="34">
        <v>51604.9</v>
      </c>
      <c r="G153" s="35">
        <v>-0.1166</v>
      </c>
      <c r="H153" s="34">
        <v>101.0430652879199</v>
      </c>
      <c r="I153" s="35">
        <v>-0.1166</v>
      </c>
      <c r="Q153" s="34">
        <v>-0.57486613163833511</v>
      </c>
      <c r="R153" s="34">
        <v>100.3467266183526</v>
      </c>
      <c r="S153" s="34">
        <v>102.15621667476741</v>
      </c>
      <c r="T153" s="34">
        <v>-1.8094900564148451</v>
      </c>
      <c r="U153" s="34">
        <v>-1.771297053977321E-2</v>
      </c>
      <c r="V153" s="34">
        <v>-0.74669999999999992</v>
      </c>
      <c r="W153" s="34">
        <v>100.173299985253</v>
      </c>
      <c r="X153" s="34">
        <v>-1.941063161948686</v>
      </c>
      <c r="AF153" s="34">
        <v>0.432</v>
      </c>
      <c r="AG153" s="34">
        <v>102.57711889967629</v>
      </c>
      <c r="AH153" s="34">
        <v>102.57711889967629</v>
      </c>
      <c r="AI153" s="34"/>
      <c r="AJ153" s="34">
        <v>0</v>
      </c>
      <c r="AK153" s="34">
        <v>-8.8999999999999999E-3</v>
      </c>
      <c r="AL153" s="34">
        <v>102.12680175252331</v>
      </c>
      <c r="AM153" s="34">
        <v>-8.9000000000005741E-3</v>
      </c>
    </row>
    <row r="154" spans="1:39" x14ac:dyDescent="0.25">
      <c r="A154" s="34" t="s">
        <v>398</v>
      </c>
      <c r="B154" s="34" t="s">
        <v>399</v>
      </c>
      <c r="C154" s="34">
        <v>0.46460000000000001</v>
      </c>
      <c r="D154" s="34">
        <v>102.65433580176941</v>
      </c>
      <c r="E154" s="34">
        <v>102.65433580176941</v>
      </c>
      <c r="F154" s="34">
        <v>52167.5</v>
      </c>
      <c r="G154" s="35">
        <v>-0.23710000000000001</v>
      </c>
      <c r="H154" s="34">
        <v>101.9373414830531</v>
      </c>
      <c r="I154" s="35">
        <v>-0.2371000000000012</v>
      </c>
      <c r="Q154" s="34">
        <v>-1.411199320287815</v>
      </c>
      <c r="R154" s="34">
        <v>98.93063429438331</v>
      </c>
      <c r="S154" s="34">
        <v>102.15621667476741</v>
      </c>
      <c r="T154" s="34">
        <v>-3.225582380384111</v>
      </c>
      <c r="U154" s="34">
        <v>-3.1574998422791337E-2</v>
      </c>
      <c r="V154" s="34">
        <v>-1.5103</v>
      </c>
      <c r="W154" s="34">
        <v>98.831190006235602</v>
      </c>
      <c r="X154" s="34">
        <v>-3.254845154571095</v>
      </c>
      <c r="AF154" s="34">
        <v>-0.9466</v>
      </c>
      <c r="AG154" s="34">
        <v>101.60612389217199</v>
      </c>
      <c r="AH154" s="34">
        <v>102.57711889967629</v>
      </c>
      <c r="AI154" s="34">
        <v>-0.9709950075043281</v>
      </c>
      <c r="AJ154" s="34">
        <v>-9.4659999999999259E-3</v>
      </c>
      <c r="AK154" s="34">
        <v>-0.98050000000000004</v>
      </c>
      <c r="AL154" s="34">
        <v>101.571350248865</v>
      </c>
      <c r="AM154" s="34">
        <v>-0.98049999999999526</v>
      </c>
    </row>
    <row r="155" spans="1:39" x14ac:dyDescent="0.25">
      <c r="A155" s="34" t="s">
        <v>399</v>
      </c>
      <c r="B155" s="34" t="s">
        <v>400</v>
      </c>
      <c r="C155" s="34">
        <v>-0.65859999999999996</v>
      </c>
      <c r="D155" s="34">
        <v>101.9782543461789</v>
      </c>
      <c r="E155" s="34">
        <v>102.65433580176941</v>
      </c>
      <c r="F155" s="34">
        <v>52418.55</v>
      </c>
      <c r="G155" s="35">
        <v>-1.1716</v>
      </c>
      <c r="H155" s="34">
        <v>101.45163760351581</v>
      </c>
      <c r="I155" s="35">
        <v>-1.1715999999999951</v>
      </c>
      <c r="Q155" s="34">
        <v>1.128761540688751</v>
      </c>
      <c r="R155" s="34">
        <v>100.0473252462577</v>
      </c>
      <c r="S155" s="34">
        <v>102.15621667476741</v>
      </c>
      <c r="T155" s="34">
        <v>-2.1088914285096791</v>
      </c>
      <c r="U155" s="34">
        <v>-2.0643789454573399E-2</v>
      </c>
      <c r="V155" s="34">
        <v>-0.78790000000000004</v>
      </c>
      <c r="W155" s="34">
        <v>98.151159826777871</v>
      </c>
      <c r="X155" s="34">
        <v>-3.9205219010218122</v>
      </c>
      <c r="AF155" s="34">
        <v>0.47020000000000001</v>
      </c>
      <c r="AG155" s="34">
        <v>102.083875886713</v>
      </c>
      <c r="AH155" s="34">
        <v>102.57711889967629</v>
      </c>
      <c r="AI155" s="34">
        <v>-0.49324301296333323</v>
      </c>
      <c r="AJ155" s="34">
        <v>-4.8085091319999022E-3</v>
      </c>
      <c r="AK155" s="34">
        <v>0.11360000000000001</v>
      </c>
      <c r="AL155" s="34">
        <v>101.7215484489135</v>
      </c>
      <c r="AM155" s="34">
        <v>-0.83407533759998209</v>
      </c>
    </row>
    <row r="156" spans="1:39" x14ac:dyDescent="0.25">
      <c r="A156" s="34" t="s">
        <v>400</v>
      </c>
      <c r="B156" s="34" t="s">
        <v>401</v>
      </c>
      <c r="C156" s="34">
        <v>2.2717000000000001</v>
      </c>
      <c r="D156" s="34">
        <v>104.2948943501611</v>
      </c>
      <c r="E156" s="34">
        <v>104.2948943501611</v>
      </c>
      <c r="F156" s="34">
        <v>52125.75</v>
      </c>
      <c r="G156" s="35">
        <v>-1.8349</v>
      </c>
      <c r="H156" s="34">
        <v>100.1070553571809</v>
      </c>
      <c r="I156" s="35">
        <v>-2.4814153485999908</v>
      </c>
      <c r="Q156" s="34">
        <v>-1.9090760943769349</v>
      </c>
      <c r="R156" s="34">
        <v>98.137345676917889</v>
      </c>
      <c r="S156" s="34">
        <v>102.15621667476741</v>
      </c>
      <c r="T156" s="34">
        <v>-4.0188709978495334</v>
      </c>
      <c r="U156" s="34">
        <v>-3.9340444748892048E-2</v>
      </c>
      <c r="V156" s="34">
        <v>-2.6322000000000001</v>
      </c>
      <c r="W156" s="34">
        <v>97.413879551125746</v>
      </c>
      <c r="X156" s="34">
        <v>-4.6422403628550102</v>
      </c>
      <c r="AF156" s="34">
        <v>0.36259999999999998</v>
      </c>
      <c r="AG156" s="34">
        <v>102.4540320206782</v>
      </c>
      <c r="AH156" s="34">
        <v>102.57711889967629</v>
      </c>
      <c r="AI156" s="34">
        <v>-0.123086878998123</v>
      </c>
      <c r="AJ156" s="34">
        <v>-1.199944786112641E-3</v>
      </c>
      <c r="AK156" s="34">
        <v>-0.49109999999999998</v>
      </c>
      <c r="AL156" s="34">
        <v>101.5825419722333</v>
      </c>
      <c r="AM156" s="34">
        <v>-0.96958945436526056</v>
      </c>
    </row>
    <row r="157" spans="1:39" x14ac:dyDescent="0.25">
      <c r="A157" s="34" t="s">
        <v>401</v>
      </c>
      <c r="B157" s="34" t="s">
        <v>402</v>
      </c>
      <c r="C157" s="34">
        <v>-3.9443000000000001</v>
      </c>
      <c r="D157" s="34">
        <v>100.18119083230771</v>
      </c>
      <c r="E157" s="34">
        <v>104.2948943501611</v>
      </c>
      <c r="F157" s="34">
        <v>53353.35</v>
      </c>
      <c r="G157" s="35">
        <v>-11.460599999999999</v>
      </c>
      <c r="H157" s="34">
        <v>92.34207368826651</v>
      </c>
      <c r="I157" s="35">
        <v>-11.460599999999999</v>
      </c>
      <c r="Q157" s="34">
        <v>3.1776701240978511</v>
      </c>
      <c r="R157" s="34">
        <v>101.2558267910759</v>
      </c>
      <c r="S157" s="34">
        <v>102.15621667476741</v>
      </c>
      <c r="T157" s="34">
        <v>-0.90038988369148854</v>
      </c>
      <c r="U157" s="34">
        <v>-8.8138530673864002E-3</v>
      </c>
      <c r="V157" s="34">
        <v>5.3900000000000003E-2</v>
      </c>
      <c r="W157" s="34">
        <v>98.190241706237757</v>
      </c>
      <c r="X157" s="34">
        <v>-3.8822649248611558</v>
      </c>
      <c r="AF157" s="34">
        <v>-0.76659999999999995</v>
      </c>
      <c r="AG157" s="34">
        <v>101.6686194112077</v>
      </c>
      <c r="AH157" s="34">
        <v>102.57711889967629</v>
      </c>
      <c r="AI157" s="34">
        <v>-0.90849948846863526</v>
      </c>
      <c r="AJ157" s="34">
        <v>-8.8567460093822367E-3</v>
      </c>
      <c r="AK157" s="34">
        <v>-2.3578999999999999</v>
      </c>
      <c r="AL157" s="34">
        <v>100.0382683996626</v>
      </c>
      <c r="AM157" s="34">
        <v>-2.4750651288000909</v>
      </c>
    </row>
    <row r="158" spans="1:39" x14ac:dyDescent="0.25">
      <c r="A158" s="34" t="s">
        <v>402</v>
      </c>
      <c r="B158" s="34" t="s">
        <v>403</v>
      </c>
      <c r="C158" s="34">
        <v>3.7273999999999998</v>
      </c>
      <c r="D158" s="34">
        <v>103.9153445393911</v>
      </c>
      <c r="E158" s="34">
        <v>104.2948943501611</v>
      </c>
      <c r="F158" s="34">
        <v>51266.7</v>
      </c>
      <c r="G158" s="35">
        <v>1.0598000000000001</v>
      </c>
      <c r="H158" s="34">
        <v>101.2429110927485</v>
      </c>
      <c r="I158" s="35">
        <v>-2.9263016913999911</v>
      </c>
      <c r="Q158" s="34">
        <v>-4.2428609636897754</v>
      </c>
      <c r="R158" s="34">
        <v>96.95968284269604</v>
      </c>
      <c r="S158" s="34">
        <v>102.15621667476741</v>
      </c>
      <c r="T158" s="34">
        <v>-5.1965338320713812</v>
      </c>
      <c r="U158" s="34">
        <v>-5.086850317309103E-2</v>
      </c>
      <c r="V158" s="34">
        <v>-4.3902999999999999</v>
      </c>
      <c r="W158" s="34">
        <v>96.810392227467318</v>
      </c>
      <c r="X158" s="34">
        <v>-5.2329898476168966</v>
      </c>
      <c r="AF158" s="34">
        <v>-0.51549999999999996</v>
      </c>
      <c r="AG158" s="34">
        <v>101.1445176781429</v>
      </c>
      <c r="AH158" s="34">
        <v>102.57711889967629</v>
      </c>
      <c r="AI158" s="34">
        <v>-1.432601221533417</v>
      </c>
      <c r="AJ158" s="34">
        <v>-1.3966089483703941E-2</v>
      </c>
      <c r="AK158" s="34">
        <v>-0.58620000000000005</v>
      </c>
      <c r="AL158" s="34">
        <v>101.0726379642192</v>
      </c>
      <c r="AM158" s="34">
        <v>-1.4666827764275301</v>
      </c>
    </row>
    <row r="159" spans="1:39" x14ac:dyDescent="0.25">
      <c r="A159" s="34" t="s">
        <v>403</v>
      </c>
      <c r="B159" s="34" t="s">
        <v>404</v>
      </c>
      <c r="C159" s="34">
        <v>1.8555999999999999</v>
      </c>
      <c r="D159" s="34">
        <v>105.843597672664</v>
      </c>
      <c r="E159" s="34">
        <v>105.843597672664</v>
      </c>
      <c r="F159" s="34">
        <v>53194.7</v>
      </c>
      <c r="G159" s="35">
        <v>-0.433</v>
      </c>
      <c r="H159" s="34">
        <v>103.4653910975355</v>
      </c>
      <c r="I159" s="35">
        <v>-0.79534406530059609</v>
      </c>
      <c r="Q159" s="34">
        <v>3.6281432279311222E-2</v>
      </c>
      <c r="R159" s="34">
        <v>96.994861204364852</v>
      </c>
      <c r="S159" s="34">
        <v>102.15621667476741</v>
      </c>
      <c r="T159" s="34">
        <v>-5.1613554704025688</v>
      </c>
      <c r="U159" s="34">
        <v>-5.0524144671828107E-2</v>
      </c>
      <c r="V159" s="34">
        <v>-0.90510000000000002</v>
      </c>
      <c r="W159" s="34">
        <v>96.082100753286795</v>
      </c>
      <c r="X159" s="34">
        <v>-5.945909235087143</v>
      </c>
      <c r="AF159" s="34">
        <v>1.8918999999999999</v>
      </c>
      <c r="AG159" s="34">
        <v>103.05807080809559</v>
      </c>
      <c r="AH159" s="34">
        <v>103.05807080809559</v>
      </c>
      <c r="AI159" s="34"/>
      <c r="AJ159" s="34">
        <v>0</v>
      </c>
      <c r="AK159" s="34">
        <v>0.31259999999999999</v>
      </c>
      <c r="AL159" s="34">
        <v>101.46069544040471</v>
      </c>
      <c r="AM159" s="34">
        <v>-1.088374747942999</v>
      </c>
    </row>
    <row r="160" spans="1:39" x14ac:dyDescent="0.25">
      <c r="A160" s="34" t="s">
        <v>404</v>
      </c>
      <c r="B160" s="34" t="s">
        <v>405</v>
      </c>
      <c r="C160" s="34">
        <v>2.2309000000000001</v>
      </c>
      <c r="D160" s="34">
        <v>108.20486249314349</v>
      </c>
      <c r="E160" s="34">
        <v>108.20486249314349</v>
      </c>
      <c r="F160" s="34">
        <v>54226.1</v>
      </c>
      <c r="G160" s="35">
        <v>0.22550000000000001</v>
      </c>
      <c r="H160" s="34">
        <v>106.08227498541591</v>
      </c>
      <c r="I160" s="35">
        <v>0.2254999999999896</v>
      </c>
      <c r="Q160" s="34">
        <v>-1.101704544236471</v>
      </c>
      <c r="R160" s="34">
        <v>95.926264410800513</v>
      </c>
      <c r="S160" s="34">
        <v>102.15621667476741</v>
      </c>
      <c r="T160" s="34">
        <v>-6.2299522639669078</v>
      </c>
      <c r="U160" s="34">
        <v>-6.0984563316406622E-2</v>
      </c>
      <c r="V160" s="34">
        <v>-1.3533999999999999</v>
      </c>
      <c r="W160" s="34">
        <v>95.68213275282497</v>
      </c>
      <c r="X160" s="34">
        <v>-6.3374350897839724</v>
      </c>
      <c r="AF160" s="34">
        <v>1.1292</v>
      </c>
      <c r="AG160" s="34">
        <v>104.2218025436607</v>
      </c>
      <c r="AH160" s="34">
        <v>104.2218025436607</v>
      </c>
      <c r="AI160" s="34"/>
      <c r="AJ160" s="34">
        <v>0</v>
      </c>
      <c r="AK160" s="34">
        <v>0.31709999999999999</v>
      </c>
      <c r="AL160" s="34">
        <v>103.38486795062811</v>
      </c>
      <c r="AM160" s="34">
        <v>0.31710000000000349</v>
      </c>
    </row>
    <row r="161" spans="1:39" x14ac:dyDescent="0.25">
      <c r="A161" s="34" t="s">
        <v>405</v>
      </c>
      <c r="B161" s="34" t="s">
        <v>406</v>
      </c>
      <c r="C161" s="34">
        <v>-0.98680000000000001</v>
      </c>
      <c r="D161" s="34">
        <v>107.1370969100612</v>
      </c>
      <c r="E161" s="34">
        <v>108.20486249314349</v>
      </c>
      <c r="F161" s="34">
        <v>55490.05</v>
      </c>
      <c r="G161" s="35">
        <v>-1.4907999999999999</v>
      </c>
      <c r="H161" s="34">
        <v>106.5917444030957</v>
      </c>
      <c r="I161" s="35">
        <v>-1.490800000000003</v>
      </c>
      <c r="Q161" s="34">
        <v>0.22455312230716659</v>
      </c>
      <c r="R161" s="34">
        <v>96.14166983264758</v>
      </c>
      <c r="S161" s="34">
        <v>102.15621667476741</v>
      </c>
      <c r="T161" s="34">
        <v>-6.0145468421198416</v>
      </c>
      <c r="U161" s="34">
        <v>-5.887597483438748E-2</v>
      </c>
      <c r="V161" s="34">
        <v>-0.45329999999999998</v>
      </c>
      <c r="W161" s="34">
        <v>95.491430654226349</v>
      </c>
      <c r="X161" s="34">
        <v>-6.5241120290893466</v>
      </c>
      <c r="AF161" s="34">
        <v>-0.76219999999999999</v>
      </c>
      <c r="AG161" s="34">
        <v>103.4274239646729</v>
      </c>
      <c r="AH161" s="34">
        <v>104.2218025436607</v>
      </c>
      <c r="AI161" s="34">
        <v>-0.7943785789877893</v>
      </c>
      <c r="AJ161" s="34">
        <v>-7.6220000000000732E-3</v>
      </c>
      <c r="AK161" s="34">
        <v>-1.0542</v>
      </c>
      <c r="AL161" s="34">
        <v>103.1230963012454</v>
      </c>
      <c r="AM161" s="34">
        <v>-1.0542000000000049</v>
      </c>
    </row>
    <row r="162" spans="1:39" x14ac:dyDescent="0.25">
      <c r="A162" s="34" t="s">
        <v>406</v>
      </c>
      <c r="B162" s="34" t="s">
        <v>407</v>
      </c>
      <c r="C162" s="34">
        <v>0.41849999999999998</v>
      </c>
      <c r="D162" s="34">
        <v>107.58546566062979</v>
      </c>
      <c r="E162" s="34">
        <v>108.20486249314349</v>
      </c>
      <c r="F162" s="34">
        <v>54951.7</v>
      </c>
      <c r="G162" s="35">
        <v>-0.25409999999999999</v>
      </c>
      <c r="H162" s="34">
        <v>106.8648615468127</v>
      </c>
      <c r="I162" s="35">
        <v>-1.238392541199995</v>
      </c>
      <c r="Q162" s="34">
        <v>-1.5446929749957481</v>
      </c>
      <c r="R162" s="34">
        <v>94.656576212699065</v>
      </c>
      <c r="S162" s="34">
        <v>102.15621667476741</v>
      </c>
      <c r="T162" s="34">
        <v>-7.4996404620683563</v>
      </c>
      <c r="U162" s="34">
        <v>-7.3413451537117924E-2</v>
      </c>
      <c r="V162" s="34">
        <v>-1.716</v>
      </c>
      <c r="W162" s="34">
        <v>94.491878778319347</v>
      </c>
      <c r="X162" s="34">
        <v>-7.5025663106229379</v>
      </c>
      <c r="AF162" s="34">
        <v>-1.1262000000000001</v>
      </c>
      <c r="AG162" s="34">
        <v>102.26262431598271</v>
      </c>
      <c r="AH162" s="34">
        <v>104.2218025436607</v>
      </c>
      <c r="AI162" s="34">
        <v>-1.9591782276779379</v>
      </c>
      <c r="AJ162" s="34">
        <v>-1.8798161036000099E-2</v>
      </c>
      <c r="AK162" s="34">
        <v>-1.1262000000000001</v>
      </c>
      <c r="AL162" s="34">
        <v>102.26262431598271</v>
      </c>
      <c r="AM162" s="34">
        <v>-1.8798161036000069</v>
      </c>
    </row>
    <row r="163" spans="1:39" x14ac:dyDescent="0.25">
      <c r="A163" s="34" t="s">
        <v>407</v>
      </c>
      <c r="B163" s="34" t="s">
        <v>408</v>
      </c>
      <c r="C163" s="34">
        <v>1.8112999999999999</v>
      </c>
      <c r="D163" s="34">
        <v>109.5341612001408</v>
      </c>
      <c r="E163" s="34">
        <v>109.5341612001408</v>
      </c>
      <c r="F163" s="34">
        <v>55245.8</v>
      </c>
      <c r="G163" s="35">
        <v>-0.50529999999999997</v>
      </c>
      <c r="H163" s="34">
        <v>107.0418363026466</v>
      </c>
      <c r="I163" s="35">
        <v>-1.0748372704328051</v>
      </c>
      <c r="Q163" s="34">
        <v>-0.99209009250569791</v>
      </c>
      <c r="R163" s="34">
        <v>93.717497698187771</v>
      </c>
      <c r="S163" s="34">
        <v>102.15621667476741</v>
      </c>
      <c r="T163" s="34">
        <v>-8.4387189765796506</v>
      </c>
      <c r="U163" s="34">
        <v>-8.2606024882908705E-2</v>
      </c>
      <c r="V163" s="34">
        <v>-1.2741</v>
      </c>
      <c r="W163" s="34">
        <v>93.450556775173069</v>
      </c>
      <c r="X163" s="34">
        <v>-8.5219090751083471</v>
      </c>
      <c r="AF163" s="34">
        <v>0.81920000000000004</v>
      </c>
      <c r="AG163" s="34">
        <v>103.1003597343793</v>
      </c>
      <c r="AH163" s="34">
        <v>104.2218025436607</v>
      </c>
      <c r="AI163" s="34">
        <v>-1.1214428092814051</v>
      </c>
      <c r="AJ163" s="34">
        <v>-1.076015557120698E-2</v>
      </c>
      <c r="AK163" s="34">
        <v>-0.19869999999999999</v>
      </c>
      <c r="AL163" s="34">
        <v>102.0594284814669</v>
      </c>
      <c r="AM163" s="34">
        <v>-2.0747809090021501</v>
      </c>
    </row>
    <row r="164" spans="1:39" x14ac:dyDescent="0.25">
      <c r="A164" s="34" t="s">
        <v>408</v>
      </c>
      <c r="B164" s="34" t="s">
        <v>409</v>
      </c>
      <c r="C164" s="34">
        <v>-3.1899999999999998E-2</v>
      </c>
      <c r="D164" s="34">
        <v>109.4992198027179</v>
      </c>
      <c r="E164" s="34">
        <v>109.5341612001408</v>
      </c>
      <c r="F164" s="34">
        <v>56292.5</v>
      </c>
      <c r="G164" s="35">
        <v>-1.3912</v>
      </c>
      <c r="H164" s="34">
        <v>108.0103219495244</v>
      </c>
      <c r="I164" s="35">
        <v>-1.391200000000004</v>
      </c>
      <c r="Q164" s="34">
        <v>-0.51611406700784324</v>
      </c>
      <c r="R164" s="34">
        <v>93.233808509319672</v>
      </c>
      <c r="S164" s="34">
        <v>102.15621667476741</v>
      </c>
      <c r="T164" s="34">
        <v>-8.9224081654477487</v>
      </c>
      <c r="U164" s="34">
        <v>-8.7340824238370432E-2</v>
      </c>
      <c r="V164" s="34">
        <v>-0.74649999999999994</v>
      </c>
      <c r="W164" s="34">
        <v>93.0178965778708</v>
      </c>
      <c r="X164" s="34">
        <v>-8.9454370907157799</v>
      </c>
      <c r="AF164" s="34">
        <v>-0.54800000000000004</v>
      </c>
      <c r="AG164" s="34">
        <v>102.53536976303489</v>
      </c>
      <c r="AH164" s="34">
        <v>104.2218025436607</v>
      </c>
      <c r="AI164" s="34">
        <v>-1.686432780625807</v>
      </c>
      <c r="AJ164" s="34">
        <v>-1.618118991867681E-2</v>
      </c>
      <c r="AK164" s="34">
        <v>-1.0428999999999999</v>
      </c>
      <c r="AL164" s="34">
        <v>102.02512608270941</v>
      </c>
      <c r="AM164" s="34">
        <v>-2.1076937908754978</v>
      </c>
    </row>
    <row r="165" spans="1:39" x14ac:dyDescent="0.25">
      <c r="A165" s="34" t="s">
        <v>409</v>
      </c>
      <c r="B165" s="34" t="s">
        <v>410</v>
      </c>
      <c r="C165" s="34">
        <v>1.2930999999999999</v>
      </c>
      <c r="D165" s="34">
        <v>110.9151542139869</v>
      </c>
      <c r="E165" s="34">
        <v>110.9151542139869</v>
      </c>
      <c r="F165" s="34">
        <v>56293.3</v>
      </c>
      <c r="G165" s="35">
        <v>2.4299999999999999E-2</v>
      </c>
      <c r="H165" s="34">
        <v>109.52582811313</v>
      </c>
      <c r="I165" s="35">
        <v>-7.607751700000609E-3</v>
      </c>
      <c r="Q165" s="34">
        <v>-0.20999320610215549</v>
      </c>
      <c r="R165" s="34">
        <v>93.038023845659808</v>
      </c>
      <c r="S165" s="34">
        <v>102.15621667476741</v>
      </c>
      <c r="T165" s="34">
        <v>-9.1181928291076133</v>
      </c>
      <c r="U165" s="34">
        <v>-8.9257346502337784E-2</v>
      </c>
      <c r="V165" s="34">
        <v>-0.41049999999999998</v>
      </c>
      <c r="W165" s="34">
        <v>92.851083725388918</v>
      </c>
      <c r="X165" s="34">
        <v>-9.108729015487194</v>
      </c>
      <c r="AF165" s="34">
        <v>1.0831</v>
      </c>
      <c r="AG165" s="34">
        <v>103.64593035293829</v>
      </c>
      <c r="AH165" s="34">
        <v>104.2218025436607</v>
      </c>
      <c r="AI165" s="34">
        <v>-0.57587219072237872</v>
      </c>
      <c r="AJ165" s="34">
        <v>-5.5254483866860197E-3</v>
      </c>
      <c r="AK165" s="34">
        <v>0.44569999999999999</v>
      </c>
      <c r="AL165" s="34">
        <v>102.9923699060687</v>
      </c>
      <c r="AM165" s="34">
        <v>-1.179630948214438</v>
      </c>
    </row>
    <row r="166" spans="1:39" x14ac:dyDescent="0.25">
      <c r="A166" s="34" t="s">
        <v>410</v>
      </c>
      <c r="B166" s="34" t="s">
        <v>411</v>
      </c>
      <c r="C166" s="34">
        <v>-0.29070000000000001</v>
      </c>
      <c r="D166" s="34">
        <v>110.5927238606868</v>
      </c>
      <c r="E166" s="34">
        <v>110.9151542139869</v>
      </c>
      <c r="F166" s="34">
        <v>57077.55</v>
      </c>
      <c r="G166" s="35">
        <v>-2.3809999999999998</v>
      </c>
      <c r="H166" s="34">
        <v>108.27426439215181</v>
      </c>
      <c r="I166" s="35">
        <v>-2.3809999999999998</v>
      </c>
      <c r="Q166" s="34">
        <v>0.57667436111520387</v>
      </c>
      <c r="R166" s="34">
        <v>93.574550275265992</v>
      </c>
      <c r="S166" s="34">
        <v>102.15621667476741</v>
      </c>
      <c r="T166" s="34">
        <v>-8.5816663995014295</v>
      </c>
      <c r="U166" s="34">
        <v>-8.4005327123876358E-2</v>
      </c>
      <c r="V166" s="34">
        <v>-9.0400000000000008E-2</v>
      </c>
      <c r="W166" s="34">
        <v>92.953917472103328</v>
      </c>
      <c r="X166" s="34">
        <v>-9.0080657861099755</v>
      </c>
      <c r="AF166" s="34">
        <v>0.28599999999999998</v>
      </c>
      <c r="AG166" s="34">
        <v>103.9423577137477</v>
      </c>
      <c r="AH166" s="34">
        <v>104.2218025436607</v>
      </c>
      <c r="AI166" s="34">
        <v>-0.27944482991296132</v>
      </c>
      <c r="AJ166" s="34">
        <v>-2.6812511690718081E-3</v>
      </c>
      <c r="AK166" s="34">
        <v>-1.3311999999999999</v>
      </c>
      <c r="AL166" s="34">
        <v>102.26619572808001</v>
      </c>
      <c r="AM166" s="34">
        <v>-1.876389361776243</v>
      </c>
    </row>
    <row r="167" spans="1:39" x14ac:dyDescent="0.25">
      <c r="A167" s="34" t="s">
        <v>411</v>
      </c>
      <c r="B167" s="34" t="s">
        <v>412</v>
      </c>
      <c r="C167" s="34">
        <v>1.2224999999999999</v>
      </c>
      <c r="D167" s="34">
        <v>111.9447199098837</v>
      </c>
      <c r="E167" s="34">
        <v>111.9447199098837</v>
      </c>
      <c r="F167" s="34">
        <v>56921.15</v>
      </c>
      <c r="G167" s="35">
        <v>-4.6100000000000002E-2</v>
      </c>
      <c r="H167" s="34">
        <v>110.54174061498701</v>
      </c>
      <c r="I167" s="35">
        <v>-0.33666598730001113</v>
      </c>
      <c r="Q167" s="34">
        <v>-1.321304284372308</v>
      </c>
      <c r="R167" s="34">
        <v>92.338145733396786</v>
      </c>
      <c r="S167" s="34">
        <v>102.15621667476741</v>
      </c>
      <c r="T167" s="34">
        <v>-9.8180709413706353</v>
      </c>
      <c r="U167" s="34">
        <v>-9.6108403981210649E-2</v>
      </c>
      <c r="V167" s="34">
        <v>-1.4689000000000001</v>
      </c>
      <c r="W167" s="34">
        <v>92.20003370627262</v>
      </c>
      <c r="X167" s="34">
        <v>-9.7460372873753638</v>
      </c>
      <c r="AF167" s="34">
        <v>-9.8799999999999999E-2</v>
      </c>
      <c r="AG167" s="34">
        <v>103.8396626643265</v>
      </c>
      <c r="AH167" s="34">
        <v>104.2218025436607</v>
      </c>
      <c r="AI167" s="34">
        <v>-0.38213987933414728</v>
      </c>
      <c r="AJ167" s="34">
        <v>-3.6666020929167959E-3</v>
      </c>
      <c r="AK167" s="34">
        <v>-0.20669999999999999</v>
      </c>
      <c r="AL167" s="34">
        <v>103.7275088603534</v>
      </c>
      <c r="AM167" s="34">
        <v>-0.47427090229052998</v>
      </c>
    </row>
    <row r="168" spans="1:39" x14ac:dyDescent="0.25">
      <c r="A168" s="34" t="s">
        <v>412</v>
      </c>
      <c r="B168" s="34" t="s">
        <v>413</v>
      </c>
      <c r="C168" s="34">
        <v>-1.7399999999999999E-2</v>
      </c>
      <c r="D168" s="34">
        <v>111.9252415286194</v>
      </c>
      <c r="E168" s="34">
        <v>111.9447199098837</v>
      </c>
      <c r="F168" s="34">
        <v>57664.45</v>
      </c>
      <c r="G168" s="35">
        <v>-0.19689999999999999</v>
      </c>
      <c r="H168" s="34">
        <v>111.7243007563811</v>
      </c>
      <c r="I168" s="35">
        <v>-0.19689999999999991</v>
      </c>
      <c r="Q168" s="34">
        <v>-5.2874114866980964E-3</v>
      </c>
      <c r="R168" s="34">
        <v>92.333263435672677</v>
      </c>
      <c r="S168" s="34">
        <v>102.15621667476741</v>
      </c>
      <c r="T168" s="34">
        <v>-9.822953239094744</v>
      </c>
      <c r="U168" s="34">
        <v>-9.6156196449285816E-2</v>
      </c>
      <c r="V168" s="34">
        <v>-0.23830000000000001</v>
      </c>
      <c r="W168" s="34">
        <v>92.118103932114096</v>
      </c>
      <c r="X168" s="34">
        <v>-9.8262377654523512</v>
      </c>
      <c r="AF168" s="34">
        <v>-2.2700000000000001E-2</v>
      </c>
      <c r="AG168" s="34">
        <v>103.8160910609017</v>
      </c>
      <c r="AH168" s="34">
        <v>104.2218025436607</v>
      </c>
      <c r="AI168" s="34">
        <v>-0.40571148275894592</v>
      </c>
      <c r="AJ168" s="34">
        <v>-3.8927697742416698E-3</v>
      </c>
      <c r="AK168" s="34">
        <v>-8.3299999999999999E-2</v>
      </c>
      <c r="AL168" s="34">
        <v>103.7531642253271</v>
      </c>
      <c r="AM168" s="34">
        <v>-0.4496547813373386</v>
      </c>
    </row>
    <row r="169" spans="1:39" x14ac:dyDescent="0.25">
      <c r="A169" s="34" t="s">
        <v>413</v>
      </c>
      <c r="B169" s="34" t="s">
        <v>414</v>
      </c>
      <c r="C169" s="34">
        <v>-0.99219999999999997</v>
      </c>
      <c r="D169" s="34">
        <v>110.8147192821724</v>
      </c>
      <c r="E169" s="34">
        <v>111.9447199098837</v>
      </c>
      <c r="F169" s="34">
        <v>57664</v>
      </c>
      <c r="G169" s="35">
        <v>-1.7150000000000001</v>
      </c>
      <c r="H169" s="34">
        <v>110.0057236364036</v>
      </c>
      <c r="I169" s="35">
        <v>-1.732101590000001</v>
      </c>
      <c r="Q169" s="34">
        <v>-0.62060699630276683</v>
      </c>
      <c r="R169" s="34">
        <v>91.760236742876231</v>
      </c>
      <c r="S169" s="34">
        <v>102.15621667476741</v>
      </c>
      <c r="T169" s="34">
        <v>-10.395979931891191</v>
      </c>
      <c r="U169" s="34">
        <v>-0.1017655143297706</v>
      </c>
      <c r="V169" s="34">
        <v>-0.74879999999999991</v>
      </c>
      <c r="W169" s="34">
        <v>91.64187195906635</v>
      </c>
      <c r="X169" s="34">
        <v>-10.292417885027371</v>
      </c>
      <c r="AF169" s="34">
        <v>-1.6128</v>
      </c>
      <c r="AG169" s="34">
        <v>102.1417451442715</v>
      </c>
      <c r="AH169" s="34">
        <v>104.2218025436607</v>
      </c>
      <c r="AI169" s="34">
        <v>-2.080057399389176</v>
      </c>
      <c r="AJ169" s="34">
        <v>-1.995798718332277E-2</v>
      </c>
      <c r="AK169" s="34">
        <v>-1.6128</v>
      </c>
      <c r="AL169" s="34">
        <v>102.1417451442715</v>
      </c>
      <c r="AM169" s="34">
        <v>-1.9957987183322761</v>
      </c>
    </row>
    <row r="170" spans="1:39" x14ac:dyDescent="0.25">
      <c r="A170" s="34" t="s">
        <v>414</v>
      </c>
      <c r="B170" s="34" t="s">
        <v>415</v>
      </c>
      <c r="C170" s="34">
        <v>-0.51729999999999998</v>
      </c>
      <c r="D170" s="34">
        <v>110.2414747393257</v>
      </c>
      <c r="E170" s="34">
        <v>111.9447199098837</v>
      </c>
      <c r="F170" s="34">
        <v>57111.1</v>
      </c>
      <c r="G170" s="35">
        <v>-4.7859999999999996</v>
      </c>
      <c r="H170" s="34">
        <v>105.51112681732759</v>
      </c>
      <c r="I170" s="35">
        <v>-5.7471161638844031</v>
      </c>
      <c r="Q170" s="34">
        <v>2.0539618601781791</v>
      </c>
      <c r="R170" s="34">
        <v>93.644957008384125</v>
      </c>
      <c r="S170" s="34">
        <v>102.15621667476741</v>
      </c>
      <c r="T170" s="34">
        <v>-8.511259666383296</v>
      </c>
      <c r="U170" s="34">
        <v>-8.3316120579136288E-2</v>
      </c>
      <c r="V170" s="34">
        <v>-0.1203</v>
      </c>
      <c r="W170" s="34">
        <v>91.649849178074561</v>
      </c>
      <c r="X170" s="34">
        <v>-10.284609041603179</v>
      </c>
      <c r="AF170" s="34">
        <v>1.5367</v>
      </c>
      <c r="AG170" s="34">
        <v>103.71135734190349</v>
      </c>
      <c r="AH170" s="34">
        <v>104.2218025436607</v>
      </c>
      <c r="AI170" s="34">
        <v>-0.51044520175716457</v>
      </c>
      <c r="AJ170" s="34">
        <v>-4.8976815723689726E-3</v>
      </c>
      <c r="AK170" s="34">
        <v>-1.4024000000000001</v>
      </c>
      <c r="AL170" s="34">
        <v>100.7093093103682</v>
      </c>
      <c r="AM170" s="34">
        <v>-3.3702096371063921</v>
      </c>
    </row>
    <row r="171" spans="1:39" x14ac:dyDescent="0.25">
      <c r="A171" s="34" t="s">
        <v>415</v>
      </c>
      <c r="B171" s="34" t="s">
        <v>416</v>
      </c>
      <c r="C171" s="34">
        <v>1.5409999999999999</v>
      </c>
      <c r="D171" s="34">
        <v>111.9402958650587</v>
      </c>
      <c r="E171" s="34">
        <v>111.9447199098837</v>
      </c>
      <c r="F171" s="34">
        <v>56872.75</v>
      </c>
      <c r="G171" s="35">
        <v>-0.98719999999999997</v>
      </c>
      <c r="H171" s="34">
        <v>109.1531709006991</v>
      </c>
      <c r="I171" s="35">
        <v>-2.4936852863018499</v>
      </c>
      <c r="Q171" s="34">
        <v>-1.86597579208225</v>
      </c>
      <c r="R171" s="34">
        <v>91.897564780101845</v>
      </c>
      <c r="S171" s="34">
        <v>102.15621667476741</v>
      </c>
      <c r="T171" s="34">
        <v>-10.258651894665579</v>
      </c>
      <c r="U171" s="34">
        <v>-0.1004212198590501</v>
      </c>
      <c r="V171" s="34">
        <v>-2.0015000000000001</v>
      </c>
      <c r="W171" s="34">
        <v>91.770653193861321</v>
      </c>
      <c r="X171" s="34">
        <v>-10.16635484257449</v>
      </c>
      <c r="AF171" s="34">
        <v>-0.32500000000000001</v>
      </c>
      <c r="AG171" s="34">
        <v>103.3742954305423</v>
      </c>
      <c r="AH171" s="34">
        <v>104.2218025436607</v>
      </c>
      <c r="AI171" s="34">
        <v>-0.84750711311835403</v>
      </c>
      <c r="AJ171" s="34">
        <v>-8.1317641072588022E-3</v>
      </c>
      <c r="AK171" s="34">
        <v>-0.38119999999999998</v>
      </c>
      <c r="AL171" s="34">
        <v>103.3160096477162</v>
      </c>
      <c r="AM171" s="34">
        <v>-0.86910116102151269</v>
      </c>
    </row>
    <row r="172" spans="1:39" x14ac:dyDescent="0.25">
      <c r="A172" s="34" t="s">
        <v>416</v>
      </c>
      <c r="B172" s="34" t="s">
        <v>417</v>
      </c>
      <c r="C172" s="34">
        <v>2.0333999999999999</v>
      </c>
      <c r="D172" s="34">
        <v>114.2164898411789</v>
      </c>
      <c r="E172" s="34">
        <v>114.2164898411789</v>
      </c>
      <c r="F172" s="34">
        <v>57768.1</v>
      </c>
      <c r="G172" s="35">
        <v>0.4461</v>
      </c>
      <c r="H172" s="34">
        <v>112.43966152491279</v>
      </c>
      <c r="I172" s="35">
        <v>0.44213037955476148</v>
      </c>
      <c r="Q172" s="34">
        <v>-0.29434443936645482</v>
      </c>
      <c r="R172" s="34">
        <v>91.627069408258436</v>
      </c>
      <c r="S172" s="34">
        <v>102.15621667476741</v>
      </c>
      <c r="T172" s="34">
        <v>-10.529147266508989</v>
      </c>
      <c r="U172" s="34">
        <v>-0.1030690799761155</v>
      </c>
      <c r="V172" s="34">
        <v>-0.73509999999999998</v>
      </c>
      <c r="W172" s="34">
        <v>91.222025781403318</v>
      </c>
      <c r="X172" s="34">
        <v>-10.70340234718662</v>
      </c>
      <c r="AF172" s="34">
        <v>1.7391000000000001</v>
      </c>
      <c r="AG172" s="34">
        <v>105.1720778023749</v>
      </c>
      <c r="AH172" s="34">
        <v>105.1720778023749</v>
      </c>
      <c r="AI172" s="34"/>
      <c r="AJ172" s="34">
        <v>0</v>
      </c>
      <c r="AK172" s="34">
        <v>0.90280000000000005</v>
      </c>
      <c r="AL172" s="34">
        <v>104.30755856968931</v>
      </c>
      <c r="AM172" s="34">
        <v>8.2282232638086761E-2</v>
      </c>
    </row>
    <row r="173" spans="1:39" x14ac:dyDescent="0.25">
      <c r="A173" s="34" t="s">
        <v>417</v>
      </c>
      <c r="B173" s="34" t="s">
        <v>418</v>
      </c>
      <c r="C173" s="34">
        <v>-3.7054999999999998</v>
      </c>
      <c r="D173" s="34">
        <v>109.984197810114</v>
      </c>
      <c r="E173" s="34">
        <v>114.2164898411789</v>
      </c>
      <c r="F173" s="34">
        <v>58990.9</v>
      </c>
      <c r="G173" s="35">
        <v>-6.2450000000000001</v>
      </c>
      <c r="H173" s="34">
        <v>107.08367005059721</v>
      </c>
      <c r="I173" s="35">
        <v>-6.245000000000001</v>
      </c>
      <c r="Q173" s="34">
        <v>2.1914821561330839</v>
      </c>
      <c r="R173" s="34">
        <v>93.63506028452808</v>
      </c>
      <c r="S173" s="34">
        <v>102.15621667476741</v>
      </c>
      <c r="T173" s="34">
        <v>-8.5211563902393408</v>
      </c>
      <c r="U173" s="34">
        <v>-8.3412998910951899E-2</v>
      </c>
      <c r="V173" s="34">
        <v>-0.48899999999999999</v>
      </c>
      <c r="W173" s="34">
        <v>91.179013038852062</v>
      </c>
      <c r="X173" s="34">
        <v>-10.74550721750321</v>
      </c>
      <c r="AF173" s="34">
        <v>-1.514</v>
      </c>
      <c r="AG173" s="34">
        <v>103.5797725444469</v>
      </c>
      <c r="AH173" s="34">
        <v>105.1720778023749</v>
      </c>
      <c r="AI173" s="34">
        <v>-1.5923052579279611</v>
      </c>
      <c r="AJ173" s="34">
        <v>-1.5140000000000049E-2</v>
      </c>
      <c r="AK173" s="34">
        <v>-2.1497999999999999</v>
      </c>
      <c r="AL173" s="34">
        <v>102.9110884737794</v>
      </c>
      <c r="AM173" s="34">
        <v>-2.1498000000000022</v>
      </c>
    </row>
    <row r="174" spans="1:39" x14ac:dyDescent="0.25">
      <c r="A174" s="34" t="s">
        <v>418</v>
      </c>
      <c r="B174" s="34" t="s">
        <v>419</v>
      </c>
      <c r="C174" s="34">
        <v>-8.6499999999999994E-2</v>
      </c>
      <c r="D174" s="34">
        <v>109.88906147900821</v>
      </c>
      <c r="E174" s="34">
        <v>114.2164898411789</v>
      </c>
      <c r="F174" s="34">
        <v>56873.8</v>
      </c>
      <c r="G174" s="35">
        <v>-0.49099999999999999</v>
      </c>
      <c r="H174" s="34">
        <v>109.44417539886631</v>
      </c>
      <c r="I174" s="35">
        <v>-4.1783059949999979</v>
      </c>
      <c r="Q174" s="34">
        <v>1.3713344994340979</v>
      </c>
      <c r="R174" s="34">
        <v>94.91911016977572</v>
      </c>
      <c r="S174" s="34">
        <v>102.15621667476741</v>
      </c>
      <c r="T174" s="34">
        <v>-7.2371065049917007</v>
      </c>
      <c r="U174" s="34">
        <v>-7.0843525147689476E-2</v>
      </c>
      <c r="V174" s="34">
        <v>-0.84660000000000002</v>
      </c>
      <c r="W174" s="34">
        <v>92.84234586415927</v>
      </c>
      <c r="X174" s="34">
        <v>-9.1172824462171782</v>
      </c>
      <c r="AF174" s="34">
        <v>1.2847999999999999</v>
      </c>
      <c r="AG174" s="34">
        <v>104.91056546209801</v>
      </c>
      <c r="AH174" s="34">
        <v>105.1720778023749</v>
      </c>
      <c r="AI174" s="34">
        <v>-0.26151234027690862</v>
      </c>
      <c r="AJ174" s="34">
        <v>-2.486518720000067E-3</v>
      </c>
      <c r="AK174" s="34">
        <v>0.43159999999999998</v>
      </c>
      <c r="AL174" s="34">
        <v>104.0268228427487</v>
      </c>
      <c r="AM174" s="34">
        <v>-1.0889344240000101</v>
      </c>
    </row>
    <row r="175" spans="1:39" x14ac:dyDescent="0.25">
      <c r="A175" s="34" t="s">
        <v>419</v>
      </c>
      <c r="B175" s="34" t="s">
        <v>420</v>
      </c>
      <c r="C175" s="34">
        <v>1.3116000000000001</v>
      </c>
      <c r="D175" s="34">
        <v>111.3303664093669</v>
      </c>
      <c r="E175" s="34">
        <v>114.2164898411789</v>
      </c>
      <c r="F175" s="34">
        <v>56881.5</v>
      </c>
      <c r="G175" s="35">
        <v>-0.95599999999999996</v>
      </c>
      <c r="H175" s="34">
        <v>108.8385220512689</v>
      </c>
      <c r="I175" s="35">
        <v>-4.7085738647616999</v>
      </c>
      <c r="Q175" s="34">
        <v>-2.695016363561042</v>
      </c>
      <c r="R175" s="34">
        <v>92.361024618553728</v>
      </c>
      <c r="S175" s="34">
        <v>102.15621667476741</v>
      </c>
      <c r="T175" s="34">
        <v>-9.7951920562136934</v>
      </c>
      <c r="U175" s="34">
        <v>-9.5884444188046217E-2</v>
      </c>
      <c r="V175" s="34">
        <v>-2.8418999999999999</v>
      </c>
      <c r="W175" s="34">
        <v>92.221603977860866</v>
      </c>
      <c r="X175" s="34">
        <v>-9.7249223006517287</v>
      </c>
      <c r="AF175" s="34">
        <v>-1.3834</v>
      </c>
      <c r="AG175" s="34">
        <v>103.4592326994953</v>
      </c>
      <c r="AH175" s="34">
        <v>105.1720778023749</v>
      </c>
      <c r="AI175" s="34">
        <v>-1.712845102879569</v>
      </c>
      <c r="AJ175" s="34">
        <v>-1.628612022002756E-2</v>
      </c>
      <c r="AK175" s="34">
        <v>-1.4540999999999999</v>
      </c>
      <c r="AL175" s="34">
        <v>103.3850609297136</v>
      </c>
      <c r="AM175" s="34">
        <v>-1.699136225129261</v>
      </c>
    </row>
    <row r="176" spans="1:39" x14ac:dyDescent="0.25">
      <c r="A176" s="34" t="s">
        <v>420</v>
      </c>
      <c r="B176" s="34" t="s">
        <v>421</v>
      </c>
      <c r="C176" s="34">
        <v>1.2835000000000001</v>
      </c>
      <c r="D176" s="34">
        <v>112.75929166223111</v>
      </c>
      <c r="E176" s="34">
        <v>114.2164898411789</v>
      </c>
      <c r="F176" s="34">
        <v>57656</v>
      </c>
      <c r="G176" s="35">
        <v>-0.10680000000000001</v>
      </c>
      <c r="H176" s="34">
        <v>111.2114655780417</v>
      </c>
      <c r="I176" s="35">
        <v>-2.630989857345245</v>
      </c>
      <c r="Q176" s="34">
        <v>-1.2179543338433609</v>
      </c>
      <c r="R176" s="34">
        <v>91.23610951642992</v>
      </c>
      <c r="S176" s="34">
        <v>102.15621667476741</v>
      </c>
      <c r="T176" s="34">
        <v>-10.920107158337499</v>
      </c>
      <c r="U176" s="34">
        <v>-0.1068961587830099</v>
      </c>
      <c r="V176" s="34">
        <v>-1.3004</v>
      </c>
      <c r="W176" s="34">
        <v>91.15996185441405</v>
      </c>
      <c r="X176" s="34">
        <v>-10.764156287582489</v>
      </c>
      <c r="AF176" s="34">
        <v>6.5500000000000003E-2</v>
      </c>
      <c r="AG176" s="34">
        <v>103.52699849691351</v>
      </c>
      <c r="AH176" s="34">
        <v>105.1720778023749</v>
      </c>
      <c r="AI176" s="34">
        <v>-1.6450793054613939</v>
      </c>
      <c r="AJ176" s="34">
        <v>-1.5641787628771619E-2</v>
      </c>
      <c r="AK176" s="34">
        <v>6.5500000000000003E-2</v>
      </c>
      <c r="AL176" s="34">
        <v>103.52699849691351</v>
      </c>
      <c r="AM176" s="34">
        <v>-1.564178762877166</v>
      </c>
    </row>
    <row r="177" spans="1:39" x14ac:dyDescent="0.25">
      <c r="A177" s="34" t="s">
        <v>421</v>
      </c>
      <c r="B177" s="34" t="s">
        <v>422</v>
      </c>
      <c r="C177" s="34">
        <v>1.0851</v>
      </c>
      <c r="D177" s="34">
        <v>113.982842736058</v>
      </c>
      <c r="E177" s="34">
        <v>114.2164898411789</v>
      </c>
      <c r="F177" s="34">
        <v>58444.05</v>
      </c>
      <c r="G177" s="35">
        <v>9.35E-2</v>
      </c>
      <c r="H177" s="34">
        <v>112.86472159993529</v>
      </c>
      <c r="I177" s="35">
        <v>-1.1835140820062431</v>
      </c>
      <c r="Q177" s="34">
        <v>-1.3175105570403149</v>
      </c>
      <c r="R177" s="34">
        <v>90.03406414171809</v>
      </c>
      <c r="S177" s="34">
        <v>102.15621667476741</v>
      </c>
      <c r="T177" s="34">
        <v>-12.122152533049331</v>
      </c>
      <c r="U177" s="34">
        <v>-0.11866289617637631</v>
      </c>
      <c r="V177" s="34">
        <v>-1.8209</v>
      </c>
      <c r="W177" s="34">
        <v>89.574791198245251</v>
      </c>
      <c r="X177" s="34">
        <v>-12.315868662772999</v>
      </c>
      <c r="AF177" s="34">
        <v>-0.2324</v>
      </c>
      <c r="AG177" s="34">
        <v>103.2864017524066</v>
      </c>
      <c r="AH177" s="34">
        <v>105.1720778023749</v>
      </c>
      <c r="AI177" s="34">
        <v>-1.885676049968225</v>
      </c>
      <c r="AJ177" s="34">
        <v>-1.7929436114322399E-2</v>
      </c>
      <c r="AK177" s="34">
        <v>-0.28199999999999997</v>
      </c>
      <c r="AL177" s="34">
        <v>103.2350523611522</v>
      </c>
      <c r="AM177" s="34">
        <v>-1.8417677787658571</v>
      </c>
    </row>
    <row r="178" spans="1:39" x14ac:dyDescent="0.25">
      <c r="A178" s="34" t="s">
        <v>422</v>
      </c>
      <c r="B178" s="34" t="s">
        <v>423</v>
      </c>
      <c r="C178" s="34">
        <v>1.4E-2</v>
      </c>
      <c r="D178" s="34">
        <v>113.99880033404099</v>
      </c>
      <c r="E178" s="34">
        <v>114.2164898411789</v>
      </c>
      <c r="F178" s="34">
        <v>59146.400000000001</v>
      </c>
      <c r="G178" s="35">
        <v>-1.0706</v>
      </c>
      <c r="H178" s="34">
        <v>112.7625424217257</v>
      </c>
      <c r="I178" s="35">
        <v>-1.272975050690905</v>
      </c>
      <c r="Q178" s="34">
        <v>-2.215361033994814E-2</v>
      </c>
      <c r="R178" s="34">
        <v>90.014118345974921</v>
      </c>
      <c r="S178" s="34">
        <v>102.15621667476741</v>
      </c>
      <c r="T178" s="34">
        <v>-12.1420983287925</v>
      </c>
      <c r="U178" s="34">
        <v>-0.1188581441641387</v>
      </c>
      <c r="V178" s="34">
        <v>-1.2470000000000001</v>
      </c>
      <c r="W178" s="34">
        <v>88.911339361870873</v>
      </c>
      <c r="X178" s="34">
        <v>-12.96531698610568</v>
      </c>
      <c r="AF178" s="34">
        <v>-8.2000000000000007E-3</v>
      </c>
      <c r="AG178" s="34">
        <v>103.2779322674629</v>
      </c>
      <c r="AH178" s="34">
        <v>105.1720778023749</v>
      </c>
      <c r="AI178" s="34">
        <v>-1.8941455349119281</v>
      </c>
      <c r="AJ178" s="34">
        <v>-1.800996590056108E-2</v>
      </c>
      <c r="AK178" s="34">
        <v>-0.70109999999999995</v>
      </c>
      <c r="AL178" s="34">
        <v>102.5622607897205</v>
      </c>
      <c r="AM178" s="34">
        <v>-2.481473283772484</v>
      </c>
    </row>
    <row r="179" spans="1:39" x14ac:dyDescent="0.25">
      <c r="A179" s="34" t="s">
        <v>423</v>
      </c>
      <c r="B179" s="34" t="s">
        <v>424</v>
      </c>
      <c r="C179" s="34">
        <v>-0.59899999999999998</v>
      </c>
      <c r="D179" s="34">
        <v>113.3159475200401</v>
      </c>
      <c r="E179" s="34">
        <v>114.2164898411789</v>
      </c>
      <c r="F179" s="34">
        <v>59223.7</v>
      </c>
      <c r="G179" s="35">
        <v>-2.5</v>
      </c>
      <c r="H179" s="34">
        <v>111.14883032569</v>
      </c>
      <c r="I179" s="35">
        <v>-2.6858289199348739</v>
      </c>
      <c r="Q179" s="34">
        <v>0.85599653950402199</v>
      </c>
      <c r="R179" s="34">
        <v>90.784636084081512</v>
      </c>
      <c r="S179" s="34">
        <v>102.15621667476741</v>
      </c>
      <c r="T179" s="34">
        <v>-11.371580590685911</v>
      </c>
      <c r="U179" s="34">
        <v>-0.1113156003700623</v>
      </c>
      <c r="V179" s="34">
        <v>-0.31409999999999999</v>
      </c>
      <c r="W179" s="34">
        <v>89.731384000250216</v>
      </c>
      <c r="X179" s="34">
        <v>-12.162581073331911</v>
      </c>
      <c r="AF179" s="34">
        <v>0.25700000000000001</v>
      </c>
      <c r="AG179" s="34">
        <v>103.5433565533903</v>
      </c>
      <c r="AH179" s="34">
        <v>105.1720778023749</v>
      </c>
      <c r="AI179" s="34">
        <v>-1.6287212489845471</v>
      </c>
      <c r="AJ179" s="34">
        <v>-1.5486251512925511E-2</v>
      </c>
      <c r="AK179" s="34">
        <v>-1.1501999999999999</v>
      </c>
      <c r="AL179" s="34">
        <v>102.0900294905226</v>
      </c>
      <c r="AM179" s="34">
        <v>-2.9304815272772839</v>
      </c>
    </row>
    <row r="180" spans="1:39" x14ac:dyDescent="0.25">
      <c r="A180" s="34" t="s">
        <v>424</v>
      </c>
      <c r="B180" s="34" t="s">
        <v>425</v>
      </c>
      <c r="C180" s="34">
        <v>1.1748000000000001</v>
      </c>
      <c r="D180" s="34">
        <v>114.6471832715056</v>
      </c>
      <c r="E180" s="34">
        <v>114.6471832715056</v>
      </c>
      <c r="F180" s="34">
        <v>58938.05</v>
      </c>
      <c r="G180" s="35">
        <v>0.4229</v>
      </c>
      <c r="H180" s="34">
        <v>113.7951606621024</v>
      </c>
      <c r="I180" s="35">
        <v>-0.36888647135134839</v>
      </c>
      <c r="Q180" s="34">
        <v>-1.8759192485888969</v>
      </c>
      <c r="R180" s="34">
        <v>89.08158962101885</v>
      </c>
      <c r="S180" s="34">
        <v>102.15621667476741</v>
      </c>
      <c r="T180" s="34">
        <v>-13.07462705374857</v>
      </c>
      <c r="U180" s="34">
        <v>-0.127986602081927</v>
      </c>
      <c r="V180" s="34">
        <v>-2.1488</v>
      </c>
      <c r="W180" s="34">
        <v>88.833855823906774</v>
      </c>
      <c r="X180" s="34">
        <v>-13.04116507493104</v>
      </c>
      <c r="AF180" s="34">
        <v>-0.70109999999999995</v>
      </c>
      <c r="AG180" s="34">
        <v>102.8174140805945</v>
      </c>
      <c r="AH180" s="34">
        <v>105.1720778023749</v>
      </c>
      <c r="AI180" s="34">
        <v>-2.3546637217803692</v>
      </c>
      <c r="AJ180" s="34">
        <v>-2.2388677403568411E-2</v>
      </c>
      <c r="AK180" s="34">
        <v>-0.87670000000000003</v>
      </c>
      <c r="AL180" s="34">
        <v>102.6355919464868</v>
      </c>
      <c r="AM180" s="34">
        <v>-2.41174835459117</v>
      </c>
    </row>
    <row r="181" spans="1:39" x14ac:dyDescent="0.25">
      <c r="A181" s="34" t="s">
        <v>425</v>
      </c>
      <c r="B181" s="34" t="s">
        <v>426</v>
      </c>
      <c r="C181" s="34">
        <v>8.8700000000000001E-2</v>
      </c>
      <c r="D181" s="34">
        <v>114.7488753230674</v>
      </c>
      <c r="E181" s="34">
        <v>114.7488753230674</v>
      </c>
      <c r="F181" s="34">
        <v>59640.3</v>
      </c>
      <c r="G181" s="35">
        <v>-0.42980000000000002</v>
      </c>
      <c r="H181" s="34">
        <v>114.1544296778046</v>
      </c>
      <c r="I181" s="35">
        <v>-0.4298000000000024</v>
      </c>
      <c r="Q181" s="34">
        <v>-0.1079211781526572</v>
      </c>
      <c r="R181" s="34">
        <v>88.985451719982734</v>
      </c>
      <c r="S181" s="34">
        <v>102.15621667476741</v>
      </c>
      <c r="T181" s="34">
        <v>-13.170764954784691</v>
      </c>
      <c r="U181" s="34">
        <v>-0.12892768921460909</v>
      </c>
      <c r="V181" s="34">
        <v>-0.59420000000000006</v>
      </c>
      <c r="W181" s="34">
        <v>88.552266815490754</v>
      </c>
      <c r="X181" s="34">
        <v>-13.316810569235621</v>
      </c>
      <c r="AF181" s="34">
        <v>-1.9199999999999998E-2</v>
      </c>
      <c r="AG181" s="34">
        <v>102.797673137091</v>
      </c>
      <c r="AH181" s="34">
        <v>105.1720778023749</v>
      </c>
      <c r="AI181" s="34">
        <v>-2.374404665283834</v>
      </c>
      <c r="AJ181" s="34">
        <v>-2.2576378777506831E-2</v>
      </c>
      <c r="AK181" s="34">
        <v>-0.1081</v>
      </c>
      <c r="AL181" s="34">
        <v>102.7062684559734</v>
      </c>
      <c r="AM181" s="34">
        <v>-2.34454752432951</v>
      </c>
    </row>
    <row r="182" spans="1:39" x14ac:dyDescent="0.25">
      <c r="A182" s="34" t="s">
        <v>426</v>
      </c>
      <c r="B182" s="34" t="s">
        <v>427</v>
      </c>
      <c r="C182" s="34">
        <v>0.72970000000000002</v>
      </c>
      <c r="D182" s="34">
        <v>115.5861978662998</v>
      </c>
      <c r="E182" s="34">
        <v>115.5861978662998</v>
      </c>
      <c r="F182" s="34">
        <v>59752.85</v>
      </c>
      <c r="G182" s="35">
        <v>-2.3605</v>
      </c>
      <c r="H182" s="34">
        <v>112.04022812106641</v>
      </c>
      <c r="I182" s="35">
        <v>-2.3604999999999992</v>
      </c>
      <c r="Q182" s="34">
        <v>-1.5570849037830681</v>
      </c>
      <c r="R182" s="34">
        <v>87.59987268468771</v>
      </c>
      <c r="S182" s="34">
        <v>102.15621667476741</v>
      </c>
      <c r="T182" s="34">
        <v>-14.556343990079711</v>
      </c>
      <c r="U182" s="34">
        <v>-0.14249102466688279</v>
      </c>
      <c r="V182" s="34">
        <v>-1.7722</v>
      </c>
      <c r="W182" s="34">
        <v>87.408451544601192</v>
      </c>
      <c r="X182" s="34">
        <v>-14.43648327063479</v>
      </c>
      <c r="AF182" s="34">
        <v>-0.82740000000000002</v>
      </c>
      <c r="AG182" s="34">
        <v>101.9471251895548</v>
      </c>
      <c r="AH182" s="34">
        <v>105.1720778023749</v>
      </c>
      <c r="AI182" s="34">
        <v>-3.2249526128201178</v>
      </c>
      <c r="AJ182" s="34">
        <v>-3.0663581819501681E-2</v>
      </c>
      <c r="AK182" s="34">
        <v>-2.4628000000000001</v>
      </c>
      <c r="AL182" s="34">
        <v>100.2659720430708</v>
      </c>
      <c r="AM182" s="34">
        <v>-4.664836772097436</v>
      </c>
    </row>
    <row r="183" spans="1:39" x14ac:dyDescent="0.25">
      <c r="A183" s="34" t="s">
        <v>427</v>
      </c>
      <c r="B183" s="34" t="s">
        <v>428</v>
      </c>
      <c r="C183" s="34">
        <v>0.34239999999999998</v>
      </c>
      <c r="D183" s="34">
        <v>115.981965007794</v>
      </c>
      <c r="E183" s="34">
        <v>115.981965007794</v>
      </c>
      <c r="F183" s="34">
        <v>60208.800000000003</v>
      </c>
      <c r="G183" s="35">
        <v>1.9599999999999999E-2</v>
      </c>
      <c r="H183" s="34">
        <v>115.60885276108159</v>
      </c>
      <c r="I183" s="35">
        <v>1.96000000000085E-2</v>
      </c>
      <c r="Q183" s="34">
        <v>-1.1616477873052371</v>
      </c>
      <c r="R183" s="34">
        <v>86.582270701963822</v>
      </c>
      <c r="S183" s="34">
        <v>102.15621667476741</v>
      </c>
      <c r="T183" s="34">
        <v>-15.5739459728036</v>
      </c>
      <c r="U183" s="34">
        <v>-0.15245225870478391</v>
      </c>
      <c r="V183" s="34">
        <v>-1.3599000000000001</v>
      </c>
      <c r="W183" s="34">
        <v>86.408602016048647</v>
      </c>
      <c r="X183" s="34">
        <v>-15.415228922243781</v>
      </c>
      <c r="AF183" s="34">
        <v>-0.81920000000000004</v>
      </c>
      <c r="AG183" s="34">
        <v>101.11197434000189</v>
      </c>
      <c r="AH183" s="34">
        <v>105.1720778023749</v>
      </c>
      <c r="AI183" s="34">
        <v>-4.0601034623729504</v>
      </c>
      <c r="AJ183" s="34">
        <v>-3.860438575723632E-2</v>
      </c>
      <c r="AK183" s="34">
        <v>-0.81920000000000004</v>
      </c>
      <c r="AL183" s="34">
        <v>101.11197434000189</v>
      </c>
      <c r="AM183" s="34">
        <v>-3.8604385757236348</v>
      </c>
    </row>
    <row r="184" spans="1:39" x14ac:dyDescent="0.25">
      <c r="A184" s="34" t="s">
        <v>428</v>
      </c>
      <c r="B184" s="34" t="s">
        <v>429</v>
      </c>
      <c r="C184" s="34">
        <v>-0.2767</v>
      </c>
      <c r="D184" s="34">
        <v>115.6610429106175</v>
      </c>
      <c r="E184" s="34">
        <v>115.981965007794</v>
      </c>
      <c r="F184" s="34">
        <v>60465.15</v>
      </c>
      <c r="G184" s="35">
        <v>-1.1335</v>
      </c>
      <c r="H184" s="34">
        <v>114.66730943443071</v>
      </c>
      <c r="I184" s="35">
        <v>-1.133499999999998</v>
      </c>
      <c r="Q184" s="34">
        <v>0.63893647744686899</v>
      </c>
      <c r="R184" s="34">
        <v>87.135476412480457</v>
      </c>
      <c r="S184" s="34">
        <v>102.15621667476741</v>
      </c>
      <c r="T184" s="34">
        <v>-15.02074026228696</v>
      </c>
      <c r="U184" s="34">
        <v>-0.1470369670218718</v>
      </c>
      <c r="V184" s="34">
        <v>-1.1457999999999999</v>
      </c>
      <c r="W184" s="34">
        <v>85.590211044260727</v>
      </c>
      <c r="X184" s="34">
        <v>-16.216346072454439</v>
      </c>
      <c r="AF184" s="34">
        <v>0.36220000000000002</v>
      </c>
      <c r="AG184" s="34">
        <v>101.4782019110614</v>
      </c>
      <c r="AH184" s="34">
        <v>105.1720778023749</v>
      </c>
      <c r="AI184" s="34">
        <v>-3.6938758913134682</v>
      </c>
      <c r="AJ184" s="34">
        <v>-3.512221084244907E-2</v>
      </c>
      <c r="AK184" s="34">
        <v>-0.79690000000000005</v>
      </c>
      <c r="AL184" s="34">
        <v>100.3062130164865</v>
      </c>
      <c r="AM184" s="34">
        <v>-4.6265747407136848</v>
      </c>
    </row>
    <row r="185" spans="1:39" x14ac:dyDescent="0.25">
      <c r="A185" s="34" t="s">
        <v>429</v>
      </c>
      <c r="B185" s="34" t="s">
        <v>430</v>
      </c>
      <c r="C185" s="34">
        <v>-2.2136999999999998</v>
      </c>
      <c r="D185" s="34">
        <v>113.10065440370509</v>
      </c>
      <c r="E185" s="34">
        <v>115.981965007794</v>
      </c>
      <c r="F185" s="34">
        <v>60358.3</v>
      </c>
      <c r="G185" s="35">
        <v>-5.9508999999999999</v>
      </c>
      <c r="H185" s="34">
        <v>108.77816990804951</v>
      </c>
      <c r="I185" s="35">
        <v>-6.2111338596999914</v>
      </c>
      <c r="Q185" s="34">
        <v>3.1428194860622791</v>
      </c>
      <c r="R185" s="34">
        <v>89.873987144445096</v>
      </c>
      <c r="S185" s="34">
        <v>102.15621667476741</v>
      </c>
      <c r="T185" s="34">
        <v>-12.282229530322329</v>
      </c>
      <c r="U185" s="34">
        <v>-0.12022987861252731</v>
      </c>
      <c r="V185" s="34">
        <v>0.53800000000000003</v>
      </c>
      <c r="W185" s="34">
        <v>87.604265275579593</v>
      </c>
      <c r="X185" s="34">
        <v>-14.24480259044495</v>
      </c>
      <c r="AF185" s="34">
        <v>0.92910000000000004</v>
      </c>
      <c r="AG185" s="34">
        <v>102.4210358850171</v>
      </c>
      <c r="AH185" s="34">
        <v>105.1720778023749</v>
      </c>
      <c r="AI185" s="34">
        <v>-2.7510419173577958</v>
      </c>
      <c r="AJ185" s="34">
        <v>-2.6157531303386258E-2</v>
      </c>
      <c r="AK185" s="34">
        <v>-2.0390000000000001</v>
      </c>
      <c r="AL185" s="34">
        <v>99.409061374094861</v>
      </c>
      <c r="AM185" s="34">
        <v>-5.4796068963371516</v>
      </c>
    </row>
    <row r="186" spans="1:39" x14ac:dyDescent="0.25">
      <c r="A186" s="34" t="s">
        <v>430</v>
      </c>
      <c r="B186" s="34" t="s">
        <v>431</v>
      </c>
      <c r="C186" s="34">
        <v>0.47420000000000001</v>
      </c>
      <c r="D186" s="34">
        <v>113.63697770688751</v>
      </c>
      <c r="E186" s="34">
        <v>115.981965007794</v>
      </c>
      <c r="F186" s="34">
        <v>59102.65</v>
      </c>
      <c r="G186" s="35">
        <v>-0.50090000000000001</v>
      </c>
      <c r="H186" s="34">
        <v>112.53413322579701</v>
      </c>
      <c r="I186" s="35">
        <v>-2.972730960167258</v>
      </c>
      <c r="Q186" s="34">
        <v>0.61124131623031819</v>
      </c>
      <c r="R186" s="34">
        <v>90.423334086415466</v>
      </c>
      <c r="S186" s="34">
        <v>102.15621667476741</v>
      </c>
      <c r="T186" s="34">
        <v>-11.732882588351959</v>
      </c>
      <c r="U186" s="34">
        <v>-0.1148523601427575</v>
      </c>
      <c r="V186" s="34">
        <v>-1.18</v>
      </c>
      <c r="W186" s="34">
        <v>88.813474096140638</v>
      </c>
      <c r="X186" s="34">
        <v>-13.06111660448995</v>
      </c>
      <c r="AF186" s="34">
        <v>1.0853999999999999</v>
      </c>
      <c r="AG186" s="34">
        <v>103.53271380851299</v>
      </c>
      <c r="AH186" s="34">
        <v>105.1720778023749</v>
      </c>
      <c r="AI186" s="34">
        <v>-1.639363993861835</v>
      </c>
      <c r="AJ186" s="34">
        <v>-1.5587445148153351E-2</v>
      </c>
      <c r="AK186" s="34">
        <v>-0.28649999999999998</v>
      </c>
      <c r="AL186" s="34">
        <v>102.1275996172065</v>
      </c>
      <c r="AM186" s="34">
        <v>-2.8947589976202059</v>
      </c>
    </row>
    <row r="187" spans="1:39" x14ac:dyDescent="0.25">
      <c r="A187" s="34" t="s">
        <v>431</v>
      </c>
      <c r="B187" s="34" t="s">
        <v>432</v>
      </c>
      <c r="C187" s="34">
        <v>-5.0252999999999997</v>
      </c>
      <c r="D187" s="34">
        <v>107.9263786661833</v>
      </c>
      <c r="E187" s="34">
        <v>115.981965007794</v>
      </c>
      <c r="F187" s="34">
        <v>59451.85</v>
      </c>
      <c r="G187" s="35">
        <v>-6.5136000000000003</v>
      </c>
      <c r="H187" s="34">
        <v>106.2351195269717</v>
      </c>
      <c r="I187" s="35">
        <v>-8.4037595674183905</v>
      </c>
      <c r="Q187" s="34">
        <v>2.9017311874031391</v>
      </c>
      <c r="R187" s="34">
        <v>93.047176172290705</v>
      </c>
      <c r="S187" s="34">
        <v>102.15621667476741</v>
      </c>
      <c r="T187" s="34">
        <v>-9.1090405024767165</v>
      </c>
      <c r="U187" s="34">
        <v>-8.9167755022457176E-2</v>
      </c>
      <c r="V187" s="34">
        <v>-0.14899999999999999</v>
      </c>
      <c r="W187" s="34">
        <v>90.288603318626713</v>
      </c>
      <c r="X187" s="34">
        <v>-11.617123012614471</v>
      </c>
      <c r="AF187" s="34">
        <v>-2.1236000000000002</v>
      </c>
      <c r="AG187" s="34">
        <v>101.3340930980755</v>
      </c>
      <c r="AH187" s="34">
        <v>105.1720778023749</v>
      </c>
      <c r="AI187" s="34">
        <v>-3.8379847042994162</v>
      </c>
      <c r="AJ187" s="34">
        <v>-3.6492430162987137E-2</v>
      </c>
      <c r="AK187" s="34">
        <v>-3.4944999999999999</v>
      </c>
      <c r="AL187" s="34">
        <v>99.914763124474547</v>
      </c>
      <c r="AM187" s="34">
        <v>-4.9987741877451146</v>
      </c>
    </row>
    <row r="188" spans="1:39" x14ac:dyDescent="0.25">
      <c r="A188" s="34" t="s">
        <v>432</v>
      </c>
      <c r="B188" s="34" t="s">
        <v>433</v>
      </c>
      <c r="C188" s="34">
        <v>-0.46039999999999998</v>
      </c>
      <c r="D188" s="34">
        <v>107.42948561880419</v>
      </c>
      <c r="E188" s="34">
        <v>115.981965007794</v>
      </c>
      <c r="F188" s="34">
        <v>56533.55</v>
      </c>
      <c r="G188" s="35">
        <v>-3.2031000000000001</v>
      </c>
      <c r="H188" s="34">
        <v>104.46938883112681</v>
      </c>
      <c r="I188" s="35">
        <v>-9.9261778983427469</v>
      </c>
      <c r="Q188" s="34">
        <v>1.190071821734771</v>
      </c>
      <c r="R188" s="34">
        <v>94.154504396837041</v>
      </c>
      <c r="S188" s="34">
        <v>102.15621667476741</v>
      </c>
      <c r="T188" s="34">
        <v>-8.0017122779303804</v>
      </c>
      <c r="U188" s="34">
        <v>-7.8328197131705274E-2</v>
      </c>
      <c r="V188" s="34">
        <v>-0.34560000000000002</v>
      </c>
      <c r="W188" s="34">
        <v>92.725605131439266</v>
      </c>
      <c r="X188" s="34">
        <v>-9.231559126109957</v>
      </c>
      <c r="AF188" s="34">
        <v>0.72970000000000002</v>
      </c>
      <c r="AG188" s="34">
        <v>102.07352797541211</v>
      </c>
      <c r="AH188" s="34">
        <v>105.1720778023749</v>
      </c>
      <c r="AI188" s="34">
        <v>-3.0985498269627532</v>
      </c>
      <c r="AJ188" s="34">
        <v>-2.9461715425886398E-2</v>
      </c>
      <c r="AK188" s="34">
        <v>-0.69299999999999995</v>
      </c>
      <c r="AL188" s="34">
        <v>100.63184783290581</v>
      </c>
      <c r="AM188" s="34">
        <v>-4.3169537621957632</v>
      </c>
    </row>
    <row r="189" spans="1:39" x14ac:dyDescent="0.25">
      <c r="A189" s="34" t="s">
        <v>433</v>
      </c>
      <c r="B189" s="34" t="s">
        <v>434</v>
      </c>
      <c r="C189" s="34">
        <v>1.6877</v>
      </c>
      <c r="D189" s="34">
        <v>109.2425730475927</v>
      </c>
      <c r="E189" s="34">
        <v>115.981965007794</v>
      </c>
      <c r="F189" s="34">
        <v>56339.25</v>
      </c>
      <c r="G189" s="35">
        <v>-2.1354000000000002</v>
      </c>
      <c r="H189" s="34">
        <v>105.1354363829002</v>
      </c>
      <c r="I189" s="35">
        <v>-9.3519096905841472</v>
      </c>
      <c r="Q189" s="34">
        <v>-5.7516479498456313E-2</v>
      </c>
      <c r="R189" s="34">
        <v>94.100350040618764</v>
      </c>
      <c r="S189" s="34">
        <v>102.15621667476741</v>
      </c>
      <c r="T189" s="34">
        <v>-8.0558666341486571</v>
      </c>
      <c r="U189" s="34">
        <v>-7.8858310305245038E-2</v>
      </c>
      <c r="V189" s="34">
        <v>-0.57499999999999996</v>
      </c>
      <c r="W189" s="34">
        <v>93.613115996555223</v>
      </c>
      <c r="X189" s="34">
        <v>-8.3627809998197975</v>
      </c>
      <c r="AF189" s="34">
        <v>1.6302000000000001</v>
      </c>
      <c r="AG189" s="34">
        <v>103.7375306284673</v>
      </c>
      <c r="AH189" s="34">
        <v>105.1720778023749</v>
      </c>
      <c r="AI189" s="34">
        <v>-1.434547173907575</v>
      </c>
      <c r="AJ189" s="34">
        <v>-1.364000031075911E-2</v>
      </c>
      <c r="AK189" s="34">
        <v>0.4103</v>
      </c>
      <c r="AL189" s="34">
        <v>102.4923356606952</v>
      </c>
      <c r="AM189" s="34">
        <v>-2.5479596844278811</v>
      </c>
    </row>
    <row r="190" spans="1:39" x14ac:dyDescent="0.25">
      <c r="A190" s="34" t="s">
        <v>434</v>
      </c>
      <c r="B190" s="34" t="s">
        <v>435</v>
      </c>
      <c r="C190" s="34">
        <v>-6.3147000000000002</v>
      </c>
      <c r="D190" s="34">
        <v>102.34423228735641</v>
      </c>
      <c r="E190" s="34">
        <v>115.981965007794</v>
      </c>
      <c r="F190" s="34">
        <v>57355.8</v>
      </c>
      <c r="G190" s="35">
        <v>-6.5946999999999996</v>
      </c>
      <c r="H190" s="34">
        <v>102.03835308282309</v>
      </c>
      <c r="I190" s="35">
        <v>-12.022224251877329</v>
      </c>
      <c r="Q190" s="34">
        <v>3.2568141300152549</v>
      </c>
      <c r="R190" s="34">
        <v>97.165023537135454</v>
      </c>
      <c r="S190" s="34">
        <v>102.15621667476741</v>
      </c>
      <c r="T190" s="34">
        <v>-4.9911931376319671</v>
      </c>
      <c r="U190" s="34">
        <v>-4.8858437597804963E-2</v>
      </c>
      <c r="V190" s="34">
        <v>-4.1500000000000002E-2</v>
      </c>
      <c r="W190" s="34">
        <v>94.061298395351898</v>
      </c>
      <c r="X190" s="34">
        <v>-7.9240584106468503</v>
      </c>
      <c r="AF190" s="34">
        <v>-3.0579000000000001</v>
      </c>
      <c r="AG190" s="34">
        <v>100.5653406793794</v>
      </c>
      <c r="AH190" s="34">
        <v>105.1720778023749</v>
      </c>
      <c r="AI190" s="34">
        <v>-4.606737122995483</v>
      </c>
      <c r="AJ190" s="34">
        <v>-4.3801902741256477E-2</v>
      </c>
      <c r="AK190" s="34">
        <v>-3.1553</v>
      </c>
      <c r="AL190" s="34">
        <v>100.4643003245473</v>
      </c>
      <c r="AM190" s="34">
        <v>-4.4762617380953662</v>
      </c>
    </row>
    <row r="191" spans="1:39" x14ac:dyDescent="0.25">
      <c r="A191" s="34" t="s">
        <v>435</v>
      </c>
      <c r="B191" s="34" t="s">
        <v>436</v>
      </c>
      <c r="C191" s="34">
        <v>1.2891999999999999</v>
      </c>
      <c r="D191" s="34">
        <v>103.663654130005</v>
      </c>
      <c r="E191" s="34">
        <v>115.981965007794</v>
      </c>
      <c r="F191" s="34">
        <v>53800.85</v>
      </c>
      <c r="G191" s="35">
        <v>-0.30730000000000002</v>
      </c>
      <c r="H191" s="34">
        <v>102.0297284615373</v>
      </c>
      <c r="I191" s="35">
        <v>-12.029660426359481</v>
      </c>
      <c r="Q191" s="34">
        <v>0.9720256122381844</v>
      </c>
      <c r="R191" s="34">
        <v>98.109492452053672</v>
      </c>
      <c r="S191" s="34">
        <v>102.15621667476741</v>
      </c>
      <c r="T191" s="34">
        <v>-4.046724222713749</v>
      </c>
      <c r="U191" s="34">
        <v>-3.9613098002613187E-2</v>
      </c>
      <c r="V191" s="34">
        <v>-1.0960000000000001</v>
      </c>
      <c r="W191" s="34">
        <v>96.100094879168452</v>
      </c>
      <c r="X191" s="34">
        <v>-5.9282949121733042</v>
      </c>
      <c r="AF191" s="34">
        <v>2.2612000000000001</v>
      </c>
      <c r="AG191" s="34">
        <v>102.8393241628215</v>
      </c>
      <c r="AH191" s="34">
        <v>105.1720778023749</v>
      </c>
      <c r="AI191" s="34">
        <v>-2.3327536395533461</v>
      </c>
      <c r="AJ191" s="34">
        <v>-2.218035136604166E-2</v>
      </c>
      <c r="AK191" s="34">
        <v>1.1839</v>
      </c>
      <c r="AL191" s="34">
        <v>101.7559337476826</v>
      </c>
      <c r="AM191" s="34">
        <v>-3.2481473467810158</v>
      </c>
    </row>
    <row r="192" spans="1:39" x14ac:dyDescent="0.25">
      <c r="A192" s="34" t="s">
        <v>436</v>
      </c>
      <c r="B192" s="34" t="s">
        <v>437</v>
      </c>
      <c r="C192" s="34">
        <v>0.80910000000000004</v>
      </c>
      <c r="D192" s="34">
        <v>104.5023967555709</v>
      </c>
      <c r="E192" s="34">
        <v>115.981965007794</v>
      </c>
      <c r="F192" s="34">
        <v>54548.25</v>
      </c>
      <c r="G192" s="35">
        <v>-1.1667000000000001</v>
      </c>
      <c r="H192" s="34">
        <v>102.45421027727021</v>
      </c>
      <c r="I192" s="35">
        <v>-11.66367092471209</v>
      </c>
      <c r="Q192" s="34">
        <v>-2.5307736462784618</v>
      </c>
      <c r="R192" s="34">
        <v>95.626563272579546</v>
      </c>
      <c r="S192" s="34">
        <v>102.15621667476741</v>
      </c>
      <c r="T192" s="34">
        <v>-6.5296534021878756</v>
      </c>
      <c r="U192" s="34">
        <v>-6.3918316620673168E-2</v>
      </c>
      <c r="V192" s="34">
        <v>-3.0472000000000001</v>
      </c>
      <c r="W192" s="34">
        <v>95.119899998054692</v>
      </c>
      <c r="X192" s="34">
        <v>-6.887800768027752</v>
      </c>
      <c r="AF192" s="34">
        <v>-1.7217</v>
      </c>
      <c r="AG192" s="34">
        <v>101.0687395187102</v>
      </c>
      <c r="AH192" s="34">
        <v>105.1720778023749</v>
      </c>
      <c r="AI192" s="34">
        <v>-4.103338283664641</v>
      </c>
      <c r="AJ192" s="34">
        <v>-3.9015472256572488E-2</v>
      </c>
      <c r="AK192" s="34">
        <v>-2.1452</v>
      </c>
      <c r="AL192" s="34">
        <v>100.63321498088069</v>
      </c>
      <c r="AM192" s="34">
        <v>-4.3156538468537287</v>
      </c>
    </row>
    <row r="193" spans="1:39" x14ac:dyDescent="0.25">
      <c r="A193" s="34" t="s">
        <v>437</v>
      </c>
      <c r="B193" s="34" t="s">
        <v>438</v>
      </c>
      <c r="C193" s="34">
        <v>1.5562</v>
      </c>
      <c r="D193" s="34">
        <v>106.1286630538811</v>
      </c>
      <c r="E193" s="34">
        <v>115.981965007794</v>
      </c>
      <c r="F193" s="34">
        <v>55016.85</v>
      </c>
      <c r="G193" s="35">
        <v>1.4534</v>
      </c>
      <c r="H193" s="34">
        <v>106.02123459001631</v>
      </c>
      <c r="I193" s="35">
        <v>-8.5881718050805134</v>
      </c>
      <c r="Q193" s="34">
        <v>-2.2821529034079622</v>
      </c>
      <c r="R193" s="34">
        <v>93.444218882425119</v>
      </c>
      <c r="S193" s="34">
        <v>102.15621667476741</v>
      </c>
      <c r="T193" s="34">
        <v>-8.7119977923423022</v>
      </c>
      <c r="U193" s="34">
        <v>-8.5281131936184598E-2</v>
      </c>
      <c r="V193" s="34">
        <v>-2.9403000000000001</v>
      </c>
      <c r="W193" s="34">
        <v>92.814855432675898</v>
      </c>
      <c r="X193" s="34">
        <v>-9.1441926357075367</v>
      </c>
      <c r="AF193" s="34">
        <v>-0.72599999999999998</v>
      </c>
      <c r="AG193" s="34">
        <v>100.33498046980441</v>
      </c>
      <c r="AH193" s="34">
        <v>105.1720778023749</v>
      </c>
      <c r="AI193" s="34">
        <v>-4.8370973325704796</v>
      </c>
      <c r="AJ193" s="34">
        <v>-4.5992219927989797E-2</v>
      </c>
      <c r="AK193" s="34">
        <v>-0.89810000000000001</v>
      </c>
      <c r="AL193" s="34">
        <v>100.1610411690927</v>
      </c>
      <c r="AM193" s="34">
        <v>-4.7646074300236148</v>
      </c>
    </row>
    <row r="194" spans="1:39" x14ac:dyDescent="0.25">
      <c r="A194" s="34" t="s">
        <v>438</v>
      </c>
      <c r="B194" s="34" t="s">
        <v>439</v>
      </c>
      <c r="C194" s="34">
        <v>0.63180000000000003</v>
      </c>
      <c r="D194" s="34">
        <v>106.7991839470555</v>
      </c>
      <c r="E194" s="34">
        <v>115.981965007794</v>
      </c>
      <c r="F194" s="34">
        <v>55900.55</v>
      </c>
      <c r="G194" s="35">
        <v>-0.44190000000000002</v>
      </c>
      <c r="H194" s="34">
        <v>105.659680491846</v>
      </c>
      <c r="I194" s="35">
        <v>-8.8999048388725086</v>
      </c>
      <c r="Q194" s="34">
        <v>-0.16142416573431481</v>
      </c>
      <c r="R194" s="34">
        <v>93.293377331667216</v>
      </c>
      <c r="S194" s="34">
        <v>102.15621667476741</v>
      </c>
      <c r="T194" s="34">
        <v>-8.8628393431002053</v>
      </c>
      <c r="U194" s="34">
        <v>-8.6757709237771E-2</v>
      </c>
      <c r="V194" s="34">
        <v>-0.74609999999999999</v>
      </c>
      <c r="W194" s="34">
        <v>92.747031565343335</v>
      </c>
      <c r="X194" s="34">
        <v>-9.2105849410808798</v>
      </c>
      <c r="AF194" s="34">
        <v>0.47039999999999998</v>
      </c>
      <c r="AG194" s="34">
        <v>100.8069562179344</v>
      </c>
      <c r="AH194" s="34">
        <v>105.1720778023749</v>
      </c>
      <c r="AI194" s="34">
        <v>-4.3651215844405158</v>
      </c>
      <c r="AJ194" s="34">
        <v>-4.1504567330531032E-2</v>
      </c>
      <c r="AK194" s="34">
        <v>4.9099999999999998E-2</v>
      </c>
      <c r="AL194" s="34">
        <v>100.3842449452151</v>
      </c>
      <c r="AM194" s="34">
        <v>-4.5523802107974358</v>
      </c>
    </row>
    <row r="195" spans="1:39" x14ac:dyDescent="0.25">
      <c r="A195" s="34" t="s">
        <v>439</v>
      </c>
      <c r="B195" s="34" t="s">
        <v>440</v>
      </c>
      <c r="C195" s="34">
        <v>3.1532</v>
      </c>
      <c r="D195" s="34">
        <v>110.16677581527399</v>
      </c>
      <c r="E195" s="34">
        <v>115.981965007794</v>
      </c>
      <c r="F195" s="34">
        <v>56272.35</v>
      </c>
      <c r="G195" s="35">
        <v>-0.3095</v>
      </c>
      <c r="H195" s="34">
        <v>106.46864047273939</v>
      </c>
      <c r="I195" s="35">
        <v>-8.2024171037414213</v>
      </c>
      <c r="Q195" s="34">
        <v>-0.337385529909495</v>
      </c>
      <c r="R195" s="34">
        <v>92.978618976186311</v>
      </c>
      <c r="S195" s="34">
        <v>102.15621667476741</v>
      </c>
      <c r="T195" s="34">
        <v>-9.1775976985811099</v>
      </c>
      <c r="U195" s="34">
        <v>-8.9838856579816703E-2</v>
      </c>
      <c r="V195" s="34">
        <v>-0.91280000000000006</v>
      </c>
      <c r="W195" s="34">
        <v>92.441795383383749</v>
      </c>
      <c r="X195" s="34">
        <v>-9.5093784867848701</v>
      </c>
      <c r="AF195" s="34">
        <v>2.8157999999999999</v>
      </c>
      <c r="AG195" s="34">
        <v>103.64547849111889</v>
      </c>
      <c r="AH195" s="34">
        <v>105.1720778023749</v>
      </c>
      <c r="AI195" s="34">
        <v>-1.526599311255936</v>
      </c>
      <c r="AJ195" s="34">
        <v>-1.4515252937424269E-2</v>
      </c>
      <c r="AK195" s="34">
        <v>1.3574999999999999</v>
      </c>
      <c r="AL195" s="34">
        <v>102.1754106485928</v>
      </c>
      <c r="AM195" s="34">
        <v>-2.849299183204312</v>
      </c>
    </row>
    <row r="196" spans="1:39" x14ac:dyDescent="0.25">
      <c r="A196" s="34" t="s">
        <v>440</v>
      </c>
      <c r="B196" s="34" t="s">
        <v>441</v>
      </c>
      <c r="C196" s="34">
        <v>0.54969999999999997</v>
      </c>
      <c r="D196" s="34">
        <v>110.77236258193059</v>
      </c>
      <c r="E196" s="34">
        <v>115.981965007794</v>
      </c>
      <c r="F196" s="34">
        <v>58112.4</v>
      </c>
      <c r="G196" s="35">
        <v>-0.1696</v>
      </c>
      <c r="H196" s="34">
        <v>109.97993296349129</v>
      </c>
      <c r="I196" s="35">
        <v>-5.1749701291053274</v>
      </c>
      <c r="Q196" s="34">
        <v>-0.75099775415909709</v>
      </c>
      <c r="R196" s="34">
        <v>92.280351635827003</v>
      </c>
      <c r="S196" s="34">
        <v>102.15621667476741</v>
      </c>
      <c r="T196" s="34">
        <v>-9.8758650389404181</v>
      </c>
      <c r="U196" s="34">
        <v>-9.6674146326131083E-2</v>
      </c>
      <c r="V196" s="34">
        <v>-1.5057</v>
      </c>
      <c r="W196" s="34">
        <v>91.57863991026187</v>
      </c>
      <c r="X196" s="34">
        <v>-10.354315291629449</v>
      </c>
      <c r="AF196" s="34">
        <v>-0.20130000000000001</v>
      </c>
      <c r="AG196" s="34">
        <v>103.4368401429163</v>
      </c>
      <c r="AH196" s="34">
        <v>105.1720778023749</v>
      </c>
      <c r="AI196" s="34">
        <v>-1.7352376594585619</v>
      </c>
      <c r="AJ196" s="34">
        <v>-1.6499033733261271E-2</v>
      </c>
      <c r="AK196" s="34">
        <v>-0.82689999999999997</v>
      </c>
      <c r="AL196" s="34">
        <v>102.78843402947589</v>
      </c>
      <c r="AM196" s="34">
        <v>-2.266422631088461</v>
      </c>
    </row>
    <row r="197" spans="1:39" x14ac:dyDescent="0.25">
      <c r="A197" s="34" t="s">
        <v>441</v>
      </c>
      <c r="B197" s="34" t="s">
        <v>442</v>
      </c>
      <c r="C197" s="34">
        <v>1.3568</v>
      </c>
      <c r="D197" s="34">
        <v>112.27532199744221</v>
      </c>
      <c r="E197" s="34">
        <v>115.981965007794</v>
      </c>
      <c r="F197" s="34">
        <v>58441.55</v>
      </c>
      <c r="G197" s="35">
        <v>-0.24590000000000001</v>
      </c>
      <c r="H197" s="34">
        <v>110.4999733423416</v>
      </c>
      <c r="I197" s="35">
        <v>-4.7265897461592594</v>
      </c>
      <c r="Q197" s="34">
        <v>0.45571546518592859</v>
      </c>
      <c r="R197" s="34">
        <v>92.700887469559419</v>
      </c>
      <c r="S197" s="34">
        <v>102.15621667476741</v>
      </c>
      <c r="T197" s="34">
        <v>-9.4553292052080025</v>
      </c>
      <c r="U197" s="34">
        <v>-9.2557550709916489E-2</v>
      </c>
      <c r="V197" s="34">
        <v>-0.50870000000000004</v>
      </c>
      <c r="W197" s="34">
        <v>91.810921487055552</v>
      </c>
      <c r="X197" s="34">
        <v>-10.126936494377</v>
      </c>
      <c r="AF197" s="34">
        <v>1.8125</v>
      </c>
      <c r="AG197" s="34">
        <v>105.3116328705067</v>
      </c>
      <c r="AH197" s="34">
        <v>105.3116328705067</v>
      </c>
      <c r="AI197" s="34"/>
      <c r="AJ197" s="34">
        <v>0</v>
      </c>
      <c r="AK197" s="34">
        <v>0.60429999999999995</v>
      </c>
      <c r="AL197" s="34">
        <v>104.0619089679</v>
      </c>
      <c r="AM197" s="34">
        <v>-1.055573739411142</v>
      </c>
    </row>
    <row r="198" spans="1:39" x14ac:dyDescent="0.25">
      <c r="A198" s="34" t="s">
        <v>442</v>
      </c>
      <c r="B198" s="34" t="s">
        <v>443</v>
      </c>
      <c r="C198" s="34">
        <v>-1.0774999999999999</v>
      </c>
      <c r="D198" s="34">
        <v>111.0655554029198</v>
      </c>
      <c r="E198" s="34">
        <v>115.981965007794</v>
      </c>
      <c r="F198" s="34">
        <v>59292.95</v>
      </c>
      <c r="G198" s="35">
        <v>-2.1928000000000001</v>
      </c>
      <c r="H198" s="34">
        <v>109.8133487366823</v>
      </c>
      <c r="I198" s="35">
        <v>-5.3185995518330698</v>
      </c>
      <c r="Q198" s="34">
        <v>1.6595784398866971</v>
      </c>
      <c r="R198" s="34">
        <v>94.239331411587841</v>
      </c>
      <c r="S198" s="34">
        <v>102.15621667476741</v>
      </c>
      <c r="T198" s="34">
        <v>-7.9168852631795801</v>
      </c>
      <c r="U198" s="34">
        <v>-7.7497831467118639E-2</v>
      </c>
      <c r="V198" s="34">
        <v>-0.44990000000000002</v>
      </c>
      <c r="W198" s="34">
        <v>92.28382617683387</v>
      </c>
      <c r="X198" s="34">
        <v>-9.6640134289272535</v>
      </c>
      <c r="AF198" s="34">
        <v>0.58209999999999995</v>
      </c>
      <c r="AG198" s="34">
        <v>105.9246518854459</v>
      </c>
      <c r="AH198" s="34">
        <v>105.9246518854459</v>
      </c>
      <c r="AI198" s="34"/>
      <c r="AJ198" s="34">
        <v>0</v>
      </c>
      <c r="AK198" s="34">
        <v>-0.25459999999999999</v>
      </c>
      <c r="AL198" s="34">
        <v>105.04350945321831</v>
      </c>
      <c r="AM198" s="34">
        <v>-0.25459999999999372</v>
      </c>
    </row>
    <row r="199" spans="1:39" x14ac:dyDescent="0.25">
      <c r="A199" s="34" t="s">
        <v>443</v>
      </c>
      <c r="B199" s="34" t="s">
        <v>444</v>
      </c>
      <c r="C199" s="34">
        <v>-2.9359000000000002</v>
      </c>
      <c r="D199" s="34">
        <v>107.8047817618455</v>
      </c>
      <c r="E199" s="34">
        <v>115.981965007794</v>
      </c>
      <c r="F199" s="34">
        <v>58723.25</v>
      </c>
      <c r="G199" s="35">
        <v>-3.5596000000000001</v>
      </c>
      <c r="H199" s="34">
        <v>107.1120658927975</v>
      </c>
      <c r="I199" s="35">
        <v>-7.6476537661700377</v>
      </c>
      <c r="Q199" s="34">
        <v>2.486688417011552</v>
      </c>
      <c r="R199" s="34">
        <v>96.582769950068936</v>
      </c>
      <c r="S199" s="34">
        <v>102.15621667476741</v>
      </c>
      <c r="T199" s="34">
        <v>-5.5734467246984849</v>
      </c>
      <c r="U199" s="34">
        <v>-5.455807689553098E-2</v>
      </c>
      <c r="V199" s="34">
        <v>0.75090000000000001</v>
      </c>
      <c r="W199" s="34">
        <v>94.946974551157453</v>
      </c>
      <c r="X199" s="34">
        <v>-7.0570762683605288</v>
      </c>
      <c r="AF199" s="34">
        <v>-0.44919999999999999</v>
      </c>
      <c r="AG199" s="34">
        <v>105.4488383491765</v>
      </c>
      <c r="AH199" s="34">
        <v>105.9246518854459</v>
      </c>
      <c r="AI199" s="34">
        <v>-0.47581353626942757</v>
      </c>
      <c r="AJ199" s="34">
        <v>-4.4920000000000437E-3</v>
      </c>
      <c r="AK199" s="34">
        <v>-0.44919999999999999</v>
      </c>
      <c r="AL199" s="34">
        <v>105.4488383491765</v>
      </c>
      <c r="AM199" s="34">
        <v>-0.44920000000000521</v>
      </c>
    </row>
    <row r="200" spans="1:39" x14ac:dyDescent="0.25">
      <c r="A200" s="34" t="s">
        <v>444</v>
      </c>
      <c r="B200" s="34" t="s">
        <v>254</v>
      </c>
      <c r="C200" s="34">
        <v>0.13139999999999999</v>
      </c>
      <c r="D200" s="34">
        <v>107.9464372450805</v>
      </c>
      <c r="E200" s="34">
        <v>115.981965007794</v>
      </c>
      <c r="F200" s="34">
        <v>57057.9</v>
      </c>
      <c r="G200" s="35">
        <v>-1.1353</v>
      </c>
      <c r="H200" s="34">
        <v>106.5808740745033</v>
      </c>
      <c r="I200" s="35">
        <v>-8.1056489538343541</v>
      </c>
      <c r="Q200" s="34">
        <v>0.6456602318392255</v>
      </c>
      <c r="R200" s="34">
        <v>97.206366486445305</v>
      </c>
      <c r="S200" s="34">
        <v>102.15621667476741</v>
      </c>
      <c r="T200" s="34">
        <v>-4.9498501883221167</v>
      </c>
      <c r="U200" s="34">
        <v>-4.8453734382909362E-2</v>
      </c>
      <c r="V200" s="34">
        <v>-0.67389999999999994</v>
      </c>
      <c r="W200" s="34">
        <v>95.931898663375421</v>
      </c>
      <c r="X200" s="34">
        <v>-6.0929410015332044</v>
      </c>
      <c r="AF200" s="34">
        <v>0.77710000000000001</v>
      </c>
      <c r="AG200" s="34">
        <v>106.2682812719879</v>
      </c>
      <c r="AH200" s="34">
        <v>106.2682812719879</v>
      </c>
      <c r="AI200" s="34"/>
      <c r="AJ200" s="34">
        <v>0</v>
      </c>
      <c r="AK200" s="34">
        <v>-0.214</v>
      </c>
      <c r="AL200" s="34">
        <v>105.2231778351092</v>
      </c>
      <c r="AM200" s="34">
        <v>-0.66223871200000728</v>
      </c>
    </row>
    <row r="201" spans="1:39" x14ac:dyDescent="0.25">
      <c r="A201" s="34" t="s">
        <v>256</v>
      </c>
      <c r="B201" s="34" t="s">
        <v>445</v>
      </c>
      <c r="C201" s="34">
        <v>0.65390000000000004</v>
      </c>
      <c r="D201" s="34">
        <v>100.65389999999999</v>
      </c>
      <c r="E201" s="34">
        <v>100.65389999999999</v>
      </c>
      <c r="F201" s="34">
        <v>51672.25</v>
      </c>
      <c r="G201" s="35">
        <v>-1.5891999999999999</v>
      </c>
      <c r="H201" s="34">
        <v>98.410799999999995</v>
      </c>
      <c r="I201" s="35">
        <v>-1.5892000000000019</v>
      </c>
      <c r="Q201" s="34">
        <v>0.86503240948410565</v>
      </c>
      <c r="R201" s="34">
        <v>100.8650324094841</v>
      </c>
      <c r="S201" s="34">
        <v>100.8650324094841</v>
      </c>
      <c r="T201" s="34"/>
      <c r="U201" s="34">
        <v>0</v>
      </c>
      <c r="V201" s="34">
        <v>-9.7200000000000009E-2</v>
      </c>
      <c r="W201" s="34">
        <v>99.902799999999999</v>
      </c>
      <c r="X201" s="34">
        <v>-9.7199999999997289E-2</v>
      </c>
      <c r="AF201" s="34">
        <v>1.5188999999999999</v>
      </c>
      <c r="AG201" s="34">
        <v>101.5189</v>
      </c>
      <c r="AH201" s="34">
        <v>101.5189</v>
      </c>
      <c r="AI201" s="34"/>
      <c r="AJ201" s="34">
        <v>0</v>
      </c>
      <c r="AK201" s="34">
        <v>-0.28029999999999999</v>
      </c>
      <c r="AL201" s="34">
        <v>99.719700000000003</v>
      </c>
      <c r="AM201" s="34">
        <v>-0.28029999999999999</v>
      </c>
    </row>
    <row r="202" spans="1:39" x14ac:dyDescent="0.25">
      <c r="A202" s="34" t="s">
        <v>445</v>
      </c>
      <c r="B202" s="34" t="s">
        <v>446</v>
      </c>
      <c r="C202" s="34">
        <v>-4.3555999999999999</v>
      </c>
      <c r="D202" s="34">
        <v>96.269818731599997</v>
      </c>
      <c r="E202" s="34">
        <v>100.65389999999999</v>
      </c>
      <c r="F202" s="34">
        <v>52053.2</v>
      </c>
      <c r="G202" s="35">
        <v>-9.8469999999999995</v>
      </c>
      <c r="H202" s="34">
        <v>90.742510467000002</v>
      </c>
      <c r="I202" s="35">
        <v>-9.8470000000000049</v>
      </c>
      <c r="Q202" s="34">
        <v>3.566293150925647</v>
      </c>
      <c r="R202" s="34">
        <v>104.46217515198251</v>
      </c>
      <c r="S202" s="34">
        <v>104.46217515198251</v>
      </c>
      <c r="T202" s="34"/>
      <c r="U202" s="34">
        <v>0</v>
      </c>
      <c r="V202" s="34">
        <v>0.14680000000000001</v>
      </c>
      <c r="W202" s="34">
        <v>101.01310227706119</v>
      </c>
      <c r="X202" s="34">
        <v>0.14680000000000251</v>
      </c>
      <c r="AF202" s="34">
        <v>-0.7893</v>
      </c>
      <c r="AG202" s="34">
        <v>100.7176113223</v>
      </c>
      <c r="AH202" s="34">
        <v>101.5189</v>
      </c>
      <c r="AI202" s="34">
        <v>-0.80128867770000056</v>
      </c>
      <c r="AJ202" s="34">
        <v>-7.8930000000000059E-3</v>
      </c>
      <c r="AK202" s="34">
        <v>-3.1025</v>
      </c>
      <c r="AL202" s="34">
        <v>98.369276127499987</v>
      </c>
      <c r="AM202" s="34">
        <v>-3.1024999999999969</v>
      </c>
    </row>
    <row r="203" spans="1:39" x14ac:dyDescent="0.25">
      <c r="A203" s="34" t="s">
        <v>446</v>
      </c>
      <c r="B203" s="34" t="s">
        <v>447</v>
      </c>
      <c r="C203" s="34">
        <v>1.2813000000000001</v>
      </c>
      <c r="D203" s="34">
        <v>97.503323919007983</v>
      </c>
      <c r="E203" s="34">
        <v>100.65389999999999</v>
      </c>
      <c r="F203" s="34">
        <v>49838</v>
      </c>
      <c r="G203" s="35">
        <v>-1.8869</v>
      </c>
      <c r="H203" s="34">
        <v>94.45330352195343</v>
      </c>
      <c r="I203" s="35">
        <v>-6.160314183600013</v>
      </c>
      <c r="Q203" s="34">
        <v>-1.661352911028428</v>
      </c>
      <c r="R203" s="34">
        <v>102.7266897641714</v>
      </c>
      <c r="S203" s="34">
        <v>104.46217515198251</v>
      </c>
      <c r="T203" s="34">
        <v>-1.735485387811067</v>
      </c>
      <c r="U203" s="34">
        <v>-1.66135291102842E-2</v>
      </c>
      <c r="V203" s="34">
        <v>-2.3212000000000002</v>
      </c>
      <c r="W203" s="34">
        <v>102.0373991423546</v>
      </c>
      <c r="X203" s="34">
        <v>-2.321200000000001</v>
      </c>
      <c r="AF203" s="34">
        <v>-0.38009999999999999</v>
      </c>
      <c r="AG203" s="34">
        <v>100.33478368166389</v>
      </c>
      <c r="AH203" s="34">
        <v>101.5189</v>
      </c>
      <c r="AI203" s="34">
        <v>-1.1841163183360659</v>
      </c>
      <c r="AJ203" s="34">
        <v>-1.166399870700004E-2</v>
      </c>
      <c r="AK203" s="34">
        <v>-0.75900000000000001</v>
      </c>
      <c r="AL203" s="34">
        <v>99.953164652363725</v>
      </c>
      <c r="AM203" s="34">
        <v>-1.542309213000004</v>
      </c>
    </row>
    <row r="204" spans="1:39" x14ac:dyDescent="0.25">
      <c r="A204" s="34" t="s">
        <v>447</v>
      </c>
      <c r="B204" s="34" t="s">
        <v>448</v>
      </c>
      <c r="C204" s="34">
        <v>2.85</v>
      </c>
      <c r="D204" s="34">
        <v>100.2821686506997</v>
      </c>
      <c r="E204" s="34">
        <v>100.65389999999999</v>
      </c>
      <c r="F204" s="34">
        <v>50501.5</v>
      </c>
      <c r="G204" s="35">
        <v>1.1193</v>
      </c>
      <c r="H204" s="34">
        <v>98.594678623633442</v>
      </c>
      <c r="I204" s="35">
        <v>-2.045843605033248</v>
      </c>
      <c r="Q204" s="34">
        <v>-2.7143642500290208</v>
      </c>
      <c r="R204" s="34">
        <v>99.938313221974511</v>
      </c>
      <c r="S204" s="34">
        <v>104.46217515198251</v>
      </c>
      <c r="T204" s="34">
        <v>-4.5238619300079526</v>
      </c>
      <c r="U204" s="34">
        <v>-4.3306219915736653E-2</v>
      </c>
      <c r="V204" s="34">
        <v>-3.2635000000000001</v>
      </c>
      <c r="W204" s="34">
        <v>99.374204243717671</v>
      </c>
      <c r="X204" s="34">
        <v>-4.8706346587769964</v>
      </c>
      <c r="AF204" s="34">
        <v>0.1356</v>
      </c>
      <c r="AG204" s="34">
        <v>100.4708376483362</v>
      </c>
      <c r="AH204" s="34">
        <v>101.5189</v>
      </c>
      <c r="AI204" s="34">
        <v>-1.0480623516637451</v>
      </c>
      <c r="AJ204" s="34">
        <v>-1.0323815089246881E-2</v>
      </c>
      <c r="AK204" s="34">
        <v>-0.85850000000000004</v>
      </c>
      <c r="AL204" s="34">
        <v>99.473409563756846</v>
      </c>
      <c r="AM204" s="34">
        <v>-2.0148863278100388</v>
      </c>
    </row>
    <row r="205" spans="1:39" x14ac:dyDescent="0.25">
      <c r="A205" s="34" t="s">
        <v>448</v>
      </c>
      <c r="B205" s="34" t="s">
        <v>449</v>
      </c>
      <c r="C205" s="34">
        <v>0.69730000000000003</v>
      </c>
      <c r="D205" s="34">
        <v>100.981436212701</v>
      </c>
      <c r="E205" s="34">
        <v>100.981436212701</v>
      </c>
      <c r="F205" s="34">
        <v>51974.45</v>
      </c>
      <c r="G205" s="35">
        <v>-7.0099999999999996E-2</v>
      </c>
      <c r="H205" s="34">
        <v>100.21187085047561</v>
      </c>
      <c r="I205" s="35">
        <v>-0.43915749864082981</v>
      </c>
      <c r="Q205" s="34">
        <v>-0.40508304202361489</v>
      </c>
      <c r="R205" s="34">
        <v>99.533480062627845</v>
      </c>
      <c r="S205" s="34">
        <v>104.46217515198251</v>
      </c>
      <c r="T205" s="34">
        <v>-4.9286950893546191</v>
      </c>
      <c r="U205" s="34">
        <v>-4.7181624182952728E-2</v>
      </c>
      <c r="V205" s="34">
        <v>-0.57979999999999998</v>
      </c>
      <c r="W205" s="34">
        <v>99.358870881913504</v>
      </c>
      <c r="X205" s="34">
        <v>-4.885313045266515</v>
      </c>
      <c r="AF205" s="34">
        <v>0.29220000000000002</v>
      </c>
      <c r="AG205" s="34">
        <v>100.7644134359447</v>
      </c>
      <c r="AH205" s="34">
        <v>101.5189</v>
      </c>
      <c r="AI205" s="34">
        <v>-0.75448656405529846</v>
      </c>
      <c r="AJ205" s="34">
        <v>-7.4319812769375803E-3</v>
      </c>
      <c r="AK205" s="34">
        <v>0.1678</v>
      </c>
      <c r="AL205" s="34">
        <v>100.63942771391019</v>
      </c>
      <c r="AM205" s="34">
        <v>-0.86631384509666676</v>
      </c>
    </row>
    <row r="206" spans="1:39" x14ac:dyDescent="0.25">
      <c r="A206" s="34" t="s">
        <v>449</v>
      </c>
      <c r="B206" s="34" t="s">
        <v>450</v>
      </c>
      <c r="C206" s="34">
        <v>0.57989999999999997</v>
      </c>
      <c r="D206" s="34">
        <v>101.5670275612985</v>
      </c>
      <c r="E206" s="34">
        <v>101.5670275612985</v>
      </c>
      <c r="F206" s="34">
        <v>52345.55</v>
      </c>
      <c r="G206" s="35">
        <v>-0.55859999999999999</v>
      </c>
      <c r="H206" s="34">
        <v>100.4173539100169</v>
      </c>
      <c r="I206" s="35">
        <v>-0.55859999999999799</v>
      </c>
      <c r="Q206" s="34">
        <v>-1.939011486013688</v>
      </c>
      <c r="R206" s="34">
        <v>97.603514451784349</v>
      </c>
      <c r="S206" s="34">
        <v>104.46217515198251</v>
      </c>
      <c r="T206" s="34">
        <v>-6.858660700198115</v>
      </c>
      <c r="U206" s="34">
        <v>-6.565688193089432E-2</v>
      </c>
      <c r="V206" s="34">
        <v>-2.0455999999999999</v>
      </c>
      <c r="W206" s="34">
        <v>97.497423194466734</v>
      </c>
      <c r="X206" s="34">
        <v>-6.6672476878666176</v>
      </c>
      <c r="AF206" s="34">
        <v>-1.3591</v>
      </c>
      <c r="AG206" s="34">
        <v>99.394924292936764</v>
      </c>
      <c r="AH206" s="34">
        <v>101.5189</v>
      </c>
      <c r="AI206" s="34">
        <v>-2.1239757070632241</v>
      </c>
      <c r="AJ206" s="34">
        <v>-2.0921973219402729E-2</v>
      </c>
      <c r="AK206" s="34">
        <v>-1.3591</v>
      </c>
      <c r="AL206" s="34">
        <v>99.394924292936764</v>
      </c>
      <c r="AM206" s="34">
        <v>-2.0921973219402701</v>
      </c>
    </row>
    <row r="207" spans="1:39" x14ac:dyDescent="0.25">
      <c r="A207" s="34" t="s">
        <v>450</v>
      </c>
      <c r="B207" s="34" t="s">
        <v>451</v>
      </c>
      <c r="C207" s="34">
        <v>2.4337</v>
      </c>
      <c r="D207" s="34">
        <v>104.03886431105779</v>
      </c>
      <c r="E207" s="34">
        <v>104.03886431105779</v>
      </c>
      <c r="F207" s="34">
        <v>52657.8</v>
      </c>
      <c r="G207" s="35">
        <v>0.2792</v>
      </c>
      <c r="H207" s="34">
        <v>101.8506027022496</v>
      </c>
      <c r="I207" s="35">
        <v>0.27919999999999062</v>
      </c>
      <c r="Q207" s="34">
        <v>-1.3393203405215151</v>
      </c>
      <c r="R207" s="34">
        <v>96.296290729667746</v>
      </c>
      <c r="S207" s="34">
        <v>104.46217515198251</v>
      </c>
      <c r="T207" s="34">
        <v>-8.1658844223147184</v>
      </c>
      <c r="U207" s="34">
        <v>-7.8170729361456803E-2</v>
      </c>
      <c r="V207" s="34">
        <v>-1.6256999999999999</v>
      </c>
      <c r="W207" s="34">
        <v>96.016774117341697</v>
      </c>
      <c r="X207" s="34">
        <v>-8.0846498001343683</v>
      </c>
      <c r="AF207" s="34">
        <v>1.0944</v>
      </c>
      <c r="AG207" s="34">
        <v>100.4827023443987</v>
      </c>
      <c r="AH207" s="34">
        <v>101.5189</v>
      </c>
      <c r="AI207" s="34">
        <v>-1.0361976556013131</v>
      </c>
      <c r="AJ207" s="34">
        <v>-1.0206943294315769E-2</v>
      </c>
      <c r="AK207" s="34">
        <v>0.22969999999999999</v>
      </c>
      <c r="AL207" s="34">
        <v>99.623234434037641</v>
      </c>
      <c r="AM207" s="34">
        <v>-1.867303099188766</v>
      </c>
    </row>
    <row r="208" spans="1:39" x14ac:dyDescent="0.25">
      <c r="A208" s="34" t="s">
        <v>451</v>
      </c>
      <c r="B208" s="34" t="s">
        <v>452</v>
      </c>
      <c r="C208" s="34">
        <v>1.9429000000000001</v>
      </c>
      <c r="D208" s="34">
        <v>106.0602354057574</v>
      </c>
      <c r="E208" s="34">
        <v>106.0602354057574</v>
      </c>
      <c r="F208" s="34">
        <v>53974.45</v>
      </c>
      <c r="G208" s="35">
        <v>-0.2586</v>
      </c>
      <c r="H208" s="34">
        <v>103.7698198079494</v>
      </c>
      <c r="I208" s="35">
        <v>-0.25859999999999772</v>
      </c>
      <c r="Q208" s="34">
        <v>-0.58527163111307301</v>
      </c>
      <c r="R208" s="34">
        <v>95.732695858212836</v>
      </c>
      <c r="S208" s="34">
        <v>104.46217515198251</v>
      </c>
      <c r="T208" s="34">
        <v>-8.7294792937696286</v>
      </c>
      <c r="U208" s="34">
        <v>-8.3565934569800715E-2</v>
      </c>
      <c r="V208" s="34">
        <v>-0.77449999999999997</v>
      </c>
      <c r="W208" s="34">
        <v>95.550475957966469</v>
      </c>
      <c r="X208" s="34">
        <v>-8.5310297062552323</v>
      </c>
      <c r="AF208" s="34">
        <v>1.3575999999999999</v>
      </c>
      <c r="AG208" s="34">
        <v>101.8468555114262</v>
      </c>
      <c r="AH208" s="34">
        <v>101.8468555114262</v>
      </c>
      <c r="AI208" s="34"/>
      <c r="AJ208" s="34">
        <v>0</v>
      </c>
      <c r="AK208" s="34">
        <v>1.52E-2</v>
      </c>
      <c r="AL208" s="34">
        <v>100.49797571515499</v>
      </c>
      <c r="AM208" s="34">
        <v>-1.0056494749696501</v>
      </c>
    </row>
    <row r="209" spans="1:39" x14ac:dyDescent="0.25">
      <c r="A209" s="34" t="s">
        <v>452</v>
      </c>
      <c r="B209" s="34" t="s">
        <v>453</v>
      </c>
      <c r="C209" s="34">
        <v>-0.92330000000000001</v>
      </c>
      <c r="D209" s="34">
        <v>105.080981252256</v>
      </c>
      <c r="E209" s="34">
        <v>106.0602354057574</v>
      </c>
      <c r="F209" s="34">
        <v>55041.1</v>
      </c>
      <c r="G209" s="35">
        <v>-3.5293999999999999</v>
      </c>
      <c r="H209" s="34">
        <v>102.31694545734651</v>
      </c>
      <c r="I209" s="35">
        <v>-3.5294000000000052</v>
      </c>
      <c r="Q209" s="34">
        <v>0.63484038563111023</v>
      </c>
      <c r="R209" s="34">
        <v>96.34044567377417</v>
      </c>
      <c r="S209" s="34">
        <v>104.46217515198251</v>
      </c>
      <c r="T209" s="34">
        <v>-8.1217294782082945</v>
      </c>
      <c r="U209" s="34">
        <v>-7.7748041014768801E-2</v>
      </c>
      <c r="V209" s="34">
        <v>-0.41660000000000003</v>
      </c>
      <c r="W209" s="34">
        <v>95.333873447267521</v>
      </c>
      <c r="X209" s="34">
        <v>-8.738379888638292</v>
      </c>
      <c r="AF209" s="34">
        <v>-0.28849999999999998</v>
      </c>
      <c r="AG209" s="34">
        <v>101.55302733327579</v>
      </c>
      <c r="AH209" s="34">
        <v>101.8468555114262</v>
      </c>
      <c r="AI209" s="34">
        <v>-0.2938281781504628</v>
      </c>
      <c r="AJ209" s="34">
        <v>-2.8849999999999822E-3</v>
      </c>
      <c r="AK209" s="34">
        <v>-1.6333</v>
      </c>
      <c r="AL209" s="34">
        <v>100.1833908203581</v>
      </c>
      <c r="AM209" s="34">
        <v>-1.633300000000004</v>
      </c>
    </row>
    <row r="210" spans="1:39" x14ac:dyDescent="0.25">
      <c r="A210" s="34" t="s">
        <v>453</v>
      </c>
      <c r="B210" s="34" t="s">
        <v>454</v>
      </c>
      <c r="C210" s="34">
        <v>-0.68330000000000002</v>
      </c>
      <c r="D210" s="34">
        <v>104.3629629073593</v>
      </c>
      <c r="E210" s="34">
        <v>106.0602354057574</v>
      </c>
      <c r="F210" s="34">
        <v>54587.95</v>
      </c>
      <c r="G210" s="35">
        <v>-3.5007000000000001</v>
      </c>
      <c r="H210" s="34">
        <v>101.40241134155831</v>
      </c>
      <c r="I210" s="35">
        <v>-4.3916780369000037</v>
      </c>
      <c r="Q210" s="34">
        <v>0.34023738543184051</v>
      </c>
      <c r="R210" s="34">
        <v>96.668231887247998</v>
      </c>
      <c r="S210" s="34">
        <v>104.46217515198251</v>
      </c>
      <c r="T210" s="34">
        <v>-7.793943264734466</v>
      </c>
      <c r="U210" s="34">
        <v>-7.4610195062423543E-2</v>
      </c>
      <c r="V210" s="34">
        <v>-1.296</v>
      </c>
      <c r="W210" s="34">
        <v>95.091873497842059</v>
      </c>
      <c r="X210" s="34">
        <v>-8.9700426403217399</v>
      </c>
      <c r="AF210" s="34">
        <v>-0.34310000000000002</v>
      </c>
      <c r="AG210" s="34">
        <v>101.2045988964953</v>
      </c>
      <c r="AH210" s="34">
        <v>101.8468555114262</v>
      </c>
      <c r="AI210" s="34">
        <v>-0.642256614930929</v>
      </c>
      <c r="AJ210" s="34">
        <v>-6.3061015649999528E-3</v>
      </c>
      <c r="AK210" s="34">
        <v>-2.4214000000000002</v>
      </c>
      <c r="AL210" s="34">
        <v>99.09402232942783</v>
      </c>
      <c r="AM210" s="34">
        <v>-2.702914260999989</v>
      </c>
    </row>
    <row r="211" spans="1:39" x14ac:dyDescent="0.25">
      <c r="A211" s="34" t="s">
        <v>454</v>
      </c>
      <c r="B211" s="34" t="s">
        <v>455</v>
      </c>
      <c r="C211" s="34">
        <v>1.9950000000000001</v>
      </c>
      <c r="D211" s="34">
        <v>106.4450040173611</v>
      </c>
      <c r="E211" s="34">
        <v>106.4450040173611</v>
      </c>
      <c r="F211" s="34">
        <v>54287.75</v>
      </c>
      <c r="G211" s="35">
        <v>-4.0731000000000002</v>
      </c>
      <c r="H211" s="34">
        <v>100.11215506517971</v>
      </c>
      <c r="I211" s="35">
        <v>-5.6082096346684036</v>
      </c>
      <c r="Q211" s="34">
        <v>-2.540508880005242</v>
      </c>
      <c r="R211" s="34">
        <v>94.212366872008403</v>
      </c>
      <c r="S211" s="34">
        <v>104.46217515198251</v>
      </c>
      <c r="T211" s="34">
        <v>-10.24980827997406</v>
      </c>
      <c r="U211" s="34">
        <v>-9.8119805231525872E-2</v>
      </c>
      <c r="V211" s="34">
        <v>-2.6951000000000001</v>
      </c>
      <c r="W211" s="34">
        <v>94.062926369654789</v>
      </c>
      <c r="X211" s="34">
        <v>-9.9550375695296012</v>
      </c>
      <c r="AF211" s="34">
        <v>-0.54549999999999998</v>
      </c>
      <c r="AG211" s="34">
        <v>100.65252780951489</v>
      </c>
      <c r="AH211" s="34">
        <v>101.8468555114262</v>
      </c>
      <c r="AI211" s="34">
        <v>-1.194327701911305</v>
      </c>
      <c r="AJ211" s="34">
        <v>-1.172670178096282E-2</v>
      </c>
      <c r="AK211" s="34">
        <v>-2.1442000000000001</v>
      </c>
      <c r="AL211" s="34">
        <v>99.034569886956646</v>
      </c>
      <c r="AM211" s="34">
        <v>-2.761288613524326</v>
      </c>
    </row>
    <row r="212" spans="1:39" x14ac:dyDescent="0.25">
      <c r="A212" s="34" t="s">
        <v>455</v>
      </c>
      <c r="B212" s="34" t="s">
        <v>456</v>
      </c>
      <c r="C212" s="34">
        <v>1.2665999999999999</v>
      </c>
      <c r="D212" s="34">
        <v>107.793236438245</v>
      </c>
      <c r="E212" s="34">
        <v>107.793236438245</v>
      </c>
      <c r="F212" s="34">
        <v>55416.05</v>
      </c>
      <c r="G212" s="35">
        <v>-0.2888</v>
      </c>
      <c r="H212" s="34">
        <v>106.13759084575899</v>
      </c>
      <c r="I212" s="35">
        <v>-0.28880000000000022</v>
      </c>
      <c r="Q212" s="34">
        <v>1.363506882730785</v>
      </c>
      <c r="R212" s="34">
        <v>95.496958978691822</v>
      </c>
      <c r="S212" s="34">
        <v>104.46217515198251</v>
      </c>
      <c r="T212" s="34">
        <v>-8.9652161732906421</v>
      </c>
      <c r="U212" s="34">
        <v>-8.5822606701871862E-2</v>
      </c>
      <c r="V212" s="34">
        <v>-1.6000000000000009E-3</v>
      </c>
      <c r="W212" s="34">
        <v>94.210859474138445</v>
      </c>
      <c r="X212" s="34">
        <v>-9.8134235314642275</v>
      </c>
      <c r="AF212" s="34">
        <v>2.6301000000000001</v>
      </c>
      <c r="AG212" s="34">
        <v>103.299789943433</v>
      </c>
      <c r="AH212" s="34">
        <v>103.299789943433</v>
      </c>
      <c r="AI212" s="34"/>
      <c r="AJ212" s="34">
        <v>0</v>
      </c>
      <c r="AK212" s="34">
        <v>1.3741000000000001</v>
      </c>
      <c r="AL212" s="34">
        <v>102.0355941941455</v>
      </c>
      <c r="AM212" s="34">
        <v>0.18531616098649281</v>
      </c>
    </row>
    <row r="213" spans="1:39" x14ac:dyDescent="0.25">
      <c r="A213" s="34" t="s">
        <v>456</v>
      </c>
      <c r="B213" s="34" t="s">
        <v>457</v>
      </c>
      <c r="C213" s="34">
        <v>0.68600000000000005</v>
      </c>
      <c r="D213" s="34">
        <v>108.5326980402114</v>
      </c>
      <c r="E213" s="34">
        <v>108.5326980402114</v>
      </c>
      <c r="F213" s="34">
        <v>56136.4</v>
      </c>
      <c r="G213" s="35">
        <v>-0.16400000000000001</v>
      </c>
      <c r="H213" s="34">
        <v>107.61645553048631</v>
      </c>
      <c r="I213" s="35">
        <v>-0.16400000000000861</v>
      </c>
      <c r="Q213" s="34">
        <v>-1.7249836825867859</v>
      </c>
      <c r="R213" s="34">
        <v>93.849652018942791</v>
      </c>
      <c r="S213" s="34">
        <v>104.46217515198251</v>
      </c>
      <c r="T213" s="34">
        <v>-10.612523133039669</v>
      </c>
      <c r="U213" s="34">
        <v>-0.1015920175661618</v>
      </c>
      <c r="V213" s="34">
        <v>-2.0634999999999999</v>
      </c>
      <c r="W213" s="34">
        <v>93.526379230166526</v>
      </c>
      <c r="X213" s="34">
        <v>-10.46866572125786</v>
      </c>
      <c r="AF213" s="34">
        <v>-1.0389999999999999</v>
      </c>
      <c r="AG213" s="34">
        <v>102.2265051259207</v>
      </c>
      <c r="AH213" s="34">
        <v>103.299789943433</v>
      </c>
      <c r="AI213" s="34">
        <v>-1.073284817512274</v>
      </c>
      <c r="AJ213" s="34">
        <v>-1.039000000000005E-2</v>
      </c>
      <c r="AK213" s="34">
        <v>-1.2922</v>
      </c>
      <c r="AL213" s="34">
        <v>101.96495005778389</v>
      </c>
      <c r="AM213" s="34">
        <v>-1.29220000000001</v>
      </c>
    </row>
    <row r="214" spans="1:39" x14ac:dyDescent="0.25">
      <c r="A214" s="34" t="s">
        <v>457</v>
      </c>
      <c r="B214" s="34" t="s">
        <v>458</v>
      </c>
      <c r="C214" s="34">
        <v>5.7000000000000002E-2</v>
      </c>
      <c r="D214" s="34">
        <v>108.59456167809429</v>
      </c>
      <c r="E214" s="34">
        <v>108.59456167809429</v>
      </c>
      <c r="F214" s="34">
        <v>56530.85</v>
      </c>
      <c r="G214" s="35">
        <v>-1.0347</v>
      </c>
      <c r="H214" s="34">
        <v>107.40971021358931</v>
      </c>
      <c r="I214" s="35">
        <v>-1.0347</v>
      </c>
      <c r="Q214" s="34">
        <v>0.86924080583829777</v>
      </c>
      <c r="R214" s="34">
        <v>94.665431490428688</v>
      </c>
      <c r="S214" s="34">
        <v>104.46217515198251</v>
      </c>
      <c r="T214" s="34">
        <v>-9.7967436615537764</v>
      </c>
      <c r="U214" s="34">
        <v>-9.3782688779938311E-2</v>
      </c>
      <c r="V214" s="34">
        <v>-0.22550000000000001</v>
      </c>
      <c r="W214" s="34">
        <v>93.638021053640074</v>
      </c>
      <c r="X214" s="34">
        <v>-10.36179275665501</v>
      </c>
      <c r="AF214" s="34">
        <v>0.92620000000000002</v>
      </c>
      <c r="AG214" s="34">
        <v>103.173327016397</v>
      </c>
      <c r="AH214" s="34">
        <v>103.299789943433</v>
      </c>
      <c r="AI214" s="34">
        <v>-0.1264629270359876</v>
      </c>
      <c r="AJ214" s="34">
        <v>-1.224232179999967E-3</v>
      </c>
      <c r="AK214" s="34">
        <v>0.15110000000000001</v>
      </c>
      <c r="AL214" s="34">
        <v>102.380969375166</v>
      </c>
      <c r="AM214" s="34">
        <v>-0.88946992900000854</v>
      </c>
    </row>
    <row r="215" spans="1:39" x14ac:dyDescent="0.25">
      <c r="A215" s="34" t="s">
        <v>458</v>
      </c>
      <c r="B215" s="34" t="s">
        <v>459</v>
      </c>
      <c r="C215" s="34">
        <v>0.80489999999999995</v>
      </c>
      <c r="D215" s="34">
        <v>109.46863930504129</v>
      </c>
      <c r="E215" s="34">
        <v>109.46863930504129</v>
      </c>
      <c r="F215" s="34">
        <v>56619.6</v>
      </c>
      <c r="G215" s="35">
        <v>-1.159</v>
      </c>
      <c r="H215" s="34">
        <v>107.33595070824521</v>
      </c>
      <c r="I215" s="35">
        <v>-1.1589999999999989</v>
      </c>
      <c r="Q215" s="34">
        <v>0.42879970338667128</v>
      </c>
      <c r="R215" s="34">
        <v>95.071356579869359</v>
      </c>
      <c r="S215" s="34">
        <v>104.46217515198251</v>
      </c>
      <c r="T215" s="34">
        <v>-9.3908185721131048</v>
      </c>
      <c r="U215" s="34">
        <v>-8.9896831637388014E-2</v>
      </c>
      <c r="V215" s="34">
        <v>-1.3915999999999999</v>
      </c>
      <c r="W215" s="34">
        <v>93.348067345807877</v>
      </c>
      <c r="X215" s="34">
        <v>-10.639360888287669</v>
      </c>
      <c r="AF215" s="34">
        <v>1.2337</v>
      </c>
      <c r="AG215" s="34">
        <v>104.4461763517983</v>
      </c>
      <c r="AH215" s="34">
        <v>104.4461763517983</v>
      </c>
      <c r="AI215" s="34"/>
      <c r="AJ215" s="34">
        <v>0</v>
      </c>
      <c r="AK215" s="34">
        <v>4.0000000000000001E-3</v>
      </c>
      <c r="AL215" s="34">
        <v>103.1774539494776</v>
      </c>
      <c r="AM215" s="34">
        <v>-0.1184281149287147</v>
      </c>
    </row>
    <row r="216" spans="1:39" x14ac:dyDescent="0.25">
      <c r="A216" s="34" t="s">
        <v>459</v>
      </c>
      <c r="B216" s="34" t="s">
        <v>460</v>
      </c>
      <c r="C216" s="34">
        <v>1.2541</v>
      </c>
      <c r="D216" s="34">
        <v>110.8414855105658</v>
      </c>
      <c r="E216" s="34">
        <v>110.8414855105658</v>
      </c>
      <c r="F216" s="34">
        <v>57141.4</v>
      </c>
      <c r="G216" s="35">
        <v>-0.14510000000000001</v>
      </c>
      <c r="H216" s="34">
        <v>109.3098003094097</v>
      </c>
      <c r="I216" s="35">
        <v>-0.14509999999999801</v>
      </c>
      <c r="Q216" s="34">
        <v>0.82618084270445946</v>
      </c>
      <c r="R216" s="34">
        <v>95.856817914831481</v>
      </c>
      <c r="S216" s="34">
        <v>104.46217515198251</v>
      </c>
      <c r="T216" s="34">
        <v>-8.605357237150983</v>
      </c>
      <c r="U216" s="34">
        <v>-8.2377733611529835E-2</v>
      </c>
      <c r="V216" s="34">
        <v>-0.629</v>
      </c>
      <c r="W216" s="34">
        <v>94.473357746981975</v>
      </c>
      <c r="X216" s="34">
        <v>-9.5621380566388918</v>
      </c>
      <c r="AF216" s="34">
        <v>2.0802999999999998</v>
      </c>
      <c r="AG216" s="34">
        <v>106.6189701584447</v>
      </c>
      <c r="AH216" s="34">
        <v>106.6189701584447</v>
      </c>
      <c r="AI216" s="34"/>
      <c r="AJ216" s="34">
        <v>0</v>
      </c>
      <c r="AK216" s="34">
        <v>0.81940000000000002</v>
      </c>
      <c r="AL216" s="34">
        <v>105.3020083208249</v>
      </c>
      <c r="AM216" s="34">
        <v>0.81940000000000346</v>
      </c>
    </row>
    <row r="217" spans="1:39" x14ac:dyDescent="0.25">
      <c r="A217" s="34" t="s">
        <v>460</v>
      </c>
      <c r="B217" s="34" t="s">
        <v>461</v>
      </c>
      <c r="C217" s="34">
        <v>1.8409</v>
      </c>
      <c r="D217" s="34">
        <v>112.88196641732981</v>
      </c>
      <c r="E217" s="34">
        <v>112.88196641732981</v>
      </c>
      <c r="F217" s="34">
        <v>57924.65</v>
      </c>
      <c r="G217" s="35">
        <v>0.1384</v>
      </c>
      <c r="H217" s="34">
        <v>110.9948901265125</v>
      </c>
      <c r="I217" s="35">
        <v>0.13840000000000521</v>
      </c>
      <c r="Q217" s="34">
        <v>-1.808880512749693</v>
      </c>
      <c r="R217" s="34">
        <v>94.122882615428139</v>
      </c>
      <c r="S217" s="34">
        <v>104.46217515198251</v>
      </c>
      <c r="T217" s="34">
        <v>-10.33929253655432</v>
      </c>
      <c r="U217" s="34">
        <v>-9.897642396888294E-2</v>
      </c>
      <c r="V217" s="34">
        <v>-2.0520999999999998</v>
      </c>
      <c r="W217" s="34">
        <v>93.889740154401224</v>
      </c>
      <c r="X217" s="34">
        <v>-10.12082601400877</v>
      </c>
      <c r="AF217" s="34">
        <v>3.2000000000000001E-2</v>
      </c>
      <c r="AG217" s="34">
        <v>106.6530882288954</v>
      </c>
      <c r="AH217" s="34">
        <v>106.6530882288954</v>
      </c>
      <c r="AI217" s="34"/>
      <c r="AJ217" s="34">
        <v>0</v>
      </c>
      <c r="AK217" s="34">
        <v>-0.1045</v>
      </c>
      <c r="AL217" s="34">
        <v>106.50755333462919</v>
      </c>
      <c r="AM217" s="34">
        <v>-0.1044999999999963</v>
      </c>
    </row>
    <row r="218" spans="1:39" x14ac:dyDescent="0.25">
      <c r="A218" s="34" t="s">
        <v>461</v>
      </c>
      <c r="B218" s="34" t="s">
        <v>462</v>
      </c>
      <c r="C218" s="34">
        <v>0.55700000000000005</v>
      </c>
      <c r="D218" s="34">
        <v>113.5107189702744</v>
      </c>
      <c r="E218" s="34">
        <v>113.5107189702744</v>
      </c>
      <c r="F218" s="34">
        <v>59010.3</v>
      </c>
      <c r="G218" s="35">
        <v>0.1148</v>
      </c>
      <c r="H218" s="34">
        <v>113.01155491477689</v>
      </c>
      <c r="I218" s="35">
        <v>0.1147999999999927</v>
      </c>
      <c r="Q218" s="34">
        <v>-0.35175708563555252</v>
      </c>
      <c r="R218" s="34">
        <v>93.791798706623936</v>
      </c>
      <c r="S218" s="34">
        <v>104.46217515198251</v>
      </c>
      <c r="T218" s="34">
        <v>-10.67037644535853</v>
      </c>
      <c r="U218" s="34">
        <v>-0.1021458382408192</v>
      </c>
      <c r="V218" s="34">
        <v>-0.77289999999999992</v>
      </c>
      <c r="W218" s="34">
        <v>93.395406855693494</v>
      </c>
      <c r="X218" s="34">
        <v>-10.59404351880274</v>
      </c>
      <c r="AF218" s="34">
        <v>0.20519999999999999</v>
      </c>
      <c r="AG218" s="34">
        <v>106.8719403659411</v>
      </c>
      <c r="AH218" s="34">
        <v>106.8719403659411</v>
      </c>
      <c r="AI218" s="34"/>
      <c r="AJ218" s="34">
        <v>0</v>
      </c>
      <c r="AK218" s="34">
        <v>0.20519999999999999</v>
      </c>
      <c r="AL218" s="34">
        <v>106.8719403659411</v>
      </c>
      <c r="AM218" s="34">
        <v>0.2051999999999943</v>
      </c>
    </row>
    <row r="219" spans="1:39" x14ac:dyDescent="0.25">
      <c r="A219" s="34" t="s">
        <v>462</v>
      </c>
      <c r="B219" s="34" t="s">
        <v>463</v>
      </c>
      <c r="C219" s="34">
        <v>-2.2702</v>
      </c>
      <c r="D219" s="34">
        <v>110.93379862821121</v>
      </c>
      <c r="E219" s="34">
        <v>113.5107189702744</v>
      </c>
      <c r="F219" s="34">
        <v>59388.15</v>
      </c>
      <c r="G219" s="35">
        <v>-3.6387</v>
      </c>
      <c r="H219" s="34">
        <v>109.380404439103</v>
      </c>
      <c r="I219" s="35">
        <v>-3.6386999999999952</v>
      </c>
      <c r="Q219" s="34">
        <v>1.332264710795739</v>
      </c>
      <c r="R219" s="34">
        <v>95.041353742412866</v>
      </c>
      <c r="S219" s="34">
        <v>104.46217515198251</v>
      </c>
      <c r="T219" s="34">
        <v>-9.4208214095695979</v>
      </c>
      <c r="U219" s="34">
        <v>-9.0184044089290732E-2</v>
      </c>
      <c r="V219" s="34">
        <v>-0.18190000000000001</v>
      </c>
      <c r="W219" s="34">
        <v>93.621191424776583</v>
      </c>
      <c r="X219" s="34">
        <v>-10.377903496105921</v>
      </c>
      <c r="AF219" s="34">
        <v>-0.93789999999999996</v>
      </c>
      <c r="AG219" s="34">
        <v>105.86958843724901</v>
      </c>
      <c r="AH219" s="34">
        <v>106.8719403659411</v>
      </c>
      <c r="AI219" s="34">
        <v>-1.0023519286921641</v>
      </c>
      <c r="AJ219" s="34">
        <v>-9.379000000000021E-3</v>
      </c>
      <c r="AK219" s="34">
        <v>-1.3069</v>
      </c>
      <c r="AL219" s="34">
        <v>105.47523097729869</v>
      </c>
      <c r="AM219" s="34">
        <v>-1.3068999999999891</v>
      </c>
    </row>
    <row r="220" spans="1:39" x14ac:dyDescent="0.25">
      <c r="A220" s="34" t="s">
        <v>463</v>
      </c>
      <c r="B220" s="34" t="s">
        <v>464</v>
      </c>
      <c r="C220" s="34">
        <v>-0.22900000000000001</v>
      </c>
      <c r="D220" s="34">
        <v>110.6797602293526</v>
      </c>
      <c r="E220" s="34">
        <v>113.5107189702744</v>
      </c>
      <c r="F220" s="34">
        <v>58109.2</v>
      </c>
      <c r="G220" s="35">
        <v>-1.8434999999999999</v>
      </c>
      <c r="H220" s="34">
        <v>108.8887340505001</v>
      </c>
      <c r="I220" s="35">
        <v>-4.0718488630000049</v>
      </c>
      <c r="Q220" s="34">
        <v>-1.4035519032083199</v>
      </c>
      <c r="R220" s="34">
        <v>93.707399013126278</v>
      </c>
      <c r="S220" s="34">
        <v>104.46217515198251</v>
      </c>
      <c r="T220" s="34">
        <v>-10.75477613885619</v>
      </c>
      <c r="U220" s="34">
        <v>-0.1029537832541685</v>
      </c>
      <c r="V220" s="34">
        <v>-1.5259</v>
      </c>
      <c r="W220" s="34">
        <v>93.591117725657384</v>
      </c>
      <c r="X220" s="34">
        <v>-10.40669257605323</v>
      </c>
      <c r="AF220" s="34">
        <v>-1.6326000000000001</v>
      </c>
      <c r="AG220" s="34">
        <v>104.1411615364224</v>
      </c>
      <c r="AH220" s="34">
        <v>106.8719403659411</v>
      </c>
      <c r="AI220" s="34">
        <v>-2.7307788295186839</v>
      </c>
      <c r="AJ220" s="34">
        <v>-2.5551878445999959E-2</v>
      </c>
      <c r="AK220" s="34">
        <v>-1.6326000000000001</v>
      </c>
      <c r="AL220" s="34">
        <v>104.1411615364224</v>
      </c>
      <c r="AM220" s="34">
        <v>-2.5551878445999932</v>
      </c>
    </row>
    <row r="221" spans="1:39" x14ac:dyDescent="0.25">
      <c r="A221" s="34" t="s">
        <v>464</v>
      </c>
      <c r="B221" s="34" t="s">
        <v>465</v>
      </c>
      <c r="C221" s="34">
        <v>1.4447000000000001</v>
      </c>
      <c r="D221" s="34">
        <v>112.278750725386</v>
      </c>
      <c r="E221" s="34">
        <v>113.5107189702744</v>
      </c>
      <c r="F221" s="34">
        <v>57995.5</v>
      </c>
      <c r="G221" s="35">
        <v>-0.8397</v>
      </c>
      <c r="H221" s="34">
        <v>109.7503822827067</v>
      </c>
      <c r="I221" s="35">
        <v>-3.31275911357094</v>
      </c>
      <c r="Q221" s="34">
        <v>-0.42648253452477652</v>
      </c>
      <c r="R221" s="34">
        <v>93.307753322777856</v>
      </c>
      <c r="S221" s="34">
        <v>104.46217515198251</v>
      </c>
      <c r="T221" s="34">
        <v>-11.15442182920461</v>
      </c>
      <c r="U221" s="34">
        <v>-0.1067795286952047</v>
      </c>
      <c r="V221" s="34">
        <v>-0.91269999999999996</v>
      </c>
      <c r="W221" s="34">
        <v>92.85213158233347</v>
      </c>
      <c r="X221" s="34">
        <v>-11.11411240744077</v>
      </c>
      <c r="AF221" s="34">
        <v>1.0182</v>
      </c>
      <c r="AG221" s="34">
        <v>105.2015268431863</v>
      </c>
      <c r="AH221" s="34">
        <v>106.8719403659411</v>
      </c>
      <c r="AI221" s="34">
        <v>-1.670413522754842</v>
      </c>
      <c r="AJ221" s="34">
        <v>-1.5630047672337239E-2</v>
      </c>
      <c r="AK221" s="34">
        <v>0.1835</v>
      </c>
      <c r="AL221" s="34">
        <v>104.3322605678418</v>
      </c>
      <c r="AM221" s="34">
        <v>-2.3763766142948279</v>
      </c>
    </row>
    <row r="222" spans="1:39" x14ac:dyDescent="0.25">
      <c r="A222" s="34" t="s">
        <v>465</v>
      </c>
      <c r="B222" s="34" t="s">
        <v>466</v>
      </c>
      <c r="C222" s="34">
        <v>0.57040000000000002</v>
      </c>
      <c r="D222" s="34">
        <v>112.9191887195236</v>
      </c>
      <c r="E222" s="34">
        <v>113.5107189702744</v>
      </c>
      <c r="F222" s="34">
        <v>58881.7</v>
      </c>
      <c r="G222" s="35">
        <v>-0.26529999999999998</v>
      </c>
      <c r="H222" s="34">
        <v>111.9808751997116</v>
      </c>
      <c r="I222" s="35">
        <v>-1.347752691940407</v>
      </c>
      <c r="Q222" s="34">
        <v>-1.0429891363550841</v>
      </c>
      <c r="R222" s="34">
        <v>92.33456359224428</v>
      </c>
      <c r="S222" s="34">
        <v>104.46217515198251</v>
      </c>
      <c r="T222" s="34">
        <v>-12.127611559738179</v>
      </c>
      <c r="U222" s="34">
        <v>-0.11609572117461341</v>
      </c>
      <c r="V222" s="34">
        <v>-1.1527000000000001</v>
      </c>
      <c r="W222" s="34">
        <v>92.232194850226193</v>
      </c>
      <c r="X222" s="34">
        <v>-11.707568106793509</v>
      </c>
      <c r="AF222" s="34">
        <v>-0.47260000000000002</v>
      </c>
      <c r="AG222" s="34">
        <v>104.7043444273254</v>
      </c>
      <c r="AH222" s="34">
        <v>106.8719403659411</v>
      </c>
      <c r="AI222" s="34">
        <v>-2.1675959386157468</v>
      </c>
      <c r="AJ222" s="34">
        <v>-2.028218006703783E-2</v>
      </c>
      <c r="AK222" s="34">
        <v>-0.53539999999999999</v>
      </c>
      <c r="AL222" s="34">
        <v>104.6382778684679</v>
      </c>
      <c r="AM222" s="34">
        <v>-2.090036439709952</v>
      </c>
    </row>
    <row r="223" spans="1:39" x14ac:dyDescent="0.25">
      <c r="A223" s="34" t="s">
        <v>466</v>
      </c>
      <c r="B223" s="34" t="s">
        <v>467</v>
      </c>
      <c r="C223" s="34">
        <v>0.64259999999999995</v>
      </c>
      <c r="D223" s="34">
        <v>113.6448074262353</v>
      </c>
      <c r="E223" s="34">
        <v>113.6448074262353</v>
      </c>
      <c r="F223" s="34">
        <v>59227.4</v>
      </c>
      <c r="G223" s="35">
        <v>0.1265</v>
      </c>
      <c r="H223" s="34">
        <v>113.0620314932538</v>
      </c>
      <c r="I223" s="35">
        <v>-0.39528203247308769</v>
      </c>
      <c r="Q223" s="34">
        <v>0.49864965360679481</v>
      </c>
      <c r="R223" s="34">
        <v>92.794989573756354</v>
      </c>
      <c r="S223" s="34">
        <v>104.46217515198251</v>
      </c>
      <c r="T223" s="34">
        <v>-11.66718557822611</v>
      </c>
      <c r="U223" s="34">
        <v>-0.111688135550035</v>
      </c>
      <c r="V223" s="34">
        <v>-0.61969999999999992</v>
      </c>
      <c r="W223" s="34">
        <v>91.762366301663135</v>
      </c>
      <c r="X223" s="34">
        <v>-12.15732759904944</v>
      </c>
      <c r="AF223" s="34">
        <v>1.1412</v>
      </c>
      <c r="AG223" s="34">
        <v>105.89923040593</v>
      </c>
      <c r="AH223" s="34">
        <v>106.8719403659411</v>
      </c>
      <c r="AI223" s="34">
        <v>-0.97270996001111598</v>
      </c>
      <c r="AJ223" s="34">
        <v>-9.1016403059629263E-3</v>
      </c>
      <c r="AK223" s="34">
        <v>0.45190000000000002</v>
      </c>
      <c r="AL223" s="34">
        <v>105.1775033597925</v>
      </c>
      <c r="AM223" s="34">
        <v>-1.585483523876086</v>
      </c>
    </row>
    <row r="224" spans="1:39" x14ac:dyDescent="0.25">
      <c r="A224" s="34" t="s">
        <v>467</v>
      </c>
      <c r="B224" s="34" t="s">
        <v>468</v>
      </c>
      <c r="C224" s="34">
        <v>-0.66579999999999995</v>
      </c>
      <c r="D224" s="34">
        <v>112.8881602983914</v>
      </c>
      <c r="E224" s="34">
        <v>113.6448074262353</v>
      </c>
      <c r="F224" s="34">
        <v>59667.25</v>
      </c>
      <c r="G224" s="35">
        <v>-1.2577</v>
      </c>
      <c r="H224" s="34">
        <v>112.2154966832355</v>
      </c>
      <c r="I224" s="35">
        <v>-1.2576999999999949</v>
      </c>
      <c r="Q224" s="34">
        <v>0.12650569275617399</v>
      </c>
      <c r="R224" s="34">
        <v>92.912380518159665</v>
      </c>
      <c r="S224" s="34">
        <v>104.46217515198251</v>
      </c>
      <c r="T224" s="34">
        <v>-11.549794633822801</v>
      </c>
      <c r="U224" s="34">
        <v>-0.11056437047207709</v>
      </c>
      <c r="V224" s="34">
        <v>-0.62229999999999996</v>
      </c>
      <c r="W224" s="34">
        <v>92.217526353638874</v>
      </c>
      <c r="X224" s="34">
        <v>-11.72161002825071</v>
      </c>
      <c r="AF224" s="34">
        <v>-0.5393</v>
      </c>
      <c r="AG224" s="34">
        <v>105.32811585635081</v>
      </c>
      <c r="AH224" s="34">
        <v>106.8719403659411</v>
      </c>
      <c r="AI224" s="34">
        <v>-1.543824509590294</v>
      </c>
      <c r="AJ224" s="34">
        <v>-1.444555515979285E-2</v>
      </c>
      <c r="AK224" s="34">
        <v>-0.58950000000000002</v>
      </c>
      <c r="AL224" s="34">
        <v>105.2749544426871</v>
      </c>
      <c r="AM224" s="34">
        <v>-1.4942986136359251</v>
      </c>
    </row>
    <row r="225" spans="1:39" x14ac:dyDescent="0.25">
      <c r="A225" s="34" t="s">
        <v>468</v>
      </c>
      <c r="B225" s="34" t="s">
        <v>469</v>
      </c>
      <c r="C225" s="34">
        <v>0.35699999999999998</v>
      </c>
      <c r="D225" s="34">
        <v>113.2911710306567</v>
      </c>
      <c r="E225" s="34">
        <v>113.6448074262353</v>
      </c>
      <c r="F225" s="34">
        <v>59339.6</v>
      </c>
      <c r="G225" s="35">
        <v>-1.5087999999999999</v>
      </c>
      <c r="H225" s="34">
        <v>111.1849037358093</v>
      </c>
      <c r="I225" s="35">
        <v>-2.1645544095999951</v>
      </c>
      <c r="Q225" s="34">
        <v>1.0278260801300041</v>
      </c>
      <c r="R225" s="34">
        <v>93.867358196794953</v>
      </c>
      <c r="S225" s="34">
        <v>104.46217515198251</v>
      </c>
      <c r="T225" s="34">
        <v>-10.594816955187509</v>
      </c>
      <c r="U225" s="34">
        <v>-0.10142251910582049</v>
      </c>
      <c r="V225" s="34">
        <v>-0.1166</v>
      </c>
      <c r="W225" s="34">
        <v>92.804044682475492</v>
      </c>
      <c r="X225" s="34">
        <v>-11.16014524161066</v>
      </c>
      <c r="AF225" s="34">
        <v>1.3848</v>
      </c>
      <c r="AG225" s="34">
        <v>106.78669960472961</v>
      </c>
      <c r="AH225" s="34">
        <v>106.8719403659411</v>
      </c>
      <c r="AI225" s="34">
        <v>-8.5240761211537119E-2</v>
      </c>
      <c r="AJ225" s="34">
        <v>-7.9759720764555693E-4</v>
      </c>
      <c r="AK225" s="34">
        <v>0.15290000000000001</v>
      </c>
      <c r="AL225" s="34">
        <v>105.4891625454952</v>
      </c>
      <c r="AM225" s="34">
        <v>-1.29386424136323</v>
      </c>
    </row>
    <row r="226" spans="1:39" x14ac:dyDescent="0.25">
      <c r="A226" s="34" t="s">
        <v>469</v>
      </c>
      <c r="B226" s="34" t="s">
        <v>470</v>
      </c>
      <c r="C226" s="34">
        <v>-0.64259999999999995</v>
      </c>
      <c r="D226" s="34">
        <v>112.5631619656137</v>
      </c>
      <c r="E226" s="34">
        <v>113.6448074262353</v>
      </c>
      <c r="F226" s="34">
        <v>59620.65</v>
      </c>
      <c r="G226" s="35">
        <v>-1.4683999999999999</v>
      </c>
      <c r="H226" s="34">
        <v>111.62760347524249</v>
      </c>
      <c r="I226" s="35">
        <v>-1.775007584312283</v>
      </c>
      <c r="Q226" s="34">
        <v>0.13921914322714729</v>
      </c>
      <c r="R226" s="34">
        <v>93.998039528646487</v>
      </c>
      <c r="S226" s="34">
        <v>104.46217515198251</v>
      </c>
      <c r="T226" s="34">
        <v>-10.464135623335981</v>
      </c>
      <c r="U226" s="34">
        <v>-0.1001715272356876</v>
      </c>
      <c r="V226" s="34">
        <v>-0.29409999999999997</v>
      </c>
      <c r="W226" s="34">
        <v>93.591294296338177</v>
      </c>
      <c r="X226" s="34">
        <v>-10.40652354771303</v>
      </c>
      <c r="AF226" s="34">
        <v>-0.50339999999999996</v>
      </c>
      <c r="AG226" s="34">
        <v>106.2491353589194</v>
      </c>
      <c r="AH226" s="34">
        <v>106.8719403659411</v>
      </c>
      <c r="AI226" s="34">
        <v>-0.62280500702173924</v>
      </c>
      <c r="AJ226" s="34">
        <v>-5.8275821033022066E-3</v>
      </c>
      <c r="AK226" s="34">
        <v>-0.50339999999999996</v>
      </c>
      <c r="AL226" s="34">
        <v>106.2491353589194</v>
      </c>
      <c r="AM226" s="34">
        <v>-0.58275821033022535</v>
      </c>
    </row>
    <row r="227" spans="1:39" x14ac:dyDescent="0.25">
      <c r="A227" s="34" t="s">
        <v>470</v>
      </c>
      <c r="B227" s="34" t="s">
        <v>471</v>
      </c>
      <c r="C227" s="34">
        <v>-2.4180000000000001</v>
      </c>
      <c r="D227" s="34">
        <v>109.84138470928509</v>
      </c>
      <c r="E227" s="34">
        <v>113.6448074262353</v>
      </c>
      <c r="F227" s="34">
        <v>59307.1</v>
      </c>
      <c r="G227" s="35">
        <v>-3.3952</v>
      </c>
      <c r="H227" s="34">
        <v>108.7414174905572</v>
      </c>
      <c r="I227" s="35">
        <v>-4.3146625408827743</v>
      </c>
      <c r="Q227" s="34">
        <v>1.977010218121404</v>
      </c>
      <c r="R227" s="34">
        <v>95.85639037496162</v>
      </c>
      <c r="S227" s="34">
        <v>104.46217515198251</v>
      </c>
      <c r="T227" s="34">
        <v>-8.605784777020844</v>
      </c>
      <c r="U227" s="34">
        <v>-8.2381826383571388E-2</v>
      </c>
      <c r="V227" s="34">
        <v>-9.9299999999999999E-2</v>
      </c>
      <c r="W227" s="34">
        <v>93.904699475394537</v>
      </c>
      <c r="X227" s="34">
        <v>-10.106505690914259</v>
      </c>
      <c r="AF227" s="34">
        <v>-0.441</v>
      </c>
      <c r="AG227" s="34">
        <v>105.78057667198659</v>
      </c>
      <c r="AH227" s="34">
        <v>106.8719403659411</v>
      </c>
      <c r="AI227" s="34">
        <v>-1.091363693954577</v>
      </c>
      <c r="AJ227" s="34">
        <v>-1.021188246622667E-2</v>
      </c>
      <c r="AK227" s="34">
        <v>-0.48070000000000002</v>
      </c>
      <c r="AL227" s="34">
        <v>105.73839576524909</v>
      </c>
      <c r="AM227" s="34">
        <v>-1.0606568916131649</v>
      </c>
    </row>
    <row r="228" spans="1:39" x14ac:dyDescent="0.25">
      <c r="A228" s="34" t="s">
        <v>471</v>
      </c>
      <c r="B228" s="34" t="s">
        <v>472</v>
      </c>
      <c r="C228" s="34">
        <v>-2.1747999999999998</v>
      </c>
      <c r="D228" s="34">
        <v>107.4525542746276</v>
      </c>
      <c r="E228" s="34">
        <v>113.6448074262353</v>
      </c>
      <c r="F228" s="34">
        <v>57942.25</v>
      </c>
      <c r="G228" s="35">
        <v>-2.6307999999999998</v>
      </c>
      <c r="H228" s="34">
        <v>106.9516775603533</v>
      </c>
      <c r="I228" s="35">
        <v>-5.8895166593743493</v>
      </c>
      <c r="Q228" s="34">
        <v>1.2238961498769869</v>
      </c>
      <c r="R228" s="34">
        <v>97.029573046171834</v>
      </c>
      <c r="S228" s="34">
        <v>104.46217515198251</v>
      </c>
      <c r="T228" s="34">
        <v>-7.4326021058106306</v>
      </c>
      <c r="U228" s="34">
        <v>-7.1151132886108359E-2</v>
      </c>
      <c r="V228" s="34">
        <v>-0.39729999999999999</v>
      </c>
      <c r="W228" s="34">
        <v>95.475552936001904</v>
      </c>
      <c r="X228" s="34">
        <v>-8.6027523387349429</v>
      </c>
      <c r="AF228" s="34">
        <v>-0.95089999999999997</v>
      </c>
      <c r="AG228" s="34">
        <v>104.7747091684126</v>
      </c>
      <c r="AH228" s="34">
        <v>106.8719403659411</v>
      </c>
      <c r="AI228" s="34">
        <v>-2.097231197528501</v>
      </c>
      <c r="AJ228" s="34">
        <v>-1.962377767585536E-2</v>
      </c>
      <c r="AK228" s="34">
        <v>-1.1756</v>
      </c>
      <c r="AL228" s="34">
        <v>104.53702021263069</v>
      </c>
      <c r="AM228" s="34">
        <v>-2.1847831575953709</v>
      </c>
    </row>
    <row r="229" spans="1:39" x14ac:dyDescent="0.25">
      <c r="A229" s="34" t="s">
        <v>472</v>
      </c>
      <c r="B229" s="34" t="s">
        <v>473</v>
      </c>
      <c r="C229" s="34">
        <v>-0.2369</v>
      </c>
      <c r="D229" s="34">
        <v>107.197999173551</v>
      </c>
      <c r="E229" s="34">
        <v>113.6448074262353</v>
      </c>
      <c r="F229" s="34">
        <v>56749.75</v>
      </c>
      <c r="G229" s="35">
        <v>-1.768</v>
      </c>
      <c r="H229" s="34">
        <v>105.5527931150522</v>
      </c>
      <c r="I229" s="35">
        <v>-7.1204435067880114</v>
      </c>
      <c r="Q229" s="34">
        <v>-0.11984113419765451</v>
      </c>
      <c r="R229" s="34">
        <v>96.913291705326159</v>
      </c>
      <c r="S229" s="34">
        <v>104.46217515198251</v>
      </c>
      <c r="T229" s="34">
        <v>-7.5488834466563048</v>
      </c>
      <c r="U229" s="34">
        <v>-7.2264275903439715E-2</v>
      </c>
      <c r="V229" s="34">
        <v>-0.59940000000000004</v>
      </c>
      <c r="W229" s="34">
        <v>96.44797778533308</v>
      </c>
      <c r="X229" s="34">
        <v>-7.6718652995588998</v>
      </c>
      <c r="AF229" s="34">
        <v>-0.35670000000000002</v>
      </c>
      <c r="AG229" s="34">
        <v>104.4009777808089</v>
      </c>
      <c r="AH229" s="34">
        <v>106.8719403659411</v>
      </c>
      <c r="AI229" s="34">
        <v>-2.4709625851322272</v>
      </c>
      <c r="AJ229" s="34">
        <v>-2.312077966088557E-2</v>
      </c>
      <c r="AK229" s="34">
        <v>-0.59299999999999997</v>
      </c>
      <c r="AL229" s="34">
        <v>104.15339514304389</v>
      </c>
      <c r="AM229" s="34">
        <v>-2.54374086742376</v>
      </c>
    </row>
    <row r="230" spans="1:39" x14ac:dyDescent="0.25">
      <c r="A230" s="34" t="s">
        <v>473</v>
      </c>
      <c r="B230" s="34" t="s">
        <v>474</v>
      </c>
      <c r="C230" s="34">
        <v>0.67820000000000003</v>
      </c>
      <c r="D230" s="34">
        <v>107.925016003946</v>
      </c>
      <c r="E230" s="34">
        <v>113.6448074262353</v>
      </c>
      <c r="F230" s="34">
        <v>56681.5</v>
      </c>
      <c r="G230" s="35">
        <v>-0.56469999999999998</v>
      </c>
      <c r="H230" s="34">
        <v>106.592652072218</v>
      </c>
      <c r="I230" s="35">
        <v>-6.205435614464605</v>
      </c>
      <c r="Q230" s="34">
        <v>-1.414537751809045</v>
      </c>
      <c r="R230" s="34">
        <v>95.542416607633498</v>
      </c>
      <c r="S230" s="34">
        <v>104.46217515198251</v>
      </c>
      <c r="T230" s="34">
        <v>-8.9197585443489658</v>
      </c>
      <c r="U230" s="34">
        <v>-8.5387447957804549E-2</v>
      </c>
      <c r="V230" s="34">
        <v>-2.0047000000000001</v>
      </c>
      <c r="W230" s="34">
        <v>94.970470946509479</v>
      </c>
      <c r="X230" s="34">
        <v>-9.0862593964403544</v>
      </c>
      <c r="AF230" s="34">
        <v>-0.73629999999999995</v>
      </c>
      <c r="AG230" s="34">
        <v>103.63227338140879</v>
      </c>
      <c r="AH230" s="34">
        <v>106.8719403659411</v>
      </c>
      <c r="AI230" s="34">
        <v>-3.2396669845323198</v>
      </c>
      <c r="AJ230" s="34">
        <v>-3.0313541360242439E-2</v>
      </c>
      <c r="AK230" s="34">
        <v>-0.73629999999999995</v>
      </c>
      <c r="AL230" s="34">
        <v>103.63227338140879</v>
      </c>
      <c r="AM230" s="34">
        <v>-3.0313541360242451</v>
      </c>
    </row>
    <row r="231" spans="1:39" x14ac:dyDescent="0.25">
      <c r="A231" s="34" t="s">
        <v>474</v>
      </c>
      <c r="B231" s="34" t="s">
        <v>475</v>
      </c>
      <c r="C231" s="34">
        <v>1.3977999999999999</v>
      </c>
      <c r="D231" s="34">
        <v>109.43359187764921</v>
      </c>
      <c r="E231" s="34">
        <v>113.6448074262353</v>
      </c>
      <c r="F231" s="34">
        <v>57113.15</v>
      </c>
      <c r="G231" s="35">
        <v>-0.3493</v>
      </c>
      <c r="H231" s="34">
        <v>107.5480339230443</v>
      </c>
      <c r="I231" s="35">
        <v>-5.3647620522814794</v>
      </c>
      <c r="Q231" s="34">
        <v>-0.50307614076484464</v>
      </c>
      <c r="R231" s="34">
        <v>95.061765505370346</v>
      </c>
      <c r="S231" s="34">
        <v>104.46217515198251</v>
      </c>
      <c r="T231" s="34">
        <v>-9.4004096466121183</v>
      </c>
      <c r="U231" s="34">
        <v>-8.9988645487569283E-2</v>
      </c>
      <c r="V231" s="34">
        <v>-0.62070000000000003</v>
      </c>
      <c r="W231" s="34">
        <v>94.949384827749924</v>
      </c>
      <c r="X231" s="34">
        <v>-9.1064448068330357</v>
      </c>
      <c r="AF231" s="34">
        <v>0.89470000000000005</v>
      </c>
      <c r="AG231" s="34">
        <v>104.5594713313523</v>
      </c>
      <c r="AH231" s="34">
        <v>106.8719403659411</v>
      </c>
      <c r="AI231" s="34">
        <v>-2.3124690345888581</v>
      </c>
      <c r="AJ231" s="34">
        <v>-2.1637756614792551E-2</v>
      </c>
      <c r="AK231" s="34">
        <v>-0.108</v>
      </c>
      <c r="AL231" s="34">
        <v>103.5203505261569</v>
      </c>
      <c r="AM231" s="34">
        <v>-3.1360802735573401</v>
      </c>
    </row>
    <row r="232" spans="1:39" x14ac:dyDescent="0.25">
      <c r="A232" s="34" t="s">
        <v>475</v>
      </c>
      <c r="B232" s="34" t="s">
        <v>476</v>
      </c>
      <c r="C232" s="34">
        <v>-2.1097999999999999</v>
      </c>
      <c r="D232" s="34">
        <v>107.1247619562146</v>
      </c>
      <c r="E232" s="34">
        <v>113.6448074262353</v>
      </c>
      <c r="F232" s="34">
        <v>57930.5</v>
      </c>
      <c r="G232" s="35">
        <v>-2.2721</v>
      </c>
      <c r="H232" s="34">
        <v>106.94715123659709</v>
      </c>
      <c r="I232" s="35">
        <v>-5.8934995283312697</v>
      </c>
      <c r="Q232" s="34">
        <v>1.2049635636742511</v>
      </c>
      <c r="R232" s="34">
        <v>96.207225142695521</v>
      </c>
      <c r="S232" s="34">
        <v>104.46217515198251</v>
      </c>
      <c r="T232" s="34">
        <v>-8.2549500092869437</v>
      </c>
      <c r="U232" s="34">
        <v>-7.9023340240395937E-2</v>
      </c>
      <c r="V232" s="34">
        <v>-0.34670000000000001</v>
      </c>
      <c r="W232" s="34">
        <v>94.73218636436323</v>
      </c>
      <c r="X232" s="34">
        <v>-9.3143654853663822</v>
      </c>
      <c r="AF232" s="34">
        <v>-0.90480000000000005</v>
      </c>
      <c r="AG232" s="34">
        <v>103.61341723474619</v>
      </c>
      <c r="AH232" s="34">
        <v>106.8719403659411</v>
      </c>
      <c r="AI232" s="34">
        <v>-3.2585231311949339</v>
      </c>
      <c r="AJ232" s="34">
        <v>-3.048997819294192E-2</v>
      </c>
      <c r="AK232" s="34">
        <v>-0.97509999999999997</v>
      </c>
      <c r="AL232" s="34">
        <v>103.53991192640029</v>
      </c>
      <c r="AM232" s="34">
        <v>-3.1177766850041588</v>
      </c>
    </row>
    <row r="233" spans="1:39" x14ac:dyDescent="0.25">
      <c r="A233" s="34" t="s">
        <v>476</v>
      </c>
      <c r="B233" s="34" t="s">
        <v>477</v>
      </c>
      <c r="C233" s="34">
        <v>4.4999999999999997E-3</v>
      </c>
      <c r="D233" s="34">
        <v>107.12958257050261</v>
      </c>
      <c r="E233" s="34">
        <v>113.6448074262353</v>
      </c>
      <c r="F233" s="34">
        <v>56766.2</v>
      </c>
      <c r="G233" s="35">
        <v>-1.9971000000000001</v>
      </c>
      <c r="H233" s="34">
        <v>104.98537333518701</v>
      </c>
      <c r="I233" s="35">
        <v>-7.6197358129793669</v>
      </c>
      <c r="Q233" s="34">
        <v>0.5210008882306405</v>
      </c>
      <c r="R233" s="34">
        <v>96.708465640231012</v>
      </c>
      <c r="S233" s="34">
        <v>104.46217515198251</v>
      </c>
      <c r="T233" s="34">
        <v>-7.7537095117514534</v>
      </c>
      <c r="U233" s="34">
        <v>-7.4225043662651549E-2</v>
      </c>
      <c r="V233" s="34">
        <v>3.699999999999995E-3</v>
      </c>
      <c r="W233" s="34">
        <v>96.2107848100258</v>
      </c>
      <c r="X233" s="34">
        <v>-7.898926410398488</v>
      </c>
      <c r="AF233" s="34">
        <v>0.52549999999999997</v>
      </c>
      <c r="AG233" s="34">
        <v>104.1579057423148</v>
      </c>
      <c r="AH233" s="34">
        <v>106.8719403659411</v>
      </c>
      <c r="AI233" s="34">
        <v>-2.7140346236263468</v>
      </c>
      <c r="AJ233" s="34">
        <v>-2.5395203028345869E-2</v>
      </c>
      <c r="AK233" s="34">
        <v>-0.9879</v>
      </c>
      <c r="AL233" s="34">
        <v>102.5898202858841</v>
      </c>
      <c r="AM233" s="34">
        <v>-4.0067767698373729</v>
      </c>
    </row>
    <row r="234" spans="1:39" x14ac:dyDescent="0.25">
      <c r="A234" s="34" t="s">
        <v>477</v>
      </c>
      <c r="B234" s="34" t="s">
        <v>478</v>
      </c>
      <c r="C234" s="34">
        <v>0.82599999999999996</v>
      </c>
      <c r="D234" s="34">
        <v>108.01447292253491</v>
      </c>
      <c r="E234" s="34">
        <v>113.6448074262353</v>
      </c>
      <c r="F234" s="34">
        <v>56825.5</v>
      </c>
      <c r="G234" s="35">
        <v>-0.3427</v>
      </c>
      <c r="H234" s="34">
        <v>106.76244949103349</v>
      </c>
      <c r="I234" s="35">
        <v>-6.0560249879159764</v>
      </c>
      <c r="Q234" s="34">
        <v>-0.46131886026627361</v>
      </c>
      <c r="R234" s="34">
        <v>96.2623312487585</v>
      </c>
      <c r="S234" s="34">
        <v>104.46217515198251</v>
      </c>
      <c r="T234" s="34">
        <v>-8.1998439032239645</v>
      </c>
      <c r="U234" s="34">
        <v>-7.8495818139857579E-2</v>
      </c>
      <c r="V234" s="34">
        <v>-1.2335</v>
      </c>
      <c r="W234" s="34">
        <v>95.515566716558766</v>
      </c>
      <c r="X234" s="34">
        <v>-8.5644477749072685</v>
      </c>
      <c r="AF234" s="34">
        <v>0.36470000000000002</v>
      </c>
      <c r="AG234" s="34">
        <v>104.537769624557</v>
      </c>
      <c r="AH234" s="34">
        <v>106.8719403659411</v>
      </c>
      <c r="AI234" s="34">
        <v>-2.3341707413841282</v>
      </c>
      <c r="AJ234" s="34">
        <v>-2.1840819333790271E-2</v>
      </c>
      <c r="AK234" s="34">
        <v>0.13869999999999999</v>
      </c>
      <c r="AL234" s="34">
        <v>104.30237275757941</v>
      </c>
      <c r="AM234" s="34">
        <v>-2.4043426174946152</v>
      </c>
    </row>
    <row r="235" spans="1:39" x14ac:dyDescent="0.25">
      <c r="A235" s="34" t="s">
        <v>478</v>
      </c>
      <c r="B235" s="34" t="s">
        <v>479</v>
      </c>
      <c r="C235" s="34">
        <v>1.0795999999999999</v>
      </c>
      <c r="D235" s="34">
        <v>109.1805971722066</v>
      </c>
      <c r="E235" s="34">
        <v>113.6448074262353</v>
      </c>
      <c r="F235" s="34">
        <v>57361.15</v>
      </c>
      <c r="G235" s="35">
        <v>-0.2437</v>
      </c>
      <c r="H235" s="34">
        <v>107.7512416520227</v>
      </c>
      <c r="I235" s="35">
        <v>-5.1859525372841766</v>
      </c>
      <c r="Q235" s="34">
        <v>-0.57723785630813995</v>
      </c>
      <c r="R235" s="34">
        <v>95.706668631425927</v>
      </c>
      <c r="S235" s="34">
        <v>104.46217515198251</v>
      </c>
      <c r="T235" s="34">
        <v>-8.755506520556537</v>
      </c>
      <c r="U235" s="34">
        <v>-8.3815089125016909E-2</v>
      </c>
      <c r="V235" s="34">
        <v>-0.82009999999999994</v>
      </c>
      <c r="W235" s="34">
        <v>95.472883870187431</v>
      </c>
      <c r="X235" s="34">
        <v>-8.6053073935292606</v>
      </c>
      <c r="AF235" s="34">
        <v>0.50239999999999996</v>
      </c>
      <c r="AG235" s="34">
        <v>105.06296737915081</v>
      </c>
      <c r="AH235" s="34">
        <v>106.8719403659411</v>
      </c>
      <c r="AI235" s="34">
        <v>-1.8089729867903661</v>
      </c>
      <c r="AJ235" s="34">
        <v>-1.6926547610123351E-2</v>
      </c>
      <c r="AK235" s="34">
        <v>-0.26250000000000001</v>
      </c>
      <c r="AL235" s="34">
        <v>104.26335797929249</v>
      </c>
      <c r="AM235" s="34">
        <v>-2.4408487183039118</v>
      </c>
    </row>
    <row r="236" spans="1:39" x14ac:dyDescent="0.25">
      <c r="A236" s="34" t="s">
        <v>479</v>
      </c>
      <c r="B236" s="34" t="s">
        <v>480</v>
      </c>
      <c r="C236" s="34">
        <v>0.75560000000000005</v>
      </c>
      <c r="D236" s="34">
        <v>110.00556576443979</v>
      </c>
      <c r="E236" s="34">
        <v>113.6448074262353</v>
      </c>
      <c r="F236" s="34">
        <v>57999.55</v>
      </c>
      <c r="G236" s="35">
        <v>-0.1542</v>
      </c>
      <c r="H236" s="34">
        <v>109.0122406913671</v>
      </c>
      <c r="I236" s="35">
        <v>-4.0763558316336717</v>
      </c>
      <c r="Q236" s="34">
        <v>-0.27269341811789488</v>
      </c>
      <c r="R236" s="34">
        <v>95.445682845368125</v>
      </c>
      <c r="S236" s="34">
        <v>104.46217515198251</v>
      </c>
      <c r="T236" s="34">
        <v>-9.0164923066143388</v>
      </c>
      <c r="U236" s="34">
        <v>-8.6313465074762286E-2</v>
      </c>
      <c r="V236" s="34">
        <v>-0.56240000000000001</v>
      </c>
      <c r="W236" s="34">
        <v>95.168414327042797</v>
      </c>
      <c r="X236" s="34">
        <v>-8.8967713063777705</v>
      </c>
      <c r="AF236" s="34">
        <v>0.4829</v>
      </c>
      <c r="AG236" s="34">
        <v>105.57031644862469</v>
      </c>
      <c r="AH236" s="34">
        <v>106.8719403659411</v>
      </c>
      <c r="AI236" s="34">
        <v>-1.3016239173164481</v>
      </c>
      <c r="AJ236" s="34">
        <v>-1.217928590853264E-2</v>
      </c>
      <c r="AK236" s="34">
        <v>-2.1700000000000001E-2</v>
      </c>
      <c r="AL236" s="34">
        <v>105.0401687152295</v>
      </c>
      <c r="AM236" s="34">
        <v>-1.7139874549292</v>
      </c>
    </row>
    <row r="237" spans="1:39" x14ac:dyDescent="0.25">
      <c r="A237" s="34" t="s">
        <v>480</v>
      </c>
      <c r="B237" s="34" t="s">
        <v>481</v>
      </c>
      <c r="C237" s="34">
        <v>0.51929999999999998</v>
      </c>
      <c r="D237" s="34">
        <v>110.5768246674546</v>
      </c>
      <c r="E237" s="34">
        <v>113.6448074262353</v>
      </c>
      <c r="F237" s="34">
        <v>58486.1</v>
      </c>
      <c r="G237" s="35">
        <v>-0.11609999999999999</v>
      </c>
      <c r="H237" s="34">
        <v>109.87784930258729</v>
      </c>
      <c r="I237" s="35">
        <v>-3.3146768505838198</v>
      </c>
      <c r="Q237" s="34">
        <v>-0.58398353357905319</v>
      </c>
      <c r="R237" s="34">
        <v>94.888295774039079</v>
      </c>
      <c r="S237" s="34">
        <v>104.46217515198251</v>
      </c>
      <c r="T237" s="34">
        <v>-9.5738793779433848</v>
      </c>
      <c r="U237" s="34">
        <v>-9.1649243987254783E-2</v>
      </c>
      <c r="V237" s="34">
        <v>-0.67469999999999997</v>
      </c>
      <c r="W237" s="34">
        <v>94.801710823210428</v>
      </c>
      <c r="X237" s="34">
        <v>-9.2478108125902843</v>
      </c>
      <c r="AF237" s="34">
        <v>-6.4699999999999994E-2</v>
      </c>
      <c r="AG237" s="34">
        <v>105.5020124538824</v>
      </c>
      <c r="AH237" s="34">
        <v>106.8719403659411</v>
      </c>
      <c r="AI237" s="34">
        <v>-1.3699279120586989</v>
      </c>
      <c r="AJ237" s="34">
        <v>-1.281840591054974E-2</v>
      </c>
      <c r="AK237" s="34">
        <v>-8.9399999999999993E-2</v>
      </c>
      <c r="AL237" s="34">
        <v>105.47593658571959</v>
      </c>
      <c r="AM237" s="34">
        <v>-1.30623976269304</v>
      </c>
    </row>
    <row r="238" spans="1:39" x14ac:dyDescent="0.25">
      <c r="A238" s="34" t="s">
        <v>481</v>
      </c>
      <c r="B238" s="34" t="s">
        <v>482</v>
      </c>
      <c r="C238" s="34">
        <v>-0.2702</v>
      </c>
      <c r="D238" s="34">
        <v>110.27804608720309</v>
      </c>
      <c r="E238" s="34">
        <v>113.6448074262353</v>
      </c>
      <c r="F238" s="34">
        <v>58799.55</v>
      </c>
      <c r="G238" s="35">
        <v>-0.52910000000000001</v>
      </c>
      <c r="H238" s="34">
        <v>109.991762688139</v>
      </c>
      <c r="I238" s="35">
        <v>-3.2144405193940462</v>
      </c>
      <c r="Q238" s="34">
        <v>0.34826915381293322</v>
      </c>
      <c r="R238" s="34">
        <v>95.218762438798848</v>
      </c>
      <c r="S238" s="34">
        <v>104.46217515198251</v>
      </c>
      <c r="T238" s="34">
        <v>-9.2434127131836163</v>
      </c>
      <c r="U238" s="34">
        <v>-8.8485738495635721E-2</v>
      </c>
      <c r="V238" s="34">
        <v>-0.64239999999999997</v>
      </c>
      <c r="W238" s="34">
        <v>94.278733361986653</v>
      </c>
      <c r="X238" s="34">
        <v>-9.7484489243880645</v>
      </c>
      <c r="AF238" s="34">
        <v>7.8100000000000003E-2</v>
      </c>
      <c r="AG238" s="34">
        <v>105.5844095256089</v>
      </c>
      <c r="AH238" s="34">
        <v>106.8719403659411</v>
      </c>
      <c r="AI238" s="34">
        <v>-1.2875308403322241</v>
      </c>
      <c r="AJ238" s="34">
        <v>-1.2047417085565939E-2</v>
      </c>
      <c r="AK238" s="34">
        <v>-5.7799999999999997E-2</v>
      </c>
      <c r="AL238" s="34">
        <v>105.44103229068411</v>
      </c>
      <c r="AM238" s="34">
        <v>-1.3388996871933401</v>
      </c>
    </row>
    <row r="239" spans="1:39" x14ac:dyDescent="0.25">
      <c r="A239" s="34" t="s">
        <v>482</v>
      </c>
      <c r="B239" s="34" t="s">
        <v>483</v>
      </c>
      <c r="C239" s="34">
        <v>-3.8071999999999999</v>
      </c>
      <c r="D239" s="34">
        <v>106.0795403165711</v>
      </c>
      <c r="E239" s="34">
        <v>113.6448074262353</v>
      </c>
      <c r="F239" s="34">
        <v>58699.5</v>
      </c>
      <c r="G239" s="35">
        <v>-4.1325000000000003</v>
      </c>
      <c r="H239" s="34">
        <v>105.7208058326494</v>
      </c>
      <c r="I239" s="35">
        <v>-6.9726033006208272</v>
      </c>
      <c r="Q239" s="34">
        <v>1.789317266048603</v>
      </c>
      <c r="R239" s="34">
        <v>96.922528195634087</v>
      </c>
      <c r="S239" s="34">
        <v>104.46217515198251</v>
      </c>
      <c r="T239" s="34">
        <v>-7.5396469563483777</v>
      </c>
      <c r="U239" s="34">
        <v>-7.2175856432042634E-2</v>
      </c>
      <c r="V239" s="34">
        <v>-0.15970000000000001</v>
      </c>
      <c r="W239" s="34">
        <v>95.066698075184092</v>
      </c>
      <c r="X239" s="34">
        <v>-8.9941426771258151</v>
      </c>
      <c r="AF239" s="34">
        <v>-2.0179</v>
      </c>
      <c r="AG239" s="34">
        <v>103.4538217257916</v>
      </c>
      <c r="AH239" s="34">
        <v>106.8719403659411</v>
      </c>
      <c r="AI239" s="34">
        <v>-3.418118640149487</v>
      </c>
      <c r="AJ239" s="34">
        <v>-3.1983312256196321E-2</v>
      </c>
      <c r="AK239" s="34">
        <v>-2.1956000000000002</v>
      </c>
      <c r="AL239" s="34">
        <v>103.2661982300646</v>
      </c>
      <c r="AM239" s="34">
        <v>-3.3738903996035301</v>
      </c>
    </row>
    <row r="240" spans="1:39" x14ac:dyDescent="0.25">
      <c r="A240" s="34" t="s">
        <v>483</v>
      </c>
      <c r="B240" s="34" t="s">
        <v>484</v>
      </c>
      <c r="C240" s="34">
        <v>1.6495</v>
      </c>
      <c r="D240" s="34">
        <v>107.82932233409289</v>
      </c>
      <c r="E240" s="34">
        <v>113.6448074262353</v>
      </c>
      <c r="F240" s="34">
        <v>56533.15</v>
      </c>
      <c r="G240" s="35">
        <v>-0.61299999999999999</v>
      </c>
      <c r="H240" s="34">
        <v>105.4292727344305</v>
      </c>
      <c r="I240" s="35">
        <v>-7.2291333654969758</v>
      </c>
      <c r="Q240" s="34">
        <v>-0.79866368444767388</v>
      </c>
      <c r="R240" s="34">
        <v>96.148443160886998</v>
      </c>
      <c r="S240" s="34">
        <v>104.46217515198251</v>
      </c>
      <c r="T240" s="34">
        <v>-8.3137319910954659</v>
      </c>
      <c r="U240" s="34">
        <v>-7.9586050922257567E-2</v>
      </c>
      <c r="V240" s="34">
        <v>-0.84650000000000003</v>
      </c>
      <c r="W240" s="34">
        <v>96.102078994458054</v>
      </c>
      <c r="X240" s="34">
        <v>-8.0029887807345332</v>
      </c>
      <c r="AF240" s="34">
        <v>0.8508</v>
      </c>
      <c r="AG240" s="34">
        <v>104.33400684103469</v>
      </c>
      <c r="AH240" s="34">
        <v>106.8719403659411</v>
      </c>
      <c r="AI240" s="34">
        <v>-2.5379335249064501</v>
      </c>
      <c r="AJ240" s="34">
        <v>-2.374742627687202E-2</v>
      </c>
      <c r="AK240" s="34">
        <v>-0.15670000000000001</v>
      </c>
      <c r="AL240" s="34">
        <v>103.2917095871473</v>
      </c>
      <c r="AM240" s="34">
        <v>-3.350019440589092</v>
      </c>
    </row>
    <row r="241" spans="1:39" x14ac:dyDescent="0.25">
      <c r="A241" s="34" t="s">
        <v>484</v>
      </c>
      <c r="B241" s="34" t="s">
        <v>485</v>
      </c>
      <c r="C241" s="34">
        <v>0.83989999999999998</v>
      </c>
      <c r="D241" s="34">
        <v>108.734980812377</v>
      </c>
      <c r="E241" s="34">
        <v>113.6448074262353</v>
      </c>
      <c r="F241" s="34">
        <v>57503.35</v>
      </c>
      <c r="G241" s="35">
        <v>-0.15570000000000001</v>
      </c>
      <c r="H241" s="34">
        <v>107.6614320792188</v>
      </c>
      <c r="I241" s="35">
        <v>-5.2649790892559949</v>
      </c>
      <c r="Q241" s="34">
        <v>-0.87008044026230957</v>
      </c>
      <c r="R241" s="34">
        <v>95.311874363327391</v>
      </c>
      <c r="S241" s="34">
        <v>104.46217515198251</v>
      </c>
      <c r="T241" s="34">
        <v>-9.1503007886550733</v>
      </c>
      <c r="U241" s="34">
        <v>-8.7594392662628959E-2</v>
      </c>
      <c r="V241" s="34">
        <v>-0.95480000000000009</v>
      </c>
      <c r="W241" s="34">
        <v>95.230417825586855</v>
      </c>
      <c r="X241" s="34">
        <v>-8.8374163308051816</v>
      </c>
      <c r="AF241" s="34">
        <v>-3.0200000000000001E-2</v>
      </c>
      <c r="AG241" s="34">
        <v>104.3024979709687</v>
      </c>
      <c r="AH241" s="34">
        <v>106.8719403659411</v>
      </c>
      <c r="AI241" s="34">
        <v>-2.569442394972441</v>
      </c>
      <c r="AJ241" s="34">
        <v>-2.4042254554136389E-2</v>
      </c>
      <c r="AK241" s="34">
        <v>-6.7000000000000004E-2</v>
      </c>
      <c r="AL241" s="34">
        <v>104.26410305645121</v>
      </c>
      <c r="AM241" s="34">
        <v>-2.4401515501266462</v>
      </c>
    </row>
    <row r="242" spans="1:39" x14ac:dyDescent="0.25">
      <c r="A242" s="34" t="s">
        <v>485</v>
      </c>
      <c r="B242" s="34" t="s">
        <v>486</v>
      </c>
      <c r="C242" s="34">
        <v>0.66490000000000005</v>
      </c>
      <c r="D242" s="34">
        <v>109.45795969979849</v>
      </c>
      <c r="E242" s="34">
        <v>113.6448074262353</v>
      </c>
      <c r="F242" s="34">
        <v>58015.1</v>
      </c>
      <c r="G242" s="35">
        <v>-0.41239999999999999</v>
      </c>
      <c r="H242" s="34">
        <v>108.28655775150671</v>
      </c>
      <c r="I242" s="35">
        <v>-4.7149093707659961</v>
      </c>
      <c r="Q242" s="34">
        <v>-0.2298859741642458</v>
      </c>
      <c r="R242" s="34">
        <v>95.09276573245306</v>
      </c>
      <c r="S242" s="34">
        <v>104.46217515198251</v>
      </c>
      <c r="T242" s="34">
        <v>-9.3694094195294042</v>
      </c>
      <c r="U242" s="34">
        <v>-8.9691885181385614E-2</v>
      </c>
      <c r="V242" s="34">
        <v>-0.48849999999999999</v>
      </c>
      <c r="W242" s="34">
        <v>94.846275857062537</v>
      </c>
      <c r="X242" s="34">
        <v>-9.2051494054471998</v>
      </c>
      <c r="AF242" s="34">
        <v>0.435</v>
      </c>
      <c r="AG242" s="34">
        <v>104.7562138371424</v>
      </c>
      <c r="AH242" s="34">
        <v>106.8719403659411</v>
      </c>
      <c r="AI242" s="34">
        <v>-2.1157265287987168</v>
      </c>
      <c r="AJ242" s="34">
        <v>-1.979683836144679E-2</v>
      </c>
      <c r="AK242" s="34">
        <v>-7.3000000000000001E-3</v>
      </c>
      <c r="AL242" s="34">
        <v>104.29488388861679</v>
      </c>
      <c r="AM242" s="34">
        <v>-2.4113499469553878</v>
      </c>
    </row>
    <row r="243" spans="1:39" x14ac:dyDescent="0.25">
      <c r="A243" s="34" t="s">
        <v>486</v>
      </c>
      <c r="B243" s="34" t="s">
        <v>487</v>
      </c>
      <c r="C243" s="34">
        <v>0.50239999999999996</v>
      </c>
      <c r="D243" s="34">
        <v>110.0078764893303</v>
      </c>
      <c r="E243" s="34">
        <v>113.6448074262353</v>
      </c>
      <c r="F243" s="34">
        <v>58429.85</v>
      </c>
      <c r="G243" s="35">
        <v>-0.24890000000000001</v>
      </c>
      <c r="H243" s="34">
        <v>109.18551883810569</v>
      </c>
      <c r="I243" s="35">
        <v>-3.9238823920961341</v>
      </c>
      <c r="Q243" s="34">
        <v>4.3682342008911192E-3</v>
      </c>
      <c r="R243" s="34">
        <v>95.09691960716836</v>
      </c>
      <c r="S243" s="34">
        <v>104.46217515198251</v>
      </c>
      <c r="T243" s="34">
        <v>-9.3652555448141044</v>
      </c>
      <c r="U243" s="34">
        <v>-8.9652120790980602E-2</v>
      </c>
      <c r="V243" s="34">
        <v>-0.64359999999999995</v>
      </c>
      <c r="W243" s="34">
        <v>94.480748692198986</v>
      </c>
      <c r="X243" s="34">
        <v>-9.5550628208358255</v>
      </c>
      <c r="AF243" s="34">
        <v>0.50680000000000003</v>
      </c>
      <c r="AG243" s="34">
        <v>105.2871183288691</v>
      </c>
      <c r="AH243" s="34">
        <v>106.8719403659411</v>
      </c>
      <c r="AI243" s="34">
        <v>-1.584822037072072</v>
      </c>
      <c r="AJ243" s="34">
        <v>-1.482916873826254E-2</v>
      </c>
      <c r="AK243" s="34">
        <v>-3.6200000000000003E-2</v>
      </c>
      <c r="AL243" s="34">
        <v>104.7182920877334</v>
      </c>
      <c r="AM243" s="34">
        <v>-2.01516719059599</v>
      </c>
    </row>
    <row r="244" spans="1:39" x14ac:dyDescent="0.25">
      <c r="A244" s="34" t="s">
        <v>487</v>
      </c>
      <c r="B244" s="34" t="s">
        <v>488</v>
      </c>
      <c r="C244" s="34">
        <v>0.76480000000000004</v>
      </c>
      <c r="D244" s="34">
        <v>110.84921672872071</v>
      </c>
      <c r="E244" s="34">
        <v>113.6448074262353</v>
      </c>
      <c r="F244" s="34">
        <v>58762.35</v>
      </c>
      <c r="G244" s="35">
        <v>-0.93440000000000001</v>
      </c>
      <c r="H244" s="34">
        <v>108.9799628914139</v>
      </c>
      <c r="I244" s="35">
        <v>-4.1047581851455961</v>
      </c>
      <c r="Q244" s="34">
        <v>-1.2000864141497229</v>
      </c>
      <c r="R244" s="34">
        <v>93.955674394687847</v>
      </c>
      <c r="S244" s="34">
        <v>104.46217515198251</v>
      </c>
      <c r="T244" s="34">
        <v>-10.506500757294621</v>
      </c>
      <c r="U244" s="34">
        <v>-0.10057708201086819</v>
      </c>
      <c r="V244" s="34">
        <v>-1.3565</v>
      </c>
      <c r="W244" s="34">
        <v>93.806929892697113</v>
      </c>
      <c r="X244" s="34">
        <v>-10.2000989772451</v>
      </c>
      <c r="AF244" s="34">
        <v>-0.43530000000000002</v>
      </c>
      <c r="AG244" s="34">
        <v>104.8288035027835</v>
      </c>
      <c r="AH244" s="34">
        <v>106.8719403659411</v>
      </c>
      <c r="AI244" s="34">
        <v>-2.0431368631576419</v>
      </c>
      <c r="AJ244" s="34">
        <v>-1.9117617366744909E-2</v>
      </c>
      <c r="AK244" s="34">
        <v>-0.45469999999999999</v>
      </c>
      <c r="AL244" s="34">
        <v>104.8083778018277</v>
      </c>
      <c r="AM244" s="34">
        <v>-1.9308740508009681</v>
      </c>
    </row>
    <row r="245" spans="1:39" x14ac:dyDescent="0.25">
      <c r="A245" s="34" t="s">
        <v>488</v>
      </c>
      <c r="B245" s="34" t="s">
        <v>489</v>
      </c>
      <c r="C245" s="34">
        <v>-0.5887</v>
      </c>
      <c r="D245" s="34">
        <v>110.1966473898387</v>
      </c>
      <c r="E245" s="34">
        <v>113.6448074262353</v>
      </c>
      <c r="F245" s="34">
        <v>59241.15</v>
      </c>
      <c r="G245" s="35">
        <v>-0.88680000000000003</v>
      </c>
      <c r="H245" s="34">
        <v>109.8662058747704</v>
      </c>
      <c r="I245" s="35">
        <v>-3.324922305770583</v>
      </c>
      <c r="Q245" s="34">
        <v>-0.36739846708852347</v>
      </c>
      <c r="R245" s="34">
        <v>93.61048268721909</v>
      </c>
      <c r="S245" s="34">
        <v>104.46217515198251</v>
      </c>
      <c r="T245" s="34">
        <v>-10.851692464763371</v>
      </c>
      <c r="U245" s="34">
        <v>-0.103881548024203</v>
      </c>
      <c r="V245" s="34">
        <v>-0.75959999999999994</v>
      </c>
      <c r="W245" s="34">
        <v>93.241987091985791</v>
      </c>
      <c r="X245" s="34">
        <v>-10.74090984959137</v>
      </c>
      <c r="AF245" s="34">
        <v>-0.95609999999999995</v>
      </c>
      <c r="AG245" s="34">
        <v>103.82653531249341</v>
      </c>
      <c r="AH245" s="34">
        <v>106.8719403659411</v>
      </c>
      <c r="AI245" s="34">
        <v>-3.0454050534477659</v>
      </c>
      <c r="AJ245" s="34">
        <v>-2.8495833827101559E-2</v>
      </c>
      <c r="AK245" s="34">
        <v>-0.95609999999999995</v>
      </c>
      <c r="AL245" s="34">
        <v>103.82653531249341</v>
      </c>
      <c r="AM245" s="34">
        <v>-2.849583382710152</v>
      </c>
    </row>
    <row r="246" spans="1:39" x14ac:dyDescent="0.25">
      <c r="A246" s="34" t="s">
        <v>489</v>
      </c>
      <c r="B246" s="34" t="s">
        <v>490</v>
      </c>
      <c r="C246" s="34">
        <v>0.70079999999999998</v>
      </c>
      <c r="D246" s="34">
        <v>110.96890549474671</v>
      </c>
      <c r="E246" s="34">
        <v>113.6448074262353</v>
      </c>
      <c r="F246" s="34">
        <v>58902.25</v>
      </c>
      <c r="G246" s="35">
        <v>0.32500000000000001</v>
      </c>
      <c r="H246" s="34">
        <v>110.5547864938557</v>
      </c>
      <c r="I246" s="35">
        <v>-2.7190163830277059</v>
      </c>
      <c r="Q246" s="34">
        <v>-0.50564277893492182</v>
      </c>
      <c r="R246" s="34">
        <v>93.137148041185043</v>
      </c>
      <c r="S246" s="34">
        <v>104.46217515198251</v>
      </c>
      <c r="T246" s="34">
        <v>-11.32502711079742</v>
      </c>
      <c r="U246" s="34">
        <v>-0.108412706267322</v>
      </c>
      <c r="V246" s="34">
        <v>-0.70950000000000002</v>
      </c>
      <c r="W246" s="34">
        <v>92.946316312553279</v>
      </c>
      <c r="X246" s="34">
        <v>-11.02395084409712</v>
      </c>
      <c r="AF246" s="34">
        <v>0.19520000000000001</v>
      </c>
      <c r="AG246" s="34">
        <v>104.0292047094233</v>
      </c>
      <c r="AH246" s="34">
        <v>106.8719403659411</v>
      </c>
      <c r="AI246" s="34">
        <v>-2.8427356565177888</v>
      </c>
      <c r="AJ246" s="34">
        <v>-2.6599457694732161E-2</v>
      </c>
      <c r="AK246" s="34">
        <v>0.10639999999999999</v>
      </c>
      <c r="AL246" s="34">
        <v>103.9370067460658</v>
      </c>
      <c r="AM246" s="34">
        <v>-2.7462153394293698</v>
      </c>
    </row>
    <row r="247" spans="1:39" x14ac:dyDescent="0.25">
      <c r="A247" s="34" t="s">
        <v>490</v>
      </c>
      <c r="B247" s="34" t="s">
        <v>491</v>
      </c>
      <c r="C247" s="34">
        <v>0.61739999999999995</v>
      </c>
      <c r="D247" s="34">
        <v>111.6540275172712</v>
      </c>
      <c r="E247" s="34">
        <v>113.6448074262353</v>
      </c>
      <c r="F247" s="34">
        <v>59344.5</v>
      </c>
      <c r="G247" s="35">
        <v>-0.51400000000000001</v>
      </c>
      <c r="H247" s="34">
        <v>110.39852532050369</v>
      </c>
      <c r="I247" s="35">
        <v>-2.8565159986202788</v>
      </c>
      <c r="Q247" s="34">
        <v>-0.52857333568082832</v>
      </c>
      <c r="R247" s="34">
        <v>92.644849911025759</v>
      </c>
      <c r="S247" s="34">
        <v>104.46217515198251</v>
      </c>
      <c r="T247" s="34">
        <v>-11.817325240956711</v>
      </c>
      <c r="U247" s="34">
        <v>-0.1131253989663113</v>
      </c>
      <c r="V247" s="34">
        <v>-1.2426999999999999</v>
      </c>
      <c r="W247" s="34">
        <v>91.979732702477236</v>
      </c>
      <c r="X247" s="34">
        <v>-11.9492461566538</v>
      </c>
      <c r="AF247" s="34">
        <v>8.8800000000000004E-2</v>
      </c>
      <c r="AG247" s="34">
        <v>104.1215826432053</v>
      </c>
      <c r="AH247" s="34">
        <v>106.8719403659411</v>
      </c>
      <c r="AI247" s="34">
        <v>-2.7503577227358278</v>
      </c>
      <c r="AJ247" s="34">
        <v>-2.5735078013165141E-2</v>
      </c>
      <c r="AK247" s="34">
        <v>-0.49640000000000001</v>
      </c>
      <c r="AL247" s="34">
        <v>103.5128037372458</v>
      </c>
      <c r="AM247" s="34">
        <v>-3.1431417986735539</v>
      </c>
    </row>
    <row r="248" spans="1:39" x14ac:dyDescent="0.25">
      <c r="A248" s="34" t="s">
        <v>491</v>
      </c>
      <c r="B248" s="34" t="s">
        <v>492</v>
      </c>
      <c r="C248" s="34">
        <v>0.7319</v>
      </c>
      <c r="D248" s="34">
        <v>112.47122334467009</v>
      </c>
      <c r="E248" s="34">
        <v>113.6448074262353</v>
      </c>
      <c r="F248" s="34">
        <v>59780.15</v>
      </c>
      <c r="G248" s="35">
        <v>-0.45889999999999997</v>
      </c>
      <c r="H248" s="34">
        <v>111.1416471849945</v>
      </c>
      <c r="I248" s="35">
        <v>-2.2026173460371949</v>
      </c>
      <c r="Q248" s="34">
        <v>1.119538782371597</v>
      </c>
      <c r="R248" s="34">
        <v>93.682044935649643</v>
      </c>
      <c r="S248" s="34">
        <v>104.46217515198251</v>
      </c>
      <c r="T248" s="34">
        <v>-10.78013021633282</v>
      </c>
      <c r="U248" s="34">
        <v>-0.10319649385673579</v>
      </c>
      <c r="V248" s="34">
        <v>-0.3604</v>
      </c>
      <c r="W248" s="34">
        <v>92.310957871946414</v>
      </c>
      <c r="X248" s="34">
        <v>-11.632169502843681</v>
      </c>
      <c r="AF248" s="34">
        <v>1.8513999999999999</v>
      </c>
      <c r="AG248" s="34">
        <v>106.0492896242616</v>
      </c>
      <c r="AH248" s="34">
        <v>106.8719403659411</v>
      </c>
      <c r="AI248" s="34">
        <v>-0.82265074167953856</v>
      </c>
      <c r="AJ248" s="34">
        <v>-7.6975372475010101E-3</v>
      </c>
      <c r="AK248" s="34">
        <v>0.55959999999999999</v>
      </c>
      <c r="AL248" s="34">
        <v>104.7042470196767</v>
      </c>
      <c r="AM248" s="34">
        <v>-2.0283091509726852</v>
      </c>
    </row>
    <row r="249" spans="1:39" x14ac:dyDescent="0.25">
      <c r="A249" s="34" t="s">
        <v>492</v>
      </c>
      <c r="B249" s="34" t="s">
        <v>493</v>
      </c>
      <c r="C249" s="34">
        <v>-0.38729999999999998</v>
      </c>
      <c r="D249" s="34">
        <v>112.0356222966562</v>
      </c>
      <c r="E249" s="34">
        <v>113.6448074262353</v>
      </c>
      <c r="F249" s="34">
        <v>60287.4</v>
      </c>
      <c r="G249" s="35">
        <v>-2.52</v>
      </c>
      <c r="H249" s="34">
        <v>109.63694851638451</v>
      </c>
      <c r="I249" s="35">
        <v>-3.526653791421364</v>
      </c>
      <c r="Q249" s="34">
        <v>0.91273068137489888</v>
      </c>
      <c r="R249" s="34">
        <v>94.537109702716734</v>
      </c>
      <c r="S249" s="34">
        <v>104.46217515198251</v>
      </c>
      <c r="T249" s="34">
        <v>-9.9250654492657304</v>
      </c>
      <c r="U249" s="34">
        <v>-9.5011093104520467E-2</v>
      </c>
      <c r="V249" s="34">
        <v>-3.7900000000000003E-2</v>
      </c>
      <c r="W249" s="34">
        <v>93.646539440619023</v>
      </c>
      <c r="X249" s="34">
        <v>-10.353638238556419</v>
      </c>
      <c r="AF249" s="34">
        <v>0.52539999999999998</v>
      </c>
      <c r="AG249" s="34">
        <v>106.60647259194749</v>
      </c>
      <c r="AH249" s="34">
        <v>106.8719403659411</v>
      </c>
      <c r="AI249" s="34">
        <v>-0.26546777399366311</v>
      </c>
      <c r="AJ249" s="34">
        <v>-2.483980108199333E-3</v>
      </c>
      <c r="AK249" s="34">
        <v>-0.70250000000000001</v>
      </c>
      <c r="AL249" s="34">
        <v>105.3042933646512</v>
      </c>
      <c r="AM249" s="34">
        <v>-1.466846204833727</v>
      </c>
    </row>
    <row r="250" spans="1:39" x14ac:dyDescent="0.25">
      <c r="A250" s="34" t="s">
        <v>493</v>
      </c>
      <c r="B250" s="34" t="s">
        <v>494</v>
      </c>
      <c r="C250" s="34">
        <v>1.2606999999999999</v>
      </c>
      <c r="D250" s="34">
        <v>113.4480553869502</v>
      </c>
      <c r="E250" s="34">
        <v>113.6448074262353</v>
      </c>
      <c r="F250" s="34">
        <v>60124.25</v>
      </c>
      <c r="G250" s="35">
        <v>-0.53580000000000005</v>
      </c>
      <c r="H250" s="34">
        <v>111.4353354323907</v>
      </c>
      <c r="I250" s="35">
        <v>-1.9441908907969041</v>
      </c>
      <c r="Q250" s="34">
        <v>-1.4653353848680419</v>
      </c>
      <c r="R250" s="34">
        <v>93.151823982411315</v>
      </c>
      <c r="S250" s="34">
        <v>104.46217515198251</v>
      </c>
      <c r="T250" s="34">
        <v>-11.310351169571151</v>
      </c>
      <c r="U250" s="34">
        <v>-0.10827221578639031</v>
      </c>
      <c r="V250" s="34">
        <v>-1.671</v>
      </c>
      <c r="W250" s="34">
        <v>92.957394599584333</v>
      </c>
      <c r="X250" s="34">
        <v>-11.01334577387439</v>
      </c>
      <c r="AF250" s="34">
        <v>-0.2046</v>
      </c>
      <c r="AG250" s="34">
        <v>106.3883557490243</v>
      </c>
      <c r="AH250" s="34">
        <v>106.8719403659411</v>
      </c>
      <c r="AI250" s="34">
        <v>-0.48358461691678661</v>
      </c>
      <c r="AJ250" s="34">
        <v>-4.5248978848979474E-3</v>
      </c>
      <c r="AK250" s="34">
        <v>-0.23</v>
      </c>
      <c r="AL250" s="34">
        <v>106.36127770498599</v>
      </c>
      <c r="AM250" s="34">
        <v>-0.47782669539504502</v>
      </c>
    </row>
    <row r="251" spans="1:39" x14ac:dyDescent="0.25">
      <c r="A251" s="34" t="s">
        <v>494</v>
      </c>
      <c r="B251" s="34" t="s">
        <v>495</v>
      </c>
      <c r="C251" s="34">
        <v>0.3735</v>
      </c>
      <c r="D251" s="34">
        <v>113.87178387382041</v>
      </c>
      <c r="E251" s="34">
        <v>113.87178387382041</v>
      </c>
      <c r="F251" s="34">
        <v>60902.3</v>
      </c>
      <c r="G251" s="35">
        <v>-0.71150000000000002</v>
      </c>
      <c r="H251" s="34">
        <v>112.640872472872</v>
      </c>
      <c r="I251" s="35">
        <v>-0.88339711782687846</v>
      </c>
      <c r="Q251" s="34">
        <v>-0.21004181513228579</v>
      </c>
      <c r="R251" s="34">
        <v>92.956166200489818</v>
      </c>
      <c r="S251" s="34">
        <v>104.46217515198251</v>
      </c>
      <c r="T251" s="34">
        <v>-11.50600895149265</v>
      </c>
      <c r="U251" s="34">
        <v>-0.11014521701039159</v>
      </c>
      <c r="V251" s="34">
        <v>-0.55010000000000003</v>
      </c>
      <c r="W251" s="34">
        <v>92.639395798684077</v>
      </c>
      <c r="X251" s="34">
        <v>-11.31776103273493</v>
      </c>
      <c r="AF251" s="34">
        <v>0.16350000000000001</v>
      </c>
      <c r="AG251" s="34">
        <v>106.56230071067399</v>
      </c>
      <c r="AH251" s="34">
        <v>106.8719403659411</v>
      </c>
      <c r="AI251" s="34">
        <v>-0.30963965526711951</v>
      </c>
      <c r="AJ251" s="34">
        <v>-2.8972960929396401E-3</v>
      </c>
      <c r="AK251" s="34">
        <v>-0.1268</v>
      </c>
      <c r="AL251" s="34">
        <v>106.25345531393459</v>
      </c>
      <c r="AM251" s="34">
        <v>-0.57871603143798689</v>
      </c>
    </row>
    <row r="252" spans="1:39" x14ac:dyDescent="0.25">
      <c r="A252" s="34" t="s">
        <v>495</v>
      </c>
      <c r="B252" s="34" t="s">
        <v>496</v>
      </c>
      <c r="C252" s="34">
        <v>-1.9128000000000001</v>
      </c>
      <c r="D252" s="34">
        <v>111.693644391882</v>
      </c>
      <c r="E252" s="34">
        <v>113.87178387382041</v>
      </c>
      <c r="F252" s="34">
        <v>61180.5</v>
      </c>
      <c r="G252" s="35">
        <v>-2.0952000000000002</v>
      </c>
      <c r="H252" s="34">
        <v>111.4859422580961</v>
      </c>
      <c r="I252" s="35">
        <v>-2.0951999999999971</v>
      </c>
      <c r="Q252" s="34">
        <v>0.23622395337796409</v>
      </c>
      <c r="R252" s="34">
        <v>93.175750931197214</v>
      </c>
      <c r="S252" s="34">
        <v>104.46217515198251</v>
      </c>
      <c r="T252" s="34">
        <v>-11.28642422078525</v>
      </c>
      <c r="U252" s="34">
        <v>-0.1080431668626906</v>
      </c>
      <c r="V252" s="34">
        <v>-0.86670000000000003</v>
      </c>
      <c r="W252" s="34">
        <v>92.150515108030177</v>
      </c>
      <c r="X252" s="34">
        <v>-11.78575884145625</v>
      </c>
      <c r="AF252" s="34">
        <v>-1.6766000000000001</v>
      </c>
      <c r="AG252" s="34">
        <v>104.77567717695889</v>
      </c>
      <c r="AH252" s="34">
        <v>106.8719403659411</v>
      </c>
      <c r="AI252" s="34">
        <v>-2.0962631889822769</v>
      </c>
      <c r="AJ252" s="34">
        <v>-1.9614720026645389E-2</v>
      </c>
      <c r="AK252" s="34">
        <v>-1.6766000000000001</v>
      </c>
      <c r="AL252" s="34">
        <v>104.77567717695889</v>
      </c>
      <c r="AM252" s="34">
        <v>-1.961472002664544</v>
      </c>
    </row>
    <row r="253" spans="1:39" x14ac:dyDescent="0.25">
      <c r="A253" s="34" t="s">
        <v>496</v>
      </c>
      <c r="B253" s="34" t="s">
        <v>497</v>
      </c>
      <c r="C253" s="34">
        <v>1.4842</v>
      </c>
      <c r="D253" s="34">
        <v>113.3514014619463</v>
      </c>
      <c r="E253" s="34">
        <v>113.87178387382041</v>
      </c>
      <c r="F253" s="34">
        <v>60081.599999999999</v>
      </c>
      <c r="G253" s="35">
        <v>-0.22950000000000001</v>
      </c>
      <c r="H253" s="34">
        <v>111.43730747800259</v>
      </c>
      <c r="I253" s="35">
        <v>-2.1379101240000198</v>
      </c>
      <c r="Q253" s="34">
        <v>-0.43529343785512042</v>
      </c>
      <c r="R253" s="34">
        <v>92.770163001721485</v>
      </c>
      <c r="S253" s="34">
        <v>104.46217515198251</v>
      </c>
      <c r="T253" s="34">
        <v>-11.692012150260981</v>
      </c>
      <c r="U253" s="34">
        <v>-0.1119257964258376</v>
      </c>
      <c r="V253" s="34">
        <v>-1.2845</v>
      </c>
      <c r="W253" s="34">
        <v>91.978908410485985</v>
      </c>
      <c r="X253" s="34">
        <v>-11.95003523843393</v>
      </c>
      <c r="AF253" s="34">
        <v>1.0488999999999999</v>
      </c>
      <c r="AG253" s="34">
        <v>105.874669254868</v>
      </c>
      <c r="AH253" s="34">
        <v>106.8719403659411</v>
      </c>
      <c r="AI253" s="34">
        <v>-0.99727111107316091</v>
      </c>
      <c r="AJ253" s="34">
        <v>-9.3314588250049211E-3</v>
      </c>
      <c r="AK253" s="34">
        <v>0.32119999999999999</v>
      </c>
      <c r="AL253" s="34">
        <v>105.1122166520512</v>
      </c>
      <c r="AM253" s="34">
        <v>-1.646572250737099</v>
      </c>
    </row>
    <row r="254" spans="1:39" x14ac:dyDescent="0.25">
      <c r="A254" s="34" t="s">
        <v>497</v>
      </c>
      <c r="B254" s="34" t="s">
        <v>498</v>
      </c>
      <c r="C254" s="34">
        <v>-2.6644999999999999</v>
      </c>
      <c r="D254" s="34">
        <v>110.33115336999271</v>
      </c>
      <c r="E254" s="34">
        <v>113.87178387382041</v>
      </c>
      <c r="F254" s="34">
        <v>61043.4</v>
      </c>
      <c r="G254" s="35">
        <v>-3.1034999999999999</v>
      </c>
      <c r="H254" s="34">
        <v>109.83354071757481</v>
      </c>
      <c r="I254" s="35">
        <v>-3.5463070998521862</v>
      </c>
      <c r="Q254" s="34">
        <v>0.82366312331069791</v>
      </c>
      <c r="R254" s="34">
        <v>93.534276623801901</v>
      </c>
      <c r="S254" s="34">
        <v>104.46217515198251</v>
      </c>
      <c r="T254" s="34">
        <v>-10.92789852818056</v>
      </c>
      <c r="U254" s="34">
        <v>-0.1046110567033619</v>
      </c>
      <c r="V254" s="34">
        <v>-0.14419999999999999</v>
      </c>
      <c r="W254" s="34">
        <v>92.636388426672994</v>
      </c>
      <c r="X254" s="34">
        <v>-11.32063994273916</v>
      </c>
      <c r="AF254" s="34">
        <v>-1.8408</v>
      </c>
      <c r="AG254" s="34">
        <v>103.92572834322441</v>
      </c>
      <c r="AH254" s="34">
        <v>106.8719403659411</v>
      </c>
      <c r="AI254" s="34">
        <v>-2.946212022716765</v>
      </c>
      <c r="AJ254" s="34">
        <v>-2.7567685330954179E-2</v>
      </c>
      <c r="AK254" s="34">
        <v>-2.1101999999999999</v>
      </c>
      <c r="AL254" s="34">
        <v>103.6405019842517</v>
      </c>
      <c r="AM254" s="34">
        <v>-3.0236546380879692</v>
      </c>
    </row>
    <row r="255" spans="1:39" x14ac:dyDescent="0.25">
      <c r="A255" s="34" t="s">
        <v>498</v>
      </c>
      <c r="B255" s="34" t="s">
        <v>499</v>
      </c>
      <c r="C255" s="34">
        <v>1.1015999999999999</v>
      </c>
      <c r="D255" s="34">
        <v>111.5465613555166</v>
      </c>
      <c r="E255" s="34">
        <v>113.87178387382041</v>
      </c>
      <c r="F255" s="34">
        <v>59488.1</v>
      </c>
      <c r="G255" s="35">
        <v>-1.6011</v>
      </c>
      <c r="H255" s="34">
        <v>108.5646412733858</v>
      </c>
      <c r="I255" s="35">
        <v>-4.6606300699701064</v>
      </c>
      <c r="Q255" s="34">
        <v>1.4059794572919259E-2</v>
      </c>
      <c r="R255" s="34">
        <v>93.547427350950471</v>
      </c>
      <c r="S255" s="34">
        <v>104.46217515198251</v>
      </c>
      <c r="T255" s="34">
        <v>-10.914747801031989</v>
      </c>
      <c r="U255" s="34">
        <v>-0.1044851668573058</v>
      </c>
      <c r="V255" s="34">
        <v>-0.2515</v>
      </c>
      <c r="W255" s="34">
        <v>93.299037918093035</v>
      </c>
      <c r="X255" s="34">
        <v>-10.686295989575299</v>
      </c>
      <c r="AF255" s="34">
        <v>1.1156999999999999</v>
      </c>
      <c r="AG255" s="34">
        <v>105.0852276943497</v>
      </c>
      <c r="AH255" s="34">
        <v>106.8719403659411</v>
      </c>
      <c r="AI255" s="34">
        <v>-1.786712671591403</v>
      </c>
      <c r="AJ255" s="34">
        <v>-1.671825799619156E-2</v>
      </c>
      <c r="AK255" s="34">
        <v>-0.66600000000000004</v>
      </c>
      <c r="AL255" s="34">
        <v>103.23358299245849</v>
      </c>
      <c r="AM255" s="34">
        <v>-3.4044084546649982</v>
      </c>
    </row>
    <row r="256" spans="1:39" x14ac:dyDescent="0.25">
      <c r="A256" s="34" t="s">
        <v>499</v>
      </c>
      <c r="B256" s="34" t="s">
        <v>500</v>
      </c>
      <c r="C256" s="34">
        <v>0.88390000000000002</v>
      </c>
      <c r="D256" s="34">
        <v>112.532521411338</v>
      </c>
      <c r="E256" s="34">
        <v>113.87178387382041</v>
      </c>
      <c r="F256" s="34">
        <v>60212.800000000003</v>
      </c>
      <c r="G256" s="35">
        <v>-2.1255000000000002</v>
      </c>
      <c r="H256" s="34">
        <v>109.1756391939051</v>
      </c>
      <c r="I256" s="35">
        <v>-4.1240635038431339</v>
      </c>
      <c r="Q256" s="34">
        <v>-0.25607727270980851</v>
      </c>
      <c r="R256" s="34">
        <v>93.307873650299967</v>
      </c>
      <c r="S256" s="34">
        <v>104.46217515198251</v>
      </c>
      <c r="T256" s="34">
        <v>-11.1543015016825</v>
      </c>
      <c r="U256" s="34">
        <v>-0.1067783768187294</v>
      </c>
      <c r="V256" s="34">
        <v>-0.29699999999999999</v>
      </c>
      <c r="W256" s="34">
        <v>93.269591491718145</v>
      </c>
      <c r="X256" s="34">
        <v>-10.714484591173971</v>
      </c>
      <c r="AF256" s="34">
        <v>0.62780000000000002</v>
      </c>
      <c r="AG256" s="34">
        <v>105.7449527538149</v>
      </c>
      <c r="AH256" s="34">
        <v>106.8719403659411</v>
      </c>
      <c r="AI256" s="34">
        <v>-1.126987612126271</v>
      </c>
      <c r="AJ256" s="34">
        <v>-1.054521521989161E-2</v>
      </c>
      <c r="AK256" s="34">
        <v>-1.0146999999999999</v>
      </c>
      <c r="AL256" s="34">
        <v>104.0189278889352</v>
      </c>
      <c r="AM256" s="34">
        <v>-2.669561783230423</v>
      </c>
    </row>
    <row r="257" spans="1:39" x14ac:dyDescent="0.25">
      <c r="A257" s="34" t="s">
        <v>500</v>
      </c>
      <c r="B257" s="34" t="s">
        <v>501</v>
      </c>
      <c r="C257" s="34">
        <v>-1.4551000000000001</v>
      </c>
      <c r="D257" s="34">
        <v>110.8950606922816</v>
      </c>
      <c r="E257" s="34">
        <v>113.87178387382041</v>
      </c>
      <c r="F257" s="34">
        <v>60815.25</v>
      </c>
      <c r="G257" s="35">
        <v>-1.5661</v>
      </c>
      <c r="H257" s="34">
        <v>110.770149593515</v>
      </c>
      <c r="I257" s="35">
        <v>-2.7237952851799312</v>
      </c>
      <c r="Q257" s="34">
        <v>0.53109382402836569</v>
      </c>
      <c r="R257" s="34">
        <v>93.8034260045889</v>
      </c>
      <c r="S257" s="34">
        <v>104.46217515198251</v>
      </c>
      <c r="T257" s="34">
        <v>-10.658749147393561</v>
      </c>
      <c r="U257" s="34">
        <v>-0.1020345319431278</v>
      </c>
      <c r="V257" s="34">
        <v>-0.24429999999999999</v>
      </c>
      <c r="W257" s="34">
        <v>93.079922514972282</v>
      </c>
      <c r="X257" s="34">
        <v>-10.896051724416131</v>
      </c>
      <c r="AF257" s="34">
        <v>-0.92400000000000004</v>
      </c>
      <c r="AG257" s="34">
        <v>104.7678693903696</v>
      </c>
      <c r="AH257" s="34">
        <v>106.8719403659411</v>
      </c>
      <c r="AI257" s="34">
        <v>-2.104070975571517</v>
      </c>
      <c r="AJ257" s="34">
        <v>-1.9687777431259781E-2</v>
      </c>
      <c r="AK257" s="34">
        <v>-0.96779999999999999</v>
      </c>
      <c r="AL257" s="34">
        <v>104.72155310106341</v>
      </c>
      <c r="AM257" s="34">
        <v>-2.0121158626993489</v>
      </c>
    </row>
    <row r="258" spans="1:39" x14ac:dyDescent="0.25">
      <c r="A258" s="34" t="s">
        <v>501</v>
      </c>
      <c r="B258" s="34" t="s">
        <v>502</v>
      </c>
      <c r="C258" s="34">
        <v>2.2075999999999998</v>
      </c>
      <c r="D258" s="34">
        <v>113.3431800521244</v>
      </c>
      <c r="E258" s="34">
        <v>113.87178387382041</v>
      </c>
      <c r="F258" s="34">
        <v>60001.3</v>
      </c>
      <c r="G258" s="35">
        <v>-0.46250000000000002</v>
      </c>
      <c r="H258" s="34">
        <v>110.38217103657981</v>
      </c>
      <c r="I258" s="35">
        <v>-3.0645105561070358</v>
      </c>
      <c r="Q258" s="34">
        <v>-1.4399373990540469</v>
      </c>
      <c r="R258" s="34">
        <v>92.45271539195484</v>
      </c>
      <c r="S258" s="34">
        <v>104.46217515198251</v>
      </c>
      <c r="T258" s="34">
        <v>-12.009459760027619</v>
      </c>
      <c r="U258" s="34">
        <v>-0.11496467254826941</v>
      </c>
      <c r="V258" s="34">
        <v>-1.5399</v>
      </c>
      <c r="W258" s="34">
        <v>92.358947047544234</v>
      </c>
      <c r="X258" s="34">
        <v>-11.58623021857356</v>
      </c>
      <c r="AF258" s="34">
        <v>0.76770000000000005</v>
      </c>
      <c r="AG258" s="34">
        <v>105.5721723236795</v>
      </c>
      <c r="AH258" s="34">
        <v>106.8719403659411</v>
      </c>
      <c r="AI258" s="34">
        <v>-1.2997680422616611</v>
      </c>
      <c r="AJ258" s="34">
        <v>-1.216192049859967E-2</v>
      </c>
      <c r="AK258" s="34">
        <v>-0.13719999999999999</v>
      </c>
      <c r="AL258" s="34">
        <v>104.624127873566</v>
      </c>
      <c r="AM258" s="34">
        <v>-2.103276580062408</v>
      </c>
    </row>
    <row r="259" spans="1:39" x14ac:dyDescent="0.25">
      <c r="A259" s="34" t="s">
        <v>502</v>
      </c>
      <c r="B259" s="34" t="s">
        <v>503</v>
      </c>
      <c r="C259" s="34">
        <v>-0.21329999999999999</v>
      </c>
      <c r="D259" s="34">
        <v>113.1014190490732</v>
      </c>
      <c r="E259" s="34">
        <v>113.87178387382041</v>
      </c>
      <c r="F259" s="34">
        <v>61365.9</v>
      </c>
      <c r="G259" s="35">
        <v>-0.69389999999999996</v>
      </c>
      <c r="H259" s="34">
        <v>112.5566917257427</v>
      </c>
      <c r="I259" s="35">
        <v>-1.154888509988516</v>
      </c>
      <c r="Q259" s="34">
        <v>0.45957715103946101</v>
      </c>
      <c r="R259" s="34">
        <v>92.877606947411806</v>
      </c>
      <c r="S259" s="34">
        <v>104.46217515198251</v>
      </c>
      <c r="T259" s="34">
        <v>-11.58456820457066</v>
      </c>
      <c r="U259" s="34">
        <v>-0.11089725240467389</v>
      </c>
      <c r="V259" s="34">
        <v>-0.23139999999999999</v>
      </c>
      <c r="W259" s="34">
        <v>92.238779808537856</v>
      </c>
      <c r="X259" s="34">
        <v>-11.70126442959927</v>
      </c>
      <c r="AF259" s="34">
        <v>0.24629999999999999</v>
      </c>
      <c r="AG259" s="34">
        <v>105.83219658411269</v>
      </c>
      <c r="AH259" s="34">
        <v>106.8719403659411</v>
      </c>
      <c r="AI259" s="34">
        <v>-1.039743781828435</v>
      </c>
      <c r="AJ259" s="34">
        <v>-9.7288753087876843E-3</v>
      </c>
      <c r="AK259" s="34">
        <v>-0.15529999999999999</v>
      </c>
      <c r="AL259" s="34">
        <v>105.4082187400608</v>
      </c>
      <c r="AM259" s="34">
        <v>-1.3696033036065369</v>
      </c>
    </row>
    <row r="260" spans="1:39" x14ac:dyDescent="0.25">
      <c r="A260" s="34" t="s">
        <v>503</v>
      </c>
      <c r="B260" s="34" t="s">
        <v>504</v>
      </c>
      <c r="C260" s="34">
        <v>-2.6442999999999999</v>
      </c>
      <c r="D260" s="34">
        <v>110.11067822515859</v>
      </c>
      <c r="E260" s="34">
        <v>113.87178387382041</v>
      </c>
      <c r="F260" s="34">
        <v>61265.7</v>
      </c>
      <c r="G260" s="35">
        <v>-4.0910000000000002</v>
      </c>
      <c r="H260" s="34">
        <v>108.4744399957757</v>
      </c>
      <c r="I260" s="35">
        <v>-4.7398430888072269</v>
      </c>
      <c r="Q260" s="34">
        <v>1.703599577909586</v>
      </c>
      <c r="R260" s="34">
        <v>94.459869467340425</v>
      </c>
      <c r="S260" s="34">
        <v>104.46217515198251</v>
      </c>
      <c r="T260" s="34">
        <v>-10.002305684642041</v>
      </c>
      <c r="U260" s="34">
        <v>-9.5750501749457553E-2</v>
      </c>
      <c r="V260" s="34">
        <v>-0.3291</v>
      </c>
      <c r="W260" s="34">
        <v>92.571946742947873</v>
      </c>
      <c r="X260" s="34">
        <v>-11.38232895470102</v>
      </c>
      <c r="AF260" s="34">
        <v>-0.94069999999999998</v>
      </c>
      <c r="AG260" s="34">
        <v>104.8366331108459</v>
      </c>
      <c r="AH260" s="34">
        <v>106.8719403659411</v>
      </c>
      <c r="AI260" s="34">
        <v>-2.0353072550951912</v>
      </c>
      <c r="AJ260" s="34">
        <v>-1.9044355778757991E-2</v>
      </c>
      <c r="AK260" s="34">
        <v>-1.2802</v>
      </c>
      <c r="AL260" s="34">
        <v>104.47733280344291</v>
      </c>
      <c r="AM260" s="34">
        <v>-2.24063262470845</v>
      </c>
    </row>
    <row r="261" spans="1:39" x14ac:dyDescent="0.25">
      <c r="A261" s="34" t="s">
        <v>504</v>
      </c>
      <c r="B261" s="34" t="s">
        <v>505</v>
      </c>
      <c r="C261" s="34">
        <v>-0.23300000000000001</v>
      </c>
      <c r="D261" s="34">
        <v>109.854120344894</v>
      </c>
      <c r="E261" s="34">
        <v>113.87178387382041</v>
      </c>
      <c r="F261" s="34">
        <v>59717.1</v>
      </c>
      <c r="G261" s="35">
        <v>-1.0975999999999999</v>
      </c>
      <c r="H261" s="34">
        <v>108.90210342095931</v>
      </c>
      <c r="I261" s="35">
        <v>-4.3642773335034519</v>
      </c>
      <c r="Q261" s="34">
        <v>1.6738883880536251</v>
      </c>
      <c r="R261" s="34">
        <v>96.041022253724847</v>
      </c>
      <c r="S261" s="34">
        <v>104.46217515198251</v>
      </c>
      <c r="T261" s="34">
        <v>-8.4211528982576169</v>
      </c>
      <c r="U261" s="34">
        <v>-8.0614374399208572E-2</v>
      </c>
      <c r="V261" s="34">
        <v>-0.50869999999999993</v>
      </c>
      <c r="W261" s="34">
        <v>93.979352111360072</v>
      </c>
      <c r="X261" s="34">
        <v>-10.035041894705801</v>
      </c>
      <c r="AF261" s="34">
        <v>1.4409000000000001</v>
      </c>
      <c r="AG261" s="34">
        <v>106.34722415734009</v>
      </c>
      <c r="AH261" s="34">
        <v>106.8719403659411</v>
      </c>
      <c r="AI261" s="34">
        <v>-0.52471620860102064</v>
      </c>
      <c r="AJ261" s="34">
        <v>-4.9097659011742029E-3</v>
      </c>
      <c r="AK261" s="34">
        <v>0.44690000000000002</v>
      </c>
      <c r="AL261" s="34">
        <v>105.3051480242183</v>
      </c>
      <c r="AM261" s="34">
        <v>-1.4660465004733281</v>
      </c>
    </row>
    <row r="262" spans="1:39" x14ac:dyDescent="0.25">
      <c r="A262" s="34" t="s">
        <v>505</v>
      </c>
      <c r="B262" s="34" t="s">
        <v>506</v>
      </c>
      <c r="C262" s="34">
        <v>-4.2613000000000003</v>
      </c>
      <c r="D262" s="34">
        <v>105.17290671463699</v>
      </c>
      <c r="E262" s="34">
        <v>113.87178387382041</v>
      </c>
      <c r="F262" s="34">
        <v>59647.65</v>
      </c>
      <c r="G262" s="35">
        <v>-5.0050999999999997</v>
      </c>
      <c r="H262" s="34">
        <v>104.3558117675117</v>
      </c>
      <c r="I262" s="35">
        <v>-8.3567428054462152</v>
      </c>
      <c r="Q262" s="34">
        <v>2.5680561255398571</v>
      </c>
      <c r="R262" s="34">
        <v>98.507409608742719</v>
      </c>
      <c r="S262" s="34">
        <v>104.46217515198251</v>
      </c>
      <c r="T262" s="34">
        <v>-5.9547655432397448</v>
      </c>
      <c r="U262" s="34">
        <v>-5.7004035523634568E-2</v>
      </c>
      <c r="V262" s="34">
        <v>-1.6400000000000001E-2</v>
      </c>
      <c r="W262" s="34">
        <v>96.02527152607523</v>
      </c>
      <c r="X262" s="34">
        <v>-8.0765153641807146</v>
      </c>
      <c r="AF262" s="34">
        <v>-1.6932</v>
      </c>
      <c r="AG262" s="34">
        <v>104.54655295790801</v>
      </c>
      <c r="AH262" s="34">
        <v>106.8719403659411</v>
      </c>
      <c r="AI262" s="34">
        <v>-2.325387408033095</v>
      </c>
      <c r="AJ262" s="34">
        <v>-2.1758633744935439E-2</v>
      </c>
      <c r="AK262" s="34">
        <v>-1.9596</v>
      </c>
      <c r="AL262" s="34">
        <v>104.2632439527529</v>
      </c>
      <c r="AM262" s="34">
        <v>-2.4409554128574822</v>
      </c>
    </row>
    <row r="263" spans="1:39" x14ac:dyDescent="0.25">
      <c r="A263" s="34" t="s">
        <v>506</v>
      </c>
      <c r="B263" s="34" t="s">
        <v>507</v>
      </c>
      <c r="C263" s="34">
        <v>2.1791999999999998</v>
      </c>
      <c r="D263" s="34">
        <v>107.4648346977624</v>
      </c>
      <c r="E263" s="34">
        <v>113.87178387382041</v>
      </c>
      <c r="F263" s="34">
        <v>57145.65</v>
      </c>
      <c r="G263" s="35">
        <v>-0.89600000000000002</v>
      </c>
      <c r="H263" s="34">
        <v>104.2305574704739</v>
      </c>
      <c r="I263" s="35">
        <v>-8.466738708537191</v>
      </c>
      <c r="Q263" s="34">
        <v>-0.95094945236569639</v>
      </c>
      <c r="R263" s="34">
        <v>97.570653936528743</v>
      </c>
      <c r="S263" s="34">
        <v>104.46217515198251</v>
      </c>
      <c r="T263" s="34">
        <v>-6.8915212154537224</v>
      </c>
      <c r="U263" s="34">
        <v>-6.597145048365323E-2</v>
      </c>
      <c r="V263" s="34">
        <v>-1.1954</v>
      </c>
      <c r="W263" s="34">
        <v>97.32985203427981</v>
      </c>
      <c r="X263" s="34">
        <v>-6.8276609282985063</v>
      </c>
      <c r="AF263" s="34">
        <v>1.2282999999999999</v>
      </c>
      <c r="AG263" s="34">
        <v>105.83069826789</v>
      </c>
      <c r="AH263" s="34">
        <v>106.8719403659411</v>
      </c>
      <c r="AI263" s="34">
        <v>-1.0412420980510999</v>
      </c>
      <c r="AJ263" s="34">
        <v>-9.7428950432243873E-3</v>
      </c>
      <c r="AK263" s="34">
        <v>-0.44069999999999998</v>
      </c>
      <c r="AL263" s="34">
        <v>104.0858162990225</v>
      </c>
      <c r="AM263" s="34">
        <v>-2.6069743446021532</v>
      </c>
    </row>
    <row r="264" spans="1:39" x14ac:dyDescent="0.25">
      <c r="A264" s="34" t="s">
        <v>507</v>
      </c>
      <c r="B264" s="34" t="s">
        <v>508</v>
      </c>
      <c r="C264" s="34">
        <v>-1.4027000000000001</v>
      </c>
      <c r="D264" s="34">
        <v>105.95742546145691</v>
      </c>
      <c r="E264" s="34">
        <v>113.87178387382041</v>
      </c>
      <c r="F264" s="34">
        <v>58438.6</v>
      </c>
      <c r="G264" s="35">
        <v>-4.0204000000000004</v>
      </c>
      <c r="H264" s="34">
        <v>103.1443184835735</v>
      </c>
      <c r="I264" s="35">
        <v>-9.4206527950188459</v>
      </c>
      <c r="Q264" s="34">
        <v>1.447751329275631</v>
      </c>
      <c r="R264" s="34">
        <v>98.983234375877771</v>
      </c>
      <c r="S264" s="34">
        <v>104.46217515198251</v>
      </c>
      <c r="T264" s="34">
        <v>-5.4789407761046931</v>
      </c>
      <c r="U264" s="34">
        <v>-5.2449039742216347E-2</v>
      </c>
      <c r="V264" s="34">
        <v>-0.43340000000000001</v>
      </c>
      <c r="W264" s="34">
        <v>97.147782722367836</v>
      </c>
      <c r="X264" s="34">
        <v>-7.0019530217256936</v>
      </c>
      <c r="AF264" s="34">
        <v>4.5100000000000001E-2</v>
      </c>
      <c r="AG264" s="34">
        <v>105.8784279128088</v>
      </c>
      <c r="AH264" s="34">
        <v>106.8719403659411</v>
      </c>
      <c r="AI264" s="34">
        <v>-0.99351245313228276</v>
      </c>
      <c r="AJ264" s="34">
        <v>-9.2962890888888903E-3</v>
      </c>
      <c r="AK264" s="34">
        <v>-0.74650000000000005</v>
      </c>
      <c r="AL264" s="34">
        <v>105.0406721053202</v>
      </c>
      <c r="AM264" s="34">
        <v>-1.7135164331726791</v>
      </c>
    </row>
    <row r="265" spans="1:39" x14ac:dyDescent="0.25">
      <c r="A265" s="34" t="s">
        <v>508</v>
      </c>
      <c r="B265" s="34" t="s">
        <v>509</v>
      </c>
      <c r="C265" s="34">
        <v>2.8264</v>
      </c>
      <c r="D265" s="34">
        <v>108.95220613469949</v>
      </c>
      <c r="E265" s="34">
        <v>113.87178387382041</v>
      </c>
      <c r="F265" s="34">
        <v>57667.6</v>
      </c>
      <c r="G265" s="35">
        <v>2.3536000000000001</v>
      </c>
      <c r="H265" s="34">
        <v>108.4512394271177</v>
      </c>
      <c r="I265" s="35">
        <v>-4.760217379846388</v>
      </c>
      <c r="Q265" s="34">
        <v>-3.2951483554152521</v>
      </c>
      <c r="R265" s="34">
        <v>95.721589956204213</v>
      </c>
      <c r="S265" s="34">
        <v>104.46217515198251</v>
      </c>
      <c r="T265" s="34">
        <v>-8.7405851957782517</v>
      </c>
      <c r="U265" s="34">
        <v>-8.3672249625872108E-2</v>
      </c>
      <c r="V265" s="34">
        <v>-6.0712999999999999</v>
      </c>
      <c r="W265" s="34">
        <v>92.973665267215097</v>
      </c>
      <c r="X265" s="34">
        <v>-10.99777011923473</v>
      </c>
      <c r="AF265" s="34">
        <v>-0.46870000000000001</v>
      </c>
      <c r="AG265" s="34">
        <v>105.3821757211815</v>
      </c>
      <c r="AH265" s="34">
        <v>106.8719403659411</v>
      </c>
      <c r="AI265" s="34">
        <v>-1.4897646447596169</v>
      </c>
      <c r="AJ265" s="34">
        <v>-1.393971738192927E-2</v>
      </c>
      <c r="AK265" s="34">
        <v>-1.2521</v>
      </c>
      <c r="AL265" s="34">
        <v>104.5527241169126</v>
      </c>
      <c r="AM265" s="34">
        <v>-2.1700890253206868</v>
      </c>
    </row>
    <row r="266" spans="1:39" x14ac:dyDescent="0.25">
      <c r="A266" s="34" t="s">
        <v>509</v>
      </c>
      <c r="B266" s="34" t="s">
        <v>510</v>
      </c>
      <c r="C266" s="34">
        <v>1.8122</v>
      </c>
      <c r="D266" s="34">
        <v>110.9266380142725</v>
      </c>
      <c r="E266" s="34">
        <v>113.87178387382041</v>
      </c>
      <c r="F266" s="34">
        <v>59307.1</v>
      </c>
      <c r="G266" s="35">
        <v>-0.97570000000000001</v>
      </c>
      <c r="H266" s="34">
        <v>107.88915945944321</v>
      </c>
      <c r="I266" s="35">
        <v>-5.2538251451355604</v>
      </c>
      <c r="Q266" s="34">
        <v>-0.18307223190704131</v>
      </c>
      <c r="R266" s="34">
        <v>95.546350305054474</v>
      </c>
      <c r="S266" s="34">
        <v>104.46217515198251</v>
      </c>
      <c r="T266" s="34">
        <v>-8.9158248469279897</v>
      </c>
      <c r="U266" s="34">
        <v>-8.5349791290065688E-2</v>
      </c>
      <c r="V266" s="34">
        <v>-0.43840000000000001</v>
      </c>
      <c r="W266" s="34">
        <v>95.301946505836213</v>
      </c>
      <c r="X266" s="34">
        <v>-8.768943048351229</v>
      </c>
      <c r="AF266" s="34">
        <v>1.6291</v>
      </c>
      <c r="AG266" s="34">
        <v>107.0989567458553</v>
      </c>
      <c r="AH266" s="34">
        <v>107.0989567458553</v>
      </c>
      <c r="AI266" s="34"/>
      <c r="AJ266" s="34">
        <v>0</v>
      </c>
      <c r="AK266" s="34">
        <v>-0.1079</v>
      </c>
      <c r="AL266" s="34">
        <v>105.2684683535784</v>
      </c>
      <c r="AM266" s="34">
        <v>-1.5003676426874171</v>
      </c>
    </row>
    <row r="267" spans="1:39" x14ac:dyDescent="0.25">
      <c r="A267" s="34" t="s">
        <v>510</v>
      </c>
      <c r="B267" s="34" t="s">
        <v>511</v>
      </c>
      <c r="C267" s="34">
        <v>-1.3048</v>
      </c>
      <c r="D267" s="34">
        <v>109.4792672414623</v>
      </c>
      <c r="E267" s="34">
        <v>113.87178387382041</v>
      </c>
      <c r="F267" s="34">
        <v>60441.15</v>
      </c>
      <c r="G267" s="35">
        <v>-2.6347999999999998</v>
      </c>
      <c r="H267" s="34">
        <v>108.0039429558725</v>
      </c>
      <c r="I267" s="35">
        <v>-5.1530244967884613</v>
      </c>
      <c r="Q267" s="34">
        <v>0.57756317822115188</v>
      </c>
      <c r="R267" s="34">
        <v>96.098190842550665</v>
      </c>
      <c r="S267" s="34">
        <v>104.46217515198251</v>
      </c>
      <c r="T267" s="34">
        <v>-8.3639843094317996</v>
      </c>
      <c r="U267" s="34">
        <v>-8.0067108475034177E-2</v>
      </c>
      <c r="V267" s="34">
        <v>-0.38750000000000001</v>
      </c>
      <c r="W267" s="34">
        <v>95.176108197622398</v>
      </c>
      <c r="X267" s="34">
        <v>-8.8894060848816565</v>
      </c>
      <c r="AF267" s="34">
        <v>-0.72719999999999996</v>
      </c>
      <c r="AG267" s="34">
        <v>106.32013313239941</v>
      </c>
      <c r="AH267" s="34">
        <v>107.0989567458553</v>
      </c>
      <c r="AI267" s="34">
        <v>-0.77882361345585593</v>
      </c>
      <c r="AJ267" s="34">
        <v>-7.2719999999999651E-3</v>
      </c>
      <c r="AK267" s="34">
        <v>-1.5023</v>
      </c>
      <c r="AL267" s="34">
        <v>105.4900091186623</v>
      </c>
      <c r="AM267" s="34">
        <v>-1.5023000000000011</v>
      </c>
    </row>
    <row r="268" spans="1:39" x14ac:dyDescent="0.25">
      <c r="A268" s="34" t="s">
        <v>511</v>
      </c>
      <c r="B268" s="34" t="s">
        <v>512</v>
      </c>
      <c r="C268" s="34">
        <v>-0.8992</v>
      </c>
      <c r="D268" s="34">
        <v>108.49482967042709</v>
      </c>
      <c r="E268" s="34">
        <v>113.87178387382041</v>
      </c>
      <c r="F268" s="34">
        <v>59723</v>
      </c>
      <c r="G268" s="35">
        <v>-1.3018000000000001</v>
      </c>
      <c r="H268" s="34">
        <v>108.0540661405129</v>
      </c>
      <c r="I268" s="35">
        <v>-5.109007284679068</v>
      </c>
      <c r="Q268" s="34">
        <v>0.1018193145204466</v>
      </c>
      <c r="R268" s="34">
        <v>96.196037361733104</v>
      </c>
      <c r="S268" s="34">
        <v>104.46217515198251</v>
      </c>
      <c r="T268" s="34">
        <v>-8.2661377902493598</v>
      </c>
      <c r="U268" s="34">
        <v>-7.9130439110835296E-2</v>
      </c>
      <c r="V268" s="34">
        <v>-0.47820000000000001</v>
      </c>
      <c r="W268" s="34">
        <v>95.638649293941597</v>
      </c>
      <c r="X268" s="34">
        <v>-8.4466227562306493</v>
      </c>
      <c r="AF268" s="34">
        <v>-0.7974</v>
      </c>
      <c r="AG268" s="34">
        <v>105.4723363908017</v>
      </c>
      <c r="AH268" s="34">
        <v>107.0989567458553</v>
      </c>
      <c r="AI268" s="34">
        <v>-1.626620355053618</v>
      </c>
      <c r="AJ268" s="34">
        <v>-1.518801307200005E-2</v>
      </c>
      <c r="AK268" s="34">
        <v>-0.7974</v>
      </c>
      <c r="AL268" s="34">
        <v>105.4723363908017</v>
      </c>
      <c r="AM268" s="34">
        <v>-1.5188013072000019</v>
      </c>
    </row>
    <row r="269" spans="1:39" x14ac:dyDescent="0.25">
      <c r="A269" s="34" t="s">
        <v>512</v>
      </c>
      <c r="B269" s="34" t="s">
        <v>513</v>
      </c>
      <c r="C269" s="34">
        <v>-0.30299999999999999</v>
      </c>
      <c r="D269" s="34">
        <v>108.1660903365257</v>
      </c>
      <c r="E269" s="34">
        <v>113.87178387382041</v>
      </c>
      <c r="F269" s="34">
        <v>59255.65</v>
      </c>
      <c r="G269" s="35">
        <v>-1.31</v>
      </c>
      <c r="H269" s="34">
        <v>107.07354740174451</v>
      </c>
      <c r="I269" s="35">
        <v>-5.9700798923190472</v>
      </c>
      <c r="Q269" s="34">
        <v>1.5134367829502591</v>
      </c>
      <c r="R269" s="34">
        <v>97.651903574906143</v>
      </c>
      <c r="S269" s="34">
        <v>104.46217515198251</v>
      </c>
      <c r="T269" s="34">
        <v>-6.8102715770763211</v>
      </c>
      <c r="U269" s="34">
        <v>-6.5193660453346181E-2</v>
      </c>
      <c r="V269" s="34">
        <v>-7.9999999999999932E-3</v>
      </c>
      <c r="W269" s="34">
        <v>96.188341678744166</v>
      </c>
      <c r="X269" s="34">
        <v>-7.9204108675706379</v>
      </c>
      <c r="AF269" s="34">
        <v>1.2103999999999999</v>
      </c>
      <c r="AG269" s="34">
        <v>106.7489735504759</v>
      </c>
      <c r="AH269" s="34">
        <v>107.0989567458553</v>
      </c>
      <c r="AI269" s="34">
        <v>-0.34998319537936601</v>
      </c>
      <c r="AJ269" s="34">
        <v>-3.2678487822236442E-3</v>
      </c>
      <c r="AK269" s="34">
        <v>0.34639999999999999</v>
      </c>
      <c r="AL269" s="34">
        <v>105.8376925640594</v>
      </c>
      <c r="AM269" s="34">
        <v>-1.1776624349281619</v>
      </c>
    </row>
    <row r="270" spans="1:39" x14ac:dyDescent="0.25">
      <c r="A270" s="34" t="s">
        <v>513</v>
      </c>
      <c r="B270" s="34" t="s">
        <v>514</v>
      </c>
      <c r="C270" s="34">
        <v>-4.9878999999999998</v>
      </c>
      <c r="D270" s="34">
        <v>102.77087391663009</v>
      </c>
      <c r="E270" s="34">
        <v>113.87178387382041</v>
      </c>
      <c r="F270" s="34">
        <v>59115.6</v>
      </c>
      <c r="G270" s="35">
        <v>-6.5396999999999998</v>
      </c>
      <c r="H270" s="34">
        <v>101.09235252678791</v>
      </c>
      <c r="I270" s="35">
        <v>-11.222649643561599</v>
      </c>
      <c r="Q270" s="34">
        <v>4.8423962364940136</v>
      </c>
      <c r="R270" s="34">
        <v>102.38059567848219</v>
      </c>
      <c r="S270" s="34">
        <v>104.46217515198251</v>
      </c>
      <c r="T270" s="34">
        <v>-2.0815794735003119</v>
      </c>
      <c r="U270" s="34">
        <v>-1.9926633448631659E-2</v>
      </c>
      <c r="V270" s="34">
        <v>0.75319999999999998</v>
      </c>
      <c r="W270" s="34">
        <v>98.387417712632342</v>
      </c>
      <c r="X270" s="34">
        <v>-5.8152699103880767</v>
      </c>
      <c r="AF270" s="34">
        <v>-0.14549999999999999</v>
      </c>
      <c r="AG270" s="34">
        <v>106.59365379396</v>
      </c>
      <c r="AH270" s="34">
        <v>107.0989567458553</v>
      </c>
      <c r="AI270" s="34">
        <v>-0.5053029518953025</v>
      </c>
      <c r="AJ270" s="34">
        <v>-4.7180940622454544E-3</v>
      </c>
      <c r="AK270" s="34">
        <v>-0.36799999999999999</v>
      </c>
      <c r="AL270" s="34">
        <v>106.3561373278102</v>
      </c>
      <c r="AM270" s="34">
        <v>-0.69358230987049962</v>
      </c>
    </row>
    <row r="271" spans="1:39" x14ac:dyDescent="0.25">
      <c r="A271" s="34" t="s">
        <v>514</v>
      </c>
      <c r="B271" s="34" t="s">
        <v>515</v>
      </c>
      <c r="C271" s="34">
        <v>-3.0501999999999998</v>
      </c>
      <c r="D271" s="34">
        <v>99.636156720425049</v>
      </c>
      <c r="E271" s="34">
        <v>113.87178387382041</v>
      </c>
      <c r="F271" s="34">
        <v>56265.5</v>
      </c>
      <c r="G271" s="35">
        <v>-4.6486000000000001</v>
      </c>
      <c r="H271" s="34">
        <v>97.993467071741634</v>
      </c>
      <c r="I271" s="35">
        <v>-13.944030963520611</v>
      </c>
      <c r="Q271" s="34">
        <v>4.6193927513884816</v>
      </c>
      <c r="R271" s="34">
        <v>107.10995749408229</v>
      </c>
      <c r="S271" s="34">
        <v>107.10995749408229</v>
      </c>
      <c r="T271" s="34"/>
      <c r="U271" s="34">
        <v>0</v>
      </c>
      <c r="V271" s="34">
        <v>-1.6640999999999999</v>
      </c>
      <c r="W271" s="34">
        <v>100.67688018579651</v>
      </c>
      <c r="X271" s="34">
        <v>-3.6236034341412982</v>
      </c>
      <c r="AF271" s="34">
        <v>1.5691999999999999</v>
      </c>
      <c r="AG271" s="34">
        <v>108.2663214092948</v>
      </c>
      <c r="AH271" s="34">
        <v>108.2663214092948</v>
      </c>
      <c r="AI271" s="34"/>
      <c r="AJ271" s="34">
        <v>0</v>
      </c>
      <c r="AK271" s="34">
        <v>0.77470000000000006</v>
      </c>
      <c r="AL271" s="34">
        <v>107.4194348299018</v>
      </c>
      <c r="AM271" s="34">
        <v>0.29923548630543811</v>
      </c>
    </row>
    <row r="272" spans="1:39" x14ac:dyDescent="0.25">
      <c r="A272" s="34" t="s">
        <v>515</v>
      </c>
      <c r="B272" s="34" t="s">
        <v>516</v>
      </c>
      <c r="C272" s="34">
        <v>3.0333999999999999</v>
      </c>
      <c r="D272" s="34">
        <v>102.65851989838239</v>
      </c>
      <c r="E272" s="34">
        <v>113.87178387382041</v>
      </c>
      <c r="F272" s="34">
        <v>54614.95</v>
      </c>
      <c r="G272" s="35">
        <v>-0.32590000000000002</v>
      </c>
      <c r="H272" s="34">
        <v>99.311442485673183</v>
      </c>
      <c r="I272" s="35">
        <v>-12.78661042517902</v>
      </c>
      <c r="Q272" s="34">
        <v>-2.0513652985202149</v>
      </c>
      <c r="R272" s="34">
        <v>104.9127409947889</v>
      </c>
      <c r="S272" s="34">
        <v>107.10995749408229</v>
      </c>
      <c r="T272" s="34">
        <v>-2.1972164992933609</v>
      </c>
      <c r="U272" s="34">
        <v>-2.0513652985202191E-2</v>
      </c>
      <c r="V272" s="34">
        <v>-2.7496</v>
      </c>
      <c r="W272" s="34">
        <v>104.164862102825</v>
      </c>
      <c r="X272" s="34">
        <v>-2.749599999999996</v>
      </c>
      <c r="AF272" s="34">
        <v>0.98199999999999998</v>
      </c>
      <c r="AG272" s="34">
        <v>109.3294966855341</v>
      </c>
      <c r="AH272" s="34">
        <v>109.3294966855341</v>
      </c>
      <c r="AI272" s="34"/>
      <c r="AJ272" s="34">
        <v>0</v>
      </c>
      <c r="AK272" s="34">
        <v>0.22670000000000001</v>
      </c>
      <c r="AL272" s="34">
        <v>108.5117611599297</v>
      </c>
      <c r="AM272" s="34">
        <v>0.2267000000000019</v>
      </c>
    </row>
    <row r="273" spans="1:39" x14ac:dyDescent="0.25">
      <c r="A273" s="34" t="s">
        <v>516</v>
      </c>
      <c r="B273" s="34" t="s">
        <v>257</v>
      </c>
      <c r="C273" s="34">
        <v>-2.5815000000000001</v>
      </c>
      <c r="D273" s="34">
        <v>100.00839020720569</v>
      </c>
      <c r="E273" s="34">
        <v>113.87178387382041</v>
      </c>
      <c r="F273" s="34">
        <v>56289.85</v>
      </c>
      <c r="G273" s="35">
        <v>-3.6333000000000002</v>
      </c>
      <c r="H273" s="34">
        <v>98.928627894914513</v>
      </c>
      <c r="I273" s="35">
        <v>-13.12279080080471</v>
      </c>
      <c r="Q273" s="34">
        <v>3.371842643137716</v>
      </c>
      <c r="R273" s="34">
        <v>108.4502335337359</v>
      </c>
      <c r="S273" s="34">
        <v>108.4502335337359</v>
      </c>
      <c r="T273" s="34"/>
      <c r="U273" s="34">
        <v>0</v>
      </c>
      <c r="V273" s="34">
        <v>2.2523</v>
      </c>
      <c r="W273" s="34">
        <v>107.27569066021459</v>
      </c>
      <c r="X273" s="34">
        <v>0.1547318008612297</v>
      </c>
      <c r="AF273" s="34">
        <v>0.7903</v>
      </c>
      <c r="AG273" s="34">
        <v>110.1935276978399</v>
      </c>
      <c r="AH273" s="34">
        <v>110.1935276978399</v>
      </c>
      <c r="AI273" s="34"/>
      <c r="AJ273" s="34">
        <v>0</v>
      </c>
      <c r="AK273" s="34">
        <v>0.62670000000000003</v>
      </c>
      <c r="AL273" s="34">
        <v>110.0146646412623</v>
      </c>
      <c r="AM273" s="34">
        <v>0.62670000000000226</v>
      </c>
    </row>
    <row r="274" spans="1:39" x14ac:dyDescent="0.25">
      <c r="A274" s="34" t="s">
        <v>258</v>
      </c>
      <c r="B274" s="34" t="s">
        <v>517</v>
      </c>
      <c r="C274" s="34">
        <v>0.56040000000000001</v>
      </c>
      <c r="D274" s="34">
        <v>100.5604</v>
      </c>
      <c r="E274" s="34">
        <v>100.5604</v>
      </c>
      <c r="F274" s="34">
        <v>59784.85</v>
      </c>
      <c r="G274" s="35">
        <v>-6.2E-2</v>
      </c>
      <c r="H274" s="34">
        <v>99.938000000000002</v>
      </c>
      <c r="I274" s="35">
        <v>-6.1999999999995392E-2</v>
      </c>
      <c r="Q274" s="34">
        <v>-0.28773770655754438</v>
      </c>
      <c r="R274" s="34">
        <v>99.71226229344245</v>
      </c>
      <c r="S274" s="34">
        <v>100</v>
      </c>
      <c r="T274" s="34">
        <v>-0.28773770655755021</v>
      </c>
      <c r="U274" s="34">
        <v>-2.877377065575502E-3</v>
      </c>
      <c r="V274" s="34">
        <v>-1.1940999999999999</v>
      </c>
      <c r="W274" s="34">
        <v>98.805900000000008</v>
      </c>
      <c r="X274" s="34">
        <v>-1.1940999999999871</v>
      </c>
      <c r="AF274" s="34">
        <v>0.2727</v>
      </c>
      <c r="AG274" s="34">
        <v>100.2727</v>
      </c>
      <c r="AH274" s="34">
        <v>100.2727</v>
      </c>
      <c r="AI274" s="34"/>
      <c r="AJ274" s="34">
        <v>0</v>
      </c>
      <c r="AK274" s="34">
        <v>4.1599999999999998E-2</v>
      </c>
      <c r="AL274" s="34">
        <v>100.0416</v>
      </c>
      <c r="AM274" s="34">
        <v>4.1599999999997188E-2</v>
      </c>
    </row>
    <row r="275" spans="1:39" x14ac:dyDescent="0.25">
      <c r="A275" s="34" t="s">
        <v>517</v>
      </c>
      <c r="B275" s="34" t="s">
        <v>518</v>
      </c>
      <c r="C275" s="34">
        <v>1.9064000000000001</v>
      </c>
      <c r="D275" s="34">
        <v>102.4774834656</v>
      </c>
      <c r="E275" s="34">
        <v>102.4774834656</v>
      </c>
      <c r="F275" s="34">
        <v>60159.75</v>
      </c>
      <c r="G275" s="35">
        <v>-0.48430000000000001</v>
      </c>
      <c r="H275" s="34">
        <v>100.0733859828</v>
      </c>
      <c r="I275" s="35">
        <v>-0.48430000000001527</v>
      </c>
      <c r="Q275" s="34">
        <v>-0.98489591323131287</v>
      </c>
      <c r="R275" s="34">
        <v>98.730200297123858</v>
      </c>
      <c r="S275" s="34">
        <v>100</v>
      </c>
      <c r="T275" s="34">
        <v>-1.2697997028761421</v>
      </c>
      <c r="U275" s="34">
        <v>-1.2697997028761419E-2</v>
      </c>
      <c r="V275" s="34">
        <v>-1.1297999999999999</v>
      </c>
      <c r="W275" s="34">
        <v>98.585713154051135</v>
      </c>
      <c r="X275" s="34">
        <v>-1.414286845948864</v>
      </c>
      <c r="AF275" s="34">
        <v>0.92149999999999999</v>
      </c>
      <c r="AG275" s="34">
        <v>101.1967129305</v>
      </c>
      <c r="AH275" s="34">
        <v>101.1967129305</v>
      </c>
      <c r="AI275" s="34"/>
      <c r="AJ275" s="34">
        <v>0</v>
      </c>
      <c r="AK275" s="34">
        <v>0.64700000000000002</v>
      </c>
      <c r="AL275" s="34">
        <v>100.92146436900001</v>
      </c>
      <c r="AM275" s="34">
        <v>0.64699999999999758</v>
      </c>
    </row>
    <row r="276" spans="1:39" x14ac:dyDescent="0.25">
      <c r="A276" s="34" t="s">
        <v>518</v>
      </c>
      <c r="B276" s="34" t="s">
        <v>519</v>
      </c>
      <c r="C276" s="34">
        <v>-0.19470000000000001</v>
      </c>
      <c r="D276" s="34">
        <v>102.2779598052925</v>
      </c>
      <c r="E276" s="34">
        <v>102.4774834656</v>
      </c>
      <c r="F276" s="34">
        <v>61326.7</v>
      </c>
      <c r="G276" s="35">
        <v>-0.55840000000000001</v>
      </c>
      <c r="H276" s="34">
        <v>101.9052491979281</v>
      </c>
      <c r="I276" s="35">
        <v>-0.55840000000000334</v>
      </c>
      <c r="Q276" s="34">
        <v>2.49764189232233</v>
      </c>
      <c r="R276" s="34">
        <v>101.19612714011861</v>
      </c>
      <c r="S276" s="34">
        <v>101.19612714011861</v>
      </c>
      <c r="T276" s="34"/>
      <c r="U276" s="34">
        <v>0</v>
      </c>
      <c r="V276" s="34">
        <v>-0.39739999999999998</v>
      </c>
      <c r="W276" s="34">
        <v>98.337846481143089</v>
      </c>
      <c r="X276" s="34">
        <v>-1.662153518856913</v>
      </c>
      <c r="AF276" s="34">
        <v>2.3029000000000002</v>
      </c>
      <c r="AG276" s="34">
        <v>103.5271720325765</v>
      </c>
      <c r="AH276" s="34">
        <v>103.5271720325765</v>
      </c>
      <c r="AI276" s="34"/>
      <c r="AJ276" s="34">
        <v>0</v>
      </c>
      <c r="AK276" s="34">
        <v>0.85240000000000005</v>
      </c>
      <c r="AL276" s="34">
        <v>102.05931371151959</v>
      </c>
      <c r="AM276" s="34">
        <v>0.8523999999999976</v>
      </c>
    </row>
    <row r="277" spans="1:39" x14ac:dyDescent="0.25">
      <c r="A277" s="34" t="s">
        <v>519</v>
      </c>
      <c r="B277" s="34" t="s">
        <v>520</v>
      </c>
      <c r="C277" s="34">
        <v>-1.3975</v>
      </c>
      <c r="D277" s="34">
        <v>100.8486253170135</v>
      </c>
      <c r="E277" s="34">
        <v>102.4774834656</v>
      </c>
      <c r="F277" s="34">
        <v>61258.400000000001</v>
      </c>
      <c r="G277" s="35">
        <v>-3.0527000000000002</v>
      </c>
      <c r="H277" s="34">
        <v>99.155720526316301</v>
      </c>
      <c r="I277" s="35">
        <v>-3.2414563930999951</v>
      </c>
      <c r="Q277" s="34">
        <v>1.594736278570783</v>
      </c>
      <c r="R277" s="34">
        <v>102.8099384921307</v>
      </c>
      <c r="S277" s="34">
        <v>102.8099384921307</v>
      </c>
      <c r="T277" s="34"/>
      <c r="U277" s="34">
        <v>0</v>
      </c>
      <c r="V277" s="34">
        <v>8.0000000000000071E-3</v>
      </c>
      <c r="W277" s="34">
        <v>101.20422283028979</v>
      </c>
      <c r="X277" s="34">
        <v>8.0000000000080007E-3</v>
      </c>
      <c r="AF277" s="34">
        <v>0.19719999999999999</v>
      </c>
      <c r="AG277" s="34">
        <v>103.7313276158247</v>
      </c>
      <c r="AH277" s="34">
        <v>103.7313276158247</v>
      </c>
      <c r="AI277" s="34"/>
      <c r="AJ277" s="34">
        <v>0</v>
      </c>
      <c r="AK277" s="34">
        <v>0.10059999999999999</v>
      </c>
      <c r="AL277" s="34">
        <v>103.63132036764119</v>
      </c>
      <c r="AM277" s="34">
        <v>0.1006000000000062</v>
      </c>
    </row>
    <row r="278" spans="1:39" x14ac:dyDescent="0.25">
      <c r="A278" s="34" t="s">
        <v>520</v>
      </c>
      <c r="B278" s="34" t="s">
        <v>521</v>
      </c>
      <c r="C278" s="34">
        <v>2.3517999999999999</v>
      </c>
      <c r="D278" s="34">
        <v>103.22038328721899</v>
      </c>
      <c r="E278" s="34">
        <v>103.22038328721899</v>
      </c>
      <c r="F278" s="34">
        <v>60473.8</v>
      </c>
      <c r="G278" s="35">
        <v>-2.5700000000000001E-2</v>
      </c>
      <c r="H278" s="34">
        <v>100.82270722030709</v>
      </c>
      <c r="I278" s="35">
        <v>-1.614770571379631</v>
      </c>
      <c r="Q278" s="34">
        <v>-2.4203011000023258</v>
      </c>
      <c r="R278" s="34">
        <v>100.3216284198939</v>
      </c>
      <c r="S278" s="34">
        <v>102.8099384921307</v>
      </c>
      <c r="T278" s="34">
        <v>-2.4883100722367568</v>
      </c>
      <c r="U278" s="34">
        <v>-2.4203011000023301E-2</v>
      </c>
      <c r="V278" s="34">
        <v>-2.9245999999999999</v>
      </c>
      <c r="W278" s="34">
        <v>99.803159030989818</v>
      </c>
      <c r="X278" s="34">
        <v>-2.924599999999999</v>
      </c>
      <c r="AF278" s="34">
        <v>-6.8500000000000005E-2</v>
      </c>
      <c r="AG278" s="34">
        <v>103.6602716564079</v>
      </c>
      <c r="AH278" s="34">
        <v>103.7313276158247</v>
      </c>
      <c r="AI278" s="34">
        <v>-7.1055959416838732E-2</v>
      </c>
      <c r="AJ278" s="34">
        <v>-6.8499999999998846E-4</v>
      </c>
      <c r="AK278" s="34">
        <v>-0.46300000000000002</v>
      </c>
      <c r="AL278" s="34">
        <v>103.2510515689634</v>
      </c>
      <c r="AM278" s="34">
        <v>-0.4630000000000134</v>
      </c>
    </row>
    <row r="279" spans="1:39" x14ac:dyDescent="0.25">
      <c r="A279" s="34" t="s">
        <v>521</v>
      </c>
      <c r="B279" s="34" t="s">
        <v>522</v>
      </c>
      <c r="C279" s="34">
        <v>-1.9541999999999999</v>
      </c>
      <c r="D279" s="34">
        <v>101.2032505570202</v>
      </c>
      <c r="E279" s="34">
        <v>103.22038328721899</v>
      </c>
      <c r="F279" s="34">
        <v>61966.6</v>
      </c>
      <c r="G279" s="35">
        <v>-2.1004</v>
      </c>
      <c r="H279" s="34">
        <v>101.05234235665429</v>
      </c>
      <c r="I279" s="35">
        <v>-2.1004000000000129</v>
      </c>
      <c r="Q279" s="34">
        <v>2.3473162531156762</v>
      </c>
      <c r="R279" s="34">
        <v>102.67649430918441</v>
      </c>
      <c r="S279" s="34">
        <v>102.8099384921307</v>
      </c>
      <c r="T279" s="34">
        <v>-0.1334441829462634</v>
      </c>
      <c r="U279" s="34">
        <v>-1.297969679813372E-3</v>
      </c>
      <c r="V279" s="34">
        <v>-0.14080000000000001</v>
      </c>
      <c r="W279" s="34">
        <v>100.1803755670787</v>
      </c>
      <c r="X279" s="34">
        <v>-2.5576933160535331</v>
      </c>
      <c r="AF279" s="34">
        <v>0.3931</v>
      </c>
      <c r="AG279" s="34">
        <v>104.0677601842892</v>
      </c>
      <c r="AH279" s="34">
        <v>104.0677601842892</v>
      </c>
      <c r="AI279" s="34"/>
      <c r="AJ279" s="34">
        <v>0</v>
      </c>
      <c r="AK279" s="34">
        <v>0.34279999999999999</v>
      </c>
      <c r="AL279" s="34">
        <v>104.015619067646</v>
      </c>
      <c r="AM279" s="34">
        <v>0.27406518200001623</v>
      </c>
    </row>
    <row r="280" spans="1:39" x14ac:dyDescent="0.25">
      <c r="A280" s="34" t="s">
        <v>522</v>
      </c>
      <c r="B280" s="34" t="s">
        <v>523</v>
      </c>
      <c r="C280" s="34">
        <v>-1.6329</v>
      </c>
      <c r="D280" s="34">
        <v>99.550702678674625</v>
      </c>
      <c r="E280" s="34">
        <v>103.22038328721899</v>
      </c>
      <c r="F280" s="34">
        <v>60827.95</v>
      </c>
      <c r="G280" s="35">
        <v>-2.0527000000000002</v>
      </c>
      <c r="H280" s="34">
        <v>99.125851432836257</v>
      </c>
      <c r="I280" s="35">
        <v>-3.9667861365999868</v>
      </c>
      <c r="Q280" s="34">
        <v>1.8823826263974071</v>
      </c>
      <c r="R280" s="34">
        <v>104.60925879945439</v>
      </c>
      <c r="S280" s="34">
        <v>104.60925879945439</v>
      </c>
      <c r="T280" s="34"/>
      <c r="U280" s="34">
        <v>0</v>
      </c>
      <c r="V280" s="34">
        <v>-0.91179999999999994</v>
      </c>
      <c r="W280" s="34">
        <v>101.7402900340733</v>
      </c>
      <c r="X280" s="34">
        <v>-1.0404134792272759</v>
      </c>
      <c r="AF280" s="34">
        <v>0.2495</v>
      </c>
      <c r="AG280" s="34">
        <v>104.327409245949</v>
      </c>
      <c r="AH280" s="34">
        <v>104.327409245949</v>
      </c>
      <c r="AI280" s="34"/>
      <c r="AJ280" s="34">
        <v>0</v>
      </c>
      <c r="AK280" s="34">
        <v>-0.1057</v>
      </c>
      <c r="AL280" s="34">
        <v>103.95776056177441</v>
      </c>
      <c r="AM280" s="34">
        <v>-0.1056999999999975</v>
      </c>
    </row>
    <row r="281" spans="1:39" x14ac:dyDescent="0.25">
      <c r="A281" s="34" t="s">
        <v>523</v>
      </c>
      <c r="B281" s="34" t="s">
        <v>524</v>
      </c>
      <c r="C281" s="34">
        <v>1.373</v>
      </c>
      <c r="D281" s="34">
        <v>100.9175338264528</v>
      </c>
      <c r="E281" s="34">
        <v>103.22038328721899</v>
      </c>
      <c r="F281" s="34">
        <v>59905.65</v>
      </c>
      <c r="G281" s="35">
        <v>-1.1987000000000001</v>
      </c>
      <c r="H281" s="34">
        <v>98.357388405665361</v>
      </c>
      <c r="I281" s="35">
        <v>-4.7112738072498717</v>
      </c>
      <c r="Q281" s="34">
        <v>-3.2030878346235352</v>
      </c>
      <c r="R281" s="34">
        <v>101.25853235695929</v>
      </c>
      <c r="S281" s="34">
        <v>104.60925879945439</v>
      </c>
      <c r="T281" s="34">
        <v>-3.3507264424951728</v>
      </c>
      <c r="U281" s="34">
        <v>-3.2030878346235338E-2</v>
      </c>
      <c r="V281" s="34">
        <v>-3.4794</v>
      </c>
      <c r="W281" s="34">
        <v>100.9694842487862</v>
      </c>
      <c r="X281" s="34">
        <v>-3.4793999999999992</v>
      </c>
      <c r="AF281" s="34">
        <v>-1.8301000000000001</v>
      </c>
      <c r="AG281" s="34">
        <v>102.41811332933889</v>
      </c>
      <c r="AH281" s="34">
        <v>104.327409245949</v>
      </c>
      <c r="AI281" s="34">
        <v>-1.90929591661012</v>
      </c>
      <c r="AJ281" s="34">
        <v>-1.8301000000000071E-2</v>
      </c>
      <c r="AK281" s="34">
        <v>-1.9978</v>
      </c>
      <c r="AL281" s="34">
        <v>102.2431562640334</v>
      </c>
      <c r="AM281" s="34">
        <v>-1.9978000000000049</v>
      </c>
    </row>
    <row r="282" spans="1:39" x14ac:dyDescent="0.25">
      <c r="A282" s="34" t="s">
        <v>524</v>
      </c>
      <c r="B282" s="34" t="s">
        <v>525</v>
      </c>
      <c r="C282" s="34">
        <v>1.2361</v>
      </c>
      <c r="D282" s="34">
        <v>102.1649754620816</v>
      </c>
      <c r="E282" s="34">
        <v>103.22038328721899</v>
      </c>
      <c r="F282" s="34">
        <v>60768.1</v>
      </c>
      <c r="G282" s="35">
        <v>1.0663</v>
      </c>
      <c r="H282" s="34">
        <v>101.99361748964429</v>
      </c>
      <c r="I282" s="35">
        <v>-1.1884918060817149</v>
      </c>
      <c r="Q282" s="34">
        <v>-1.1935452463499401</v>
      </c>
      <c r="R282" s="34">
        <v>100.04996595748911</v>
      </c>
      <c r="S282" s="34">
        <v>104.60925879945439</v>
      </c>
      <c r="T282" s="34">
        <v>-4.5592928419653731</v>
      </c>
      <c r="U282" s="34">
        <v>-4.3584027783869092E-2</v>
      </c>
      <c r="V282" s="34">
        <v>-2.0036</v>
      </c>
      <c r="W282" s="34">
        <v>99.229716402655214</v>
      </c>
      <c r="X282" s="34">
        <v>-5.1425107667690151</v>
      </c>
      <c r="AF282" s="34">
        <v>4.2599999999999999E-2</v>
      </c>
      <c r="AG282" s="34">
        <v>102.4617434456172</v>
      </c>
      <c r="AH282" s="34">
        <v>104.327409245949</v>
      </c>
      <c r="AI282" s="34">
        <v>-1.865665800331811</v>
      </c>
      <c r="AJ282" s="34">
        <v>-1.7882796225999979E-2</v>
      </c>
      <c r="AK282" s="34">
        <v>-0.21410000000000001</v>
      </c>
      <c r="AL282" s="34">
        <v>102.19883614870071</v>
      </c>
      <c r="AM282" s="34">
        <v>-2.040281755900009</v>
      </c>
    </row>
    <row r="283" spans="1:39" x14ac:dyDescent="0.25">
      <c r="A283" s="34" t="s">
        <v>525</v>
      </c>
      <c r="B283" s="34" t="s">
        <v>526</v>
      </c>
      <c r="C283" s="34">
        <v>1.2979000000000001</v>
      </c>
      <c r="D283" s="34">
        <v>103.490974678604</v>
      </c>
      <c r="E283" s="34">
        <v>103.490974678604</v>
      </c>
      <c r="F283" s="34">
        <v>61549.65</v>
      </c>
      <c r="G283" s="35">
        <v>-0.2465</v>
      </c>
      <c r="H283" s="34">
        <v>101.9131387975676</v>
      </c>
      <c r="I283" s="35">
        <v>-1.266459635219475</v>
      </c>
      <c r="Q283" s="34">
        <v>-1.2090266161927401</v>
      </c>
      <c r="R283" s="34">
        <v>98.840335239571232</v>
      </c>
      <c r="S283" s="34">
        <v>104.60925879945439</v>
      </c>
      <c r="T283" s="34">
        <v>-5.7689235598831914</v>
      </c>
      <c r="U283" s="34">
        <v>-5.5147351449480672E-2</v>
      </c>
      <c r="V283" s="34">
        <v>-1.3253999999999999</v>
      </c>
      <c r="W283" s="34">
        <v>98.723903708688496</v>
      </c>
      <c r="X283" s="34">
        <v>-5.6260365079621621</v>
      </c>
      <c r="AF283" s="34">
        <v>8.8900000000000007E-2</v>
      </c>
      <c r="AG283" s="34">
        <v>102.5528319355403</v>
      </c>
      <c r="AH283" s="34">
        <v>104.327409245949</v>
      </c>
      <c r="AI283" s="34">
        <v>-1.77457731040866</v>
      </c>
      <c r="AJ283" s="34">
        <v>-1.7009694031844911E-2</v>
      </c>
      <c r="AK283" s="34">
        <v>-0.22220000000000001</v>
      </c>
      <c r="AL283" s="34">
        <v>102.234073451681</v>
      </c>
      <c r="AM283" s="34">
        <v>-2.0065060652785789</v>
      </c>
    </row>
    <row r="284" spans="1:39" x14ac:dyDescent="0.25">
      <c r="A284" s="34" t="s">
        <v>526</v>
      </c>
      <c r="B284" s="34" t="s">
        <v>527</v>
      </c>
      <c r="C284" s="34">
        <v>0.49419999999999997</v>
      </c>
      <c r="D284" s="34">
        <v>104.0024270754656</v>
      </c>
      <c r="E284" s="34">
        <v>104.0024270754656</v>
      </c>
      <c r="F284" s="34">
        <v>62379.25</v>
      </c>
      <c r="G284" s="35">
        <v>-0.70909999999999995</v>
      </c>
      <c r="H284" s="34">
        <v>102.757120177158</v>
      </c>
      <c r="I284" s="35">
        <v>-0.70909999999999584</v>
      </c>
      <c r="Q284" s="34">
        <v>0.25715822575306191</v>
      </c>
      <c r="R284" s="34">
        <v>99.094511292001684</v>
      </c>
      <c r="S284" s="34">
        <v>104.60925879945439</v>
      </c>
      <c r="T284" s="34">
        <v>-5.5147475074527392</v>
      </c>
      <c r="U284" s="34">
        <v>-5.2717585142487422E-2</v>
      </c>
      <c r="V284" s="34">
        <v>7.5300000000000006E-2</v>
      </c>
      <c r="W284" s="34">
        <v>98.914762012006634</v>
      </c>
      <c r="X284" s="34">
        <v>-5.4435877405122124</v>
      </c>
      <c r="AF284" s="34">
        <v>0.75139999999999996</v>
      </c>
      <c r="AG284" s="34">
        <v>103.32341391470401</v>
      </c>
      <c r="AH284" s="34">
        <v>104.327409245949</v>
      </c>
      <c r="AI284" s="34">
        <v>-1.0039953312450081</v>
      </c>
      <c r="AJ284" s="34">
        <v>-9.6235048728001739E-3</v>
      </c>
      <c r="AK284" s="34">
        <v>9.9400000000000002E-2</v>
      </c>
      <c r="AL284" s="34">
        <v>102.6547694504843</v>
      </c>
      <c r="AM284" s="34">
        <v>-1.6032601667712589</v>
      </c>
    </row>
    <row r="285" spans="1:39" x14ac:dyDescent="0.25">
      <c r="A285" s="34" t="s">
        <v>527</v>
      </c>
      <c r="B285" s="34" t="s">
        <v>259</v>
      </c>
      <c r="C285" s="34">
        <v>-1.9688000000000001</v>
      </c>
      <c r="D285" s="34">
        <v>101.9548272912039</v>
      </c>
      <c r="E285" s="34">
        <v>104.0024270754656</v>
      </c>
      <c r="F285" s="34">
        <v>62729.1</v>
      </c>
      <c r="G285" s="35">
        <v>-2.5533999999999999</v>
      </c>
      <c r="H285" s="34">
        <v>101.3468291025207</v>
      </c>
      <c r="I285" s="35">
        <v>-2.553399999999995</v>
      </c>
      <c r="Q285" s="34">
        <v>0.54993382539030577</v>
      </c>
      <c r="R285" s="34">
        <v>99.639465528701621</v>
      </c>
      <c r="S285" s="34">
        <v>104.60925879945439</v>
      </c>
      <c r="T285" s="34">
        <v>-4.9697932707528034</v>
      </c>
      <c r="U285" s="34">
        <v>-4.7508158721211793E-2</v>
      </c>
      <c r="V285" s="34">
        <v>-0.53620000000000001</v>
      </c>
      <c r="W285" s="34">
        <v>98.563166522453969</v>
      </c>
      <c r="X285" s="34">
        <v>-5.7796913450953387</v>
      </c>
      <c r="AF285" s="34">
        <v>-1.4189000000000001</v>
      </c>
      <c r="AG285" s="34">
        <v>101.85735799466821</v>
      </c>
      <c r="AH285" s="34">
        <v>104.327409245949</v>
      </c>
      <c r="AI285" s="34">
        <v>-2.470051251280736</v>
      </c>
      <c r="AJ285" s="34">
        <v>-2.367595696215995E-2</v>
      </c>
      <c r="AK285" s="34">
        <v>-1.4189000000000001</v>
      </c>
      <c r="AL285" s="34">
        <v>101.85735799466821</v>
      </c>
      <c r="AM285" s="34">
        <v>-2.3675956962159961</v>
      </c>
    </row>
  </sheetData>
  <mergeCells count="6">
    <mergeCell ref="A2:I2"/>
    <mergeCell ref="Q1:X1"/>
    <mergeCell ref="Q2:X2"/>
    <mergeCell ref="A1:I1"/>
    <mergeCell ref="AF1:AM1"/>
    <mergeCell ref="AF2:A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4" t="s">
        <v>528</v>
      </c>
      <c r="B1" s="82"/>
      <c r="C1" s="82"/>
      <c r="D1" s="82"/>
      <c r="E1" s="83"/>
      <c r="G1" s="36" t="s">
        <v>106</v>
      </c>
      <c r="H1" s="36" t="s">
        <v>529</v>
      </c>
      <c r="I1" s="36" t="s">
        <v>108</v>
      </c>
      <c r="J1" s="36" t="s">
        <v>530</v>
      </c>
      <c r="K1" s="36" t="s">
        <v>531</v>
      </c>
      <c r="L1" s="36" t="s">
        <v>105</v>
      </c>
      <c r="M1" s="36" t="s">
        <v>532</v>
      </c>
      <c r="N1" s="36" t="s">
        <v>533</v>
      </c>
      <c r="O1" s="36" t="s">
        <v>534</v>
      </c>
      <c r="P1" s="36" t="s">
        <v>535</v>
      </c>
      <c r="Q1" s="36" t="s">
        <v>536</v>
      </c>
      <c r="R1" s="36" t="s">
        <v>537</v>
      </c>
      <c r="S1" s="36" t="s">
        <v>233</v>
      </c>
    </row>
    <row r="2" spans="1:58" x14ac:dyDescent="0.25">
      <c r="A2" s="81"/>
      <c r="B2" s="82"/>
      <c r="C2" s="82"/>
      <c r="D2" s="82"/>
      <c r="E2" s="83"/>
      <c r="G2" s="37">
        <v>0.58375634517766495</v>
      </c>
      <c r="H2" s="37">
        <v>1.113101739130434E-2</v>
      </c>
      <c r="I2" s="37">
        <v>0.41624365482233511</v>
      </c>
      <c r="J2" s="37">
        <v>-1.002232926829268E-2</v>
      </c>
      <c r="K2" s="38">
        <v>0.23208886913631521</v>
      </c>
      <c r="L2" s="39">
        <v>281</v>
      </c>
      <c r="M2" s="40">
        <v>0.65394125721014118</v>
      </c>
      <c r="N2" s="40">
        <v>1.042309731478495</v>
      </c>
      <c r="O2" s="38">
        <v>4.4302279220627776</v>
      </c>
      <c r="P2" s="38">
        <v>0.31564067022103981</v>
      </c>
      <c r="Q2" s="38">
        <v>5.0106403023757329</v>
      </c>
      <c r="R2" s="40">
        <v>2.5257026012524011</v>
      </c>
      <c r="S2" s="37">
        <v>0.1235324279704115</v>
      </c>
    </row>
    <row r="3" spans="1:58" x14ac:dyDescent="0.25">
      <c r="A3" s="41" t="s">
        <v>160</v>
      </c>
      <c r="B3" s="42" t="s">
        <v>538</v>
      </c>
      <c r="C3" s="42" t="s">
        <v>539</v>
      </c>
      <c r="D3" s="42" t="s">
        <v>540</v>
      </c>
      <c r="E3" s="42" t="s">
        <v>541</v>
      </c>
      <c r="F3" s="43" t="s">
        <v>542</v>
      </c>
      <c r="G3" s="42" t="s">
        <v>543</v>
      </c>
      <c r="H3" s="42" t="s">
        <v>544</v>
      </c>
      <c r="I3" s="42" t="s">
        <v>545</v>
      </c>
      <c r="J3" s="43" t="s">
        <v>546</v>
      </c>
      <c r="K3" s="42" t="s">
        <v>547</v>
      </c>
      <c r="L3" s="42" t="s">
        <v>548</v>
      </c>
      <c r="M3" s="42" t="s">
        <v>549</v>
      </c>
      <c r="N3" s="43" t="s">
        <v>550</v>
      </c>
      <c r="O3" s="42" t="s">
        <v>551</v>
      </c>
      <c r="P3" s="42" t="s">
        <v>552</v>
      </c>
      <c r="Q3" s="42" t="s">
        <v>553</v>
      </c>
      <c r="R3" s="43" t="s">
        <v>554</v>
      </c>
      <c r="S3" s="42" t="s">
        <v>555</v>
      </c>
      <c r="T3" s="42" t="s">
        <v>556</v>
      </c>
      <c r="U3" s="42" t="s">
        <v>557</v>
      </c>
      <c r="V3" s="42" t="s">
        <v>558</v>
      </c>
      <c r="W3" s="43" t="s">
        <v>559</v>
      </c>
      <c r="X3" s="42" t="s">
        <v>560</v>
      </c>
      <c r="Y3" s="42" t="s">
        <v>561</v>
      </c>
      <c r="Z3" s="42" t="s">
        <v>562</v>
      </c>
      <c r="AA3" s="43" t="s">
        <v>563</v>
      </c>
      <c r="AB3" s="42" t="s">
        <v>564</v>
      </c>
      <c r="AC3" s="42" t="s">
        <v>565</v>
      </c>
      <c r="AD3" s="42" t="s">
        <v>566</v>
      </c>
      <c r="AE3" s="43" t="s">
        <v>567</v>
      </c>
      <c r="AF3" s="42" t="s">
        <v>568</v>
      </c>
      <c r="AG3" s="42" t="s">
        <v>569</v>
      </c>
      <c r="AH3" s="42" t="s">
        <v>570</v>
      </c>
      <c r="AI3" s="42" t="s">
        <v>571</v>
      </c>
      <c r="AJ3" s="43" t="s">
        <v>572</v>
      </c>
      <c r="AK3" s="42" t="s">
        <v>573</v>
      </c>
      <c r="AL3" s="42" t="s">
        <v>574</v>
      </c>
      <c r="AM3" s="42" t="s">
        <v>575</v>
      </c>
      <c r="AN3" s="43" t="s">
        <v>576</v>
      </c>
      <c r="AO3" s="42" t="s">
        <v>577</v>
      </c>
      <c r="AP3" s="42" t="s">
        <v>578</v>
      </c>
      <c r="AQ3" s="42" t="s">
        <v>579</v>
      </c>
      <c r="AR3" s="42" t="s">
        <v>580</v>
      </c>
      <c r="AS3" s="43" t="s">
        <v>581</v>
      </c>
      <c r="AT3" s="42" t="s">
        <v>582</v>
      </c>
      <c r="AU3" s="42" t="s">
        <v>583</v>
      </c>
      <c r="AV3" s="42" t="s">
        <v>584</v>
      </c>
      <c r="AW3" s="43" t="s">
        <v>585</v>
      </c>
      <c r="AX3" s="42" t="s">
        <v>586</v>
      </c>
      <c r="AY3" s="42" t="s">
        <v>587</v>
      </c>
      <c r="AZ3" s="42" t="s">
        <v>588</v>
      </c>
      <c r="BA3" s="42" t="s">
        <v>589</v>
      </c>
      <c r="BB3" s="43" t="s">
        <v>590</v>
      </c>
      <c r="BC3" s="79" t="s">
        <v>173</v>
      </c>
      <c r="BD3" s="79" t="s">
        <v>174</v>
      </c>
      <c r="BE3" s="79" t="s">
        <v>591</v>
      </c>
      <c r="BF3" s="79" t="s">
        <v>175</v>
      </c>
    </row>
    <row r="4" spans="1:58" x14ac:dyDescent="0.25">
      <c r="A4" s="44" t="s">
        <v>592</v>
      </c>
      <c r="B4" s="44" t="s">
        <v>161</v>
      </c>
      <c r="C4" s="45"/>
      <c r="D4" s="45"/>
      <c r="E4" s="45"/>
      <c r="F4" s="46"/>
      <c r="G4" s="44" t="s">
        <v>162</v>
      </c>
      <c r="H4" s="45"/>
      <c r="I4" s="45"/>
      <c r="J4" s="46"/>
      <c r="K4" s="44" t="s">
        <v>163</v>
      </c>
      <c r="L4" s="45"/>
      <c r="M4" s="45"/>
      <c r="N4" s="46"/>
      <c r="O4" s="44" t="s">
        <v>164</v>
      </c>
      <c r="P4" s="45"/>
      <c r="Q4" s="45"/>
      <c r="R4" s="46"/>
      <c r="S4" s="44" t="s">
        <v>165</v>
      </c>
      <c r="T4" s="45"/>
      <c r="U4" s="45"/>
      <c r="V4" s="45"/>
      <c r="W4" s="46"/>
      <c r="X4" s="44" t="s">
        <v>166</v>
      </c>
      <c r="Y4" s="45"/>
      <c r="Z4" s="45"/>
      <c r="AA4" s="46"/>
      <c r="AB4" s="44" t="s">
        <v>167</v>
      </c>
      <c r="AC4" s="45"/>
      <c r="AD4" s="45"/>
      <c r="AE4" s="46"/>
      <c r="AF4" s="44" t="s">
        <v>168</v>
      </c>
      <c r="AG4" s="45"/>
      <c r="AH4" s="45"/>
      <c r="AI4" s="45"/>
      <c r="AJ4" s="46"/>
      <c r="AK4" s="44" t="s">
        <v>169</v>
      </c>
      <c r="AL4" s="45"/>
      <c r="AM4" s="45"/>
      <c r="AN4" s="46"/>
      <c r="AO4" s="44" t="s">
        <v>170</v>
      </c>
      <c r="AP4" s="45"/>
      <c r="AQ4" s="45"/>
      <c r="AR4" s="45"/>
      <c r="AS4" s="46"/>
      <c r="AT4" s="44" t="s">
        <v>171</v>
      </c>
      <c r="AU4" s="45"/>
      <c r="AV4" s="45"/>
      <c r="AW4" s="46"/>
      <c r="AX4" s="44" t="s">
        <v>172</v>
      </c>
      <c r="AY4" s="45"/>
      <c r="AZ4" s="45"/>
      <c r="BA4" s="45"/>
      <c r="BB4" s="46"/>
      <c r="BC4" s="80"/>
      <c r="BD4" s="80"/>
      <c r="BE4" s="80"/>
      <c r="BF4" s="80"/>
    </row>
    <row r="5" spans="1:58" x14ac:dyDescent="0.25">
      <c r="A5" s="47">
        <v>2019</v>
      </c>
      <c r="B5" s="48"/>
      <c r="C5" s="48"/>
      <c r="D5" s="48"/>
      <c r="E5" s="48"/>
      <c r="F5" s="49"/>
      <c r="G5" s="48"/>
      <c r="H5" s="48"/>
      <c r="I5" s="48"/>
      <c r="J5" s="49"/>
      <c r="K5" s="48"/>
      <c r="L5" s="48"/>
      <c r="M5" s="48"/>
      <c r="N5" s="49"/>
      <c r="O5" s="50">
        <v>-8.8400000000000006E-3</v>
      </c>
      <c r="P5" s="51">
        <v>3.692E-3</v>
      </c>
      <c r="Q5" s="52">
        <v>-4.3969999999999999E-3</v>
      </c>
      <c r="R5" s="52">
        <v>-1.1039E-2</v>
      </c>
      <c r="S5" s="52">
        <v>-1.7000000000000001E-2</v>
      </c>
      <c r="T5" s="52">
        <v>-1.1587999999999999E-2</v>
      </c>
      <c r="U5" s="51">
        <v>1.1179E-2</v>
      </c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2">
        <v>-1.0416999999999999E-2</v>
      </c>
      <c r="AP5" s="51">
        <v>1.0219000000000001E-2</v>
      </c>
      <c r="AQ5" s="54">
        <v>-2.0753000000000001E-2</v>
      </c>
      <c r="AR5" s="55">
        <v>2.7955000000000001E-2</v>
      </c>
      <c r="AS5" s="56">
        <v>2.7060000000000001E-3</v>
      </c>
      <c r="AT5" s="57">
        <v>-6.9499999999999996E-3</v>
      </c>
      <c r="AU5" s="55">
        <v>1.1142000000000001E-2</v>
      </c>
      <c r="AV5" s="57">
        <v>-1.6590000000000001E-3</v>
      </c>
      <c r="AW5" s="58">
        <v>-5.9589999999999999E-3</v>
      </c>
      <c r="AX5" s="55">
        <v>2.6359999999999999E-3</v>
      </c>
      <c r="AY5" s="57">
        <v>-1.081E-2</v>
      </c>
      <c r="AZ5" s="57">
        <v>-1.2298999999999999E-2</v>
      </c>
      <c r="BA5" s="55">
        <v>7.1199999999999996E-4</v>
      </c>
      <c r="BB5" s="49"/>
      <c r="BC5" s="59">
        <v>-5.1470000000000002E-2</v>
      </c>
      <c r="BD5" s="60">
        <v>-5.8900000000000001E-2</v>
      </c>
      <c r="BE5" s="60">
        <v>-4.8946000000000003E-2</v>
      </c>
      <c r="BF5" s="61">
        <v>-0.87</v>
      </c>
    </row>
    <row r="6" spans="1:58" x14ac:dyDescent="0.25">
      <c r="A6" s="47">
        <v>2020</v>
      </c>
      <c r="B6" s="55">
        <v>2.0662E-2</v>
      </c>
      <c r="C6" s="55">
        <v>6.4419999999999998E-3</v>
      </c>
      <c r="D6" s="55">
        <v>1.8416999999999999E-2</v>
      </c>
      <c r="E6" s="55">
        <v>2.7389E-2</v>
      </c>
      <c r="F6" s="56">
        <v>2.1304E-2</v>
      </c>
      <c r="G6" s="50">
        <v>-1.9729999999999999E-3</v>
      </c>
      <c r="H6" s="52">
        <v>-7.9290000000000003E-3</v>
      </c>
      <c r="I6" s="52">
        <v>-5.3030000000000004E-3</v>
      </c>
      <c r="J6" s="51">
        <v>2.9529999999999999E-3</v>
      </c>
      <c r="K6" s="54">
        <v>-4.6670000000000001E-3</v>
      </c>
      <c r="L6" s="48"/>
      <c r="M6" s="48"/>
      <c r="N6" s="49"/>
      <c r="O6" s="48"/>
      <c r="P6" s="48"/>
      <c r="Q6" s="48"/>
      <c r="R6" s="49"/>
      <c r="S6" s="48"/>
      <c r="T6" s="48"/>
      <c r="U6" s="48"/>
      <c r="V6" s="48"/>
      <c r="W6" s="49"/>
      <c r="X6" s="48"/>
      <c r="Y6" s="48"/>
      <c r="Z6" s="48"/>
      <c r="AA6" s="49"/>
      <c r="AB6" s="48"/>
      <c r="AC6" s="48"/>
      <c r="AD6" s="48"/>
      <c r="AE6" s="49"/>
      <c r="AF6" s="48"/>
      <c r="AG6" s="48"/>
      <c r="AH6" s="48"/>
      <c r="AI6" s="48"/>
      <c r="AJ6" s="49"/>
      <c r="AK6" s="48"/>
      <c r="AL6" s="48"/>
      <c r="AM6" s="48"/>
      <c r="AN6" s="49"/>
      <c r="AO6" s="48"/>
      <c r="AP6" s="48"/>
      <c r="AQ6" s="48"/>
      <c r="AR6" s="48"/>
      <c r="AS6" s="49"/>
      <c r="AT6" s="48"/>
      <c r="AU6" s="48"/>
      <c r="AV6" s="48"/>
      <c r="AW6" s="49"/>
      <c r="AX6" s="48"/>
      <c r="AY6" s="48"/>
      <c r="AZ6" s="48"/>
      <c r="BA6" s="48"/>
      <c r="BB6" s="49"/>
      <c r="BC6" s="62">
        <v>7.7295000000000003E-2</v>
      </c>
      <c r="BD6" s="60">
        <v>-1.6899999999999998E-2</v>
      </c>
      <c r="BE6" s="60">
        <v>-2.9401E-2</v>
      </c>
      <c r="BF6" s="63">
        <v>4.57</v>
      </c>
    </row>
    <row r="7" spans="1:58" x14ac:dyDescent="0.25">
      <c r="A7" s="47">
        <v>2022</v>
      </c>
      <c r="B7" s="48"/>
      <c r="C7" s="48"/>
      <c r="D7" s="48"/>
      <c r="E7" s="48"/>
      <c r="F7" s="49"/>
      <c r="G7" s="48"/>
      <c r="H7" s="48"/>
      <c r="I7" s="48"/>
      <c r="J7" s="49"/>
      <c r="K7" s="48"/>
      <c r="L7" s="48"/>
      <c r="M7" s="48"/>
      <c r="N7" s="49"/>
      <c r="O7" s="48"/>
      <c r="P7" s="48"/>
      <c r="Q7" s="48"/>
      <c r="R7" s="49"/>
      <c r="S7" s="48"/>
      <c r="T7" s="48"/>
      <c r="U7" s="48"/>
      <c r="V7" s="48"/>
      <c r="W7" s="49"/>
      <c r="X7" s="48"/>
      <c r="Y7" s="48"/>
      <c r="Z7" s="48"/>
      <c r="AA7" s="49"/>
      <c r="AB7" s="48"/>
      <c r="AC7" s="48"/>
      <c r="AD7" s="48"/>
      <c r="AE7" s="49"/>
      <c r="AF7" s="55">
        <v>3.9659999999999999E-3</v>
      </c>
      <c r="AG7" s="55">
        <v>2.771E-3</v>
      </c>
      <c r="AH7" s="55">
        <v>8.1519999999999995E-3</v>
      </c>
      <c r="AI7" s="55">
        <v>8.1270000000000005E-3</v>
      </c>
      <c r="AJ7" s="56">
        <v>1.0678E-2</v>
      </c>
      <c r="AK7" s="55">
        <v>2.1628000000000001E-2</v>
      </c>
      <c r="AL7" s="57">
        <v>-1.0134000000000001E-2</v>
      </c>
      <c r="AM7" s="57">
        <v>-2.1800000000000001E-3</v>
      </c>
      <c r="AN7" s="56">
        <v>3.6879999999999999E-3</v>
      </c>
      <c r="AO7" s="55">
        <v>1.0021E-2</v>
      </c>
      <c r="AP7" s="55">
        <v>1.671E-3</v>
      </c>
      <c r="AQ7" s="50">
        <v>-2.0702000000000002E-2</v>
      </c>
      <c r="AR7" s="52">
        <v>-1.1716000000000001E-2</v>
      </c>
      <c r="AS7" s="52">
        <v>-1.2589999999999999E-3</v>
      </c>
      <c r="AT7" s="52">
        <v>-3.8000000000000002E-5</v>
      </c>
      <c r="AU7" s="54">
        <v>-2.6280000000000001E-2</v>
      </c>
      <c r="AV7" s="55">
        <v>8.8459999999999997E-3</v>
      </c>
      <c r="AW7" s="56">
        <v>2.4940000000000001E-3</v>
      </c>
      <c r="AX7" s="55">
        <v>1.8769000000000001E-2</v>
      </c>
      <c r="AY7" s="55">
        <v>1.2886E-2</v>
      </c>
      <c r="AZ7" s="57">
        <v>-1.0205000000000001E-2</v>
      </c>
      <c r="BA7" s="57">
        <v>-1.3599999999999999E-2</v>
      </c>
      <c r="BB7" s="49"/>
      <c r="BC7" s="62">
        <v>1.7583000000000001E-2</v>
      </c>
      <c r="BD7" s="60">
        <v>-0.06</v>
      </c>
      <c r="BE7" s="60">
        <v>-6.0007999999999999E-2</v>
      </c>
      <c r="BF7" s="63">
        <v>0.28999999999999998</v>
      </c>
    </row>
    <row r="8" spans="1:58" x14ac:dyDescent="0.25">
      <c r="A8" s="47">
        <v>2023</v>
      </c>
      <c r="B8" s="48"/>
      <c r="C8" s="48"/>
      <c r="D8" s="48"/>
      <c r="E8" s="48"/>
      <c r="F8" s="49"/>
      <c r="G8" s="48"/>
      <c r="H8" s="48"/>
      <c r="I8" s="48"/>
      <c r="J8" s="49"/>
      <c r="K8" s="48"/>
      <c r="L8" s="48"/>
      <c r="M8" s="48"/>
      <c r="N8" s="49"/>
      <c r="O8" s="48"/>
      <c r="P8" s="48"/>
      <c r="Q8" s="48"/>
      <c r="R8" s="49"/>
      <c r="S8" s="55">
        <v>1.0697E-2</v>
      </c>
      <c r="T8" s="57">
        <v>-5.6300000000000002E-4</v>
      </c>
      <c r="U8" s="55">
        <v>1.6673E-2</v>
      </c>
      <c r="V8" s="55">
        <v>3.0200000000000001E-3</v>
      </c>
      <c r="W8" s="56">
        <v>7.4469999999999996E-3</v>
      </c>
      <c r="X8" s="55">
        <v>9.4590000000000004E-3</v>
      </c>
      <c r="Y8" s="55">
        <v>1.2858E-2</v>
      </c>
      <c r="Z8" s="55">
        <v>2.0435999999999999E-2</v>
      </c>
      <c r="AA8" s="58">
        <v>-5.862E-3</v>
      </c>
      <c r="AB8" s="57">
        <v>-1.0921999999999999E-2</v>
      </c>
      <c r="AC8" s="55">
        <v>1.0428E-2</v>
      </c>
      <c r="AD8" s="57">
        <v>-9.8700000000000003E-3</v>
      </c>
      <c r="AE8" s="56">
        <v>9.8890000000000002E-3</v>
      </c>
      <c r="AF8" s="55">
        <v>1.7847999999999999E-2</v>
      </c>
      <c r="AG8" s="55">
        <v>1.5096E-2</v>
      </c>
      <c r="AH8" s="55">
        <v>7.4840000000000002E-3</v>
      </c>
      <c r="AI8" s="55">
        <v>2.8013E-2</v>
      </c>
      <c r="AJ8" s="56">
        <v>1.8393E-2</v>
      </c>
      <c r="AK8" s="55">
        <v>1.6542999999999999E-2</v>
      </c>
      <c r="AL8" s="57">
        <v>-2.6773999999999999E-2</v>
      </c>
      <c r="AM8" s="55">
        <v>1.2597000000000001E-2</v>
      </c>
      <c r="AN8" s="56">
        <v>1.7003000000000001E-2</v>
      </c>
      <c r="AO8" s="50">
        <v>-3.5799999999999998E-3</v>
      </c>
      <c r="AP8" s="52">
        <v>-9.3720000000000001E-3</v>
      </c>
      <c r="AQ8" s="51">
        <v>2.3709999999999998E-3</v>
      </c>
      <c r="AR8" s="54">
        <v>-2.3956999999999999E-2</v>
      </c>
      <c r="AS8" s="56">
        <v>1.3834000000000001E-2</v>
      </c>
      <c r="AT8" s="55">
        <v>2.0468E-2</v>
      </c>
      <c r="AU8" s="55">
        <v>9.0570000000000008E-3</v>
      </c>
      <c r="AV8" s="55">
        <v>9.1959999999999993E-3</v>
      </c>
      <c r="AW8" s="56">
        <v>3.0800000000000001E-4</v>
      </c>
      <c r="AX8" s="57">
        <v>-4.8000000000000001E-5</v>
      </c>
      <c r="AY8" s="55">
        <v>1.8345E-2</v>
      </c>
      <c r="AZ8" s="57">
        <v>-3.1854E-2</v>
      </c>
      <c r="BA8" s="55">
        <v>5.764E-3</v>
      </c>
      <c r="BB8" s="49"/>
      <c r="BC8" s="62">
        <v>0.19042500000000001</v>
      </c>
      <c r="BD8" s="60">
        <v>-3.4500000000000003E-2</v>
      </c>
      <c r="BE8" s="60">
        <v>-4.6706999999999999E-2</v>
      </c>
      <c r="BF8" s="63">
        <v>5.52</v>
      </c>
    </row>
    <row r="9" spans="1:58" x14ac:dyDescent="0.25">
      <c r="A9" s="47">
        <v>2024</v>
      </c>
      <c r="B9" s="55">
        <v>3.0032E-2</v>
      </c>
      <c r="C9" s="55">
        <v>6.5409999999999999E-3</v>
      </c>
      <c r="D9" s="55">
        <v>6.4349999999999997E-3</v>
      </c>
      <c r="E9" s="55">
        <v>1.5488E-2</v>
      </c>
      <c r="F9" s="56">
        <v>1.6945999999999999E-2</v>
      </c>
      <c r="G9" s="55">
        <v>1.0276E-2</v>
      </c>
      <c r="H9" s="50">
        <v>-1.6123999999999999E-2</v>
      </c>
      <c r="I9" s="51">
        <v>2.238E-3</v>
      </c>
      <c r="J9" s="52">
        <v>-6.9680000000000002E-3</v>
      </c>
      <c r="K9" s="52">
        <v>-8.9669999999999993E-3</v>
      </c>
      <c r="L9" s="54">
        <v>-4.1079999999999998E-2</v>
      </c>
      <c r="M9" s="55">
        <v>1.1083000000000001E-2</v>
      </c>
      <c r="N9" s="56">
        <v>2.3709999999999998E-2</v>
      </c>
      <c r="O9" s="57">
        <v>-9.3620000000000005E-3</v>
      </c>
      <c r="P9" s="48"/>
      <c r="Q9" s="48"/>
      <c r="R9" s="49"/>
      <c r="S9" s="48"/>
      <c r="T9" s="57">
        <v>-3.787E-3</v>
      </c>
      <c r="U9" s="55">
        <v>1.9810000000000001E-2</v>
      </c>
      <c r="V9" s="55">
        <v>9.6460000000000001E-3</v>
      </c>
      <c r="W9" s="58">
        <v>-4.764E-3</v>
      </c>
      <c r="X9" s="57">
        <v>-4.0400000000000002E-3</v>
      </c>
      <c r="Y9" s="55">
        <v>1.3764E-2</v>
      </c>
      <c r="Z9" s="55">
        <v>3.6700000000000001E-3</v>
      </c>
      <c r="AA9" s="58">
        <v>-1.1261999999999999E-2</v>
      </c>
      <c r="AB9" s="55">
        <v>2.712E-3</v>
      </c>
      <c r="AC9" s="55">
        <v>1.3691E-2</v>
      </c>
      <c r="AD9" s="57">
        <v>-1.2149999999999999E-3</v>
      </c>
      <c r="AE9" s="58">
        <v>-7.6099999999999996E-4</v>
      </c>
      <c r="AF9" s="55">
        <v>1.4141000000000001E-2</v>
      </c>
      <c r="AG9" s="57">
        <v>-1.5140000000000001E-2</v>
      </c>
      <c r="AH9" s="55">
        <v>1.2848E-2</v>
      </c>
      <c r="AI9" s="57">
        <v>-1.3179E-2</v>
      </c>
      <c r="AJ9" s="58">
        <v>-2.3240000000000001E-3</v>
      </c>
      <c r="AK9" s="57">
        <v>-8.2000000000000001E-5</v>
      </c>
      <c r="AL9" s="55">
        <v>2.5699999999999998E-3</v>
      </c>
      <c r="AM9" s="57">
        <v>-7.2030000000000002E-3</v>
      </c>
      <c r="AN9" s="58">
        <v>-1.6466000000000001E-2</v>
      </c>
      <c r="AO9" s="55">
        <v>3.6219999999999998E-3</v>
      </c>
      <c r="AP9" s="55">
        <v>9.2910000000000006E-3</v>
      </c>
      <c r="AQ9" s="55">
        <v>1.0854000000000001E-2</v>
      </c>
      <c r="AR9" s="57">
        <v>-2.1236000000000001E-2</v>
      </c>
      <c r="AS9" s="56">
        <v>7.2969999999999997E-3</v>
      </c>
      <c r="AT9" s="55">
        <v>1.6302000000000001E-2</v>
      </c>
      <c r="AU9" s="57">
        <v>-3.0578999999999999E-2</v>
      </c>
      <c r="AV9" s="55">
        <v>2.2612E-2</v>
      </c>
      <c r="AW9" s="58">
        <v>-1.9772999999999999E-2</v>
      </c>
      <c r="AX9" s="55">
        <v>2.8157999999999999E-2</v>
      </c>
      <c r="AY9" s="55">
        <v>1.6112000000000001E-2</v>
      </c>
      <c r="AZ9" s="55">
        <v>5.8209999999999998E-3</v>
      </c>
      <c r="BA9" s="57">
        <v>-4.4920000000000003E-3</v>
      </c>
      <c r="BB9" s="49"/>
      <c r="BC9" s="62">
        <v>9.6865999999999994E-2</v>
      </c>
      <c r="BD9" s="60">
        <v>-7.0900000000000005E-2</v>
      </c>
      <c r="BE9" s="60">
        <v>-7.2894E-2</v>
      </c>
      <c r="BF9" s="63">
        <v>1.37</v>
      </c>
    </row>
    <row r="10" spans="1:58" x14ac:dyDescent="0.25">
      <c r="A10" s="47">
        <v>2025</v>
      </c>
      <c r="B10" s="55">
        <v>7.7710000000000001E-3</v>
      </c>
      <c r="C10" s="48"/>
      <c r="D10" s="48"/>
      <c r="E10" s="48"/>
      <c r="F10" s="49"/>
      <c r="G10" s="48"/>
      <c r="H10" s="48"/>
      <c r="I10" s="48"/>
      <c r="J10" s="49"/>
      <c r="K10" s="48"/>
      <c r="L10" s="48"/>
      <c r="M10" s="48"/>
      <c r="N10" s="49"/>
      <c r="O10" s="55">
        <v>1.5188999999999999E-2</v>
      </c>
      <c r="P10" s="57">
        <v>-7.8930000000000007E-3</v>
      </c>
      <c r="Q10" s="55">
        <v>4.7699999999999999E-4</v>
      </c>
      <c r="R10" s="56">
        <v>1.0928999999999999E-2</v>
      </c>
      <c r="S10" s="57">
        <v>-2.885E-3</v>
      </c>
      <c r="T10" s="57">
        <v>-3.431E-3</v>
      </c>
      <c r="U10" s="55">
        <v>2.0846E-2</v>
      </c>
      <c r="V10" s="57">
        <v>-1.1280000000000001E-3</v>
      </c>
      <c r="W10" s="56">
        <v>1.2337000000000001E-2</v>
      </c>
      <c r="X10" s="55">
        <v>2.0802999999999999E-2</v>
      </c>
      <c r="Y10" s="55">
        <v>2.372E-3</v>
      </c>
      <c r="Z10" s="50">
        <v>-9.3790000000000002E-3</v>
      </c>
      <c r="AA10" s="52">
        <v>-6.1440000000000002E-3</v>
      </c>
      <c r="AB10" s="51">
        <v>6.6860000000000001E-3</v>
      </c>
      <c r="AC10" s="52">
        <v>-5.3930000000000002E-3</v>
      </c>
      <c r="AD10" s="51">
        <v>1.3847999999999999E-2</v>
      </c>
      <c r="AE10" s="52">
        <v>-5.0340000000000003E-3</v>
      </c>
      <c r="AF10" s="52">
        <v>-4.4099999999999999E-3</v>
      </c>
      <c r="AG10" s="52">
        <v>-9.5090000000000001E-3</v>
      </c>
      <c r="AH10" s="52">
        <v>-3.5669999999999999E-3</v>
      </c>
      <c r="AI10" s="51">
        <v>1.5839999999999999E-3</v>
      </c>
      <c r="AJ10" s="52">
        <v>-9.0480000000000005E-3</v>
      </c>
      <c r="AK10" s="51">
        <v>5.2550000000000001E-3</v>
      </c>
      <c r="AL10" s="51">
        <v>3.6470000000000001E-3</v>
      </c>
      <c r="AM10" s="51">
        <v>9.8530000000000006E-3</v>
      </c>
      <c r="AN10" s="51">
        <v>1.34E-4</v>
      </c>
      <c r="AO10" s="54">
        <v>-2.0178999999999999E-2</v>
      </c>
      <c r="AP10" s="55">
        <v>8.2059999999999998E-3</v>
      </c>
      <c r="AQ10" s="55">
        <v>9.4179999999999993E-3</v>
      </c>
      <c r="AR10" s="57">
        <v>-1.3913999999999999E-2</v>
      </c>
      <c r="AS10" s="56">
        <v>2.8400000000000001E-3</v>
      </c>
      <c r="AT10" s="55">
        <v>1.8513999999999999E-2</v>
      </c>
      <c r="AU10" s="55">
        <v>5.254E-3</v>
      </c>
      <c r="AV10" s="57">
        <v>-4.1100000000000002E-4</v>
      </c>
      <c r="AW10" s="58">
        <v>-1.6766E-2</v>
      </c>
      <c r="AX10" s="55">
        <v>1.0489E-2</v>
      </c>
      <c r="AY10" s="57">
        <v>-1.8408000000000001E-2</v>
      </c>
      <c r="AZ10" s="55">
        <v>1.1157E-2</v>
      </c>
      <c r="BA10" s="55">
        <v>6.2779999999999997E-3</v>
      </c>
      <c r="BB10" s="49"/>
      <c r="BC10" s="62">
        <v>6.6388000000000003E-2</v>
      </c>
      <c r="BD10" s="60">
        <v>-3.1699999999999999E-2</v>
      </c>
      <c r="BE10" s="60">
        <v>-4.0067999999999999E-2</v>
      </c>
      <c r="BF10" s="63">
        <v>2.09</v>
      </c>
    </row>
    <row r="11" spans="1:58" x14ac:dyDescent="0.25">
      <c r="A11" s="47">
        <v>2026</v>
      </c>
      <c r="B11" s="57">
        <v>-9.2399999999999999E-3</v>
      </c>
      <c r="C11" s="55">
        <v>1.014E-2</v>
      </c>
      <c r="D11" s="57">
        <v>-9.4070000000000004E-3</v>
      </c>
      <c r="E11" s="55">
        <v>1.4409E-2</v>
      </c>
      <c r="F11" s="58">
        <v>-1.6931999999999999E-2</v>
      </c>
      <c r="G11" s="55">
        <v>1.2734000000000001E-2</v>
      </c>
      <c r="H11" s="55">
        <v>1.1604E-2</v>
      </c>
      <c r="I11" s="57">
        <v>-7.2719999999999998E-3</v>
      </c>
      <c r="J11" s="58">
        <v>-7.9740000000000002E-3</v>
      </c>
      <c r="K11" s="55">
        <v>1.2104E-2</v>
      </c>
      <c r="L11" s="57">
        <v>-1.4549999999999999E-3</v>
      </c>
      <c r="M11" s="55">
        <v>1.5692000000000001E-2</v>
      </c>
      <c r="N11" s="56">
        <v>1.7722999999999999E-2</v>
      </c>
      <c r="O11" s="48"/>
      <c r="P11" s="48"/>
      <c r="Q11" s="48"/>
      <c r="R11" s="49"/>
      <c r="S11" s="48"/>
      <c r="T11" s="55">
        <v>2.7269999999999998E-3</v>
      </c>
      <c r="U11" s="55">
        <v>3.2244000000000002E-2</v>
      </c>
      <c r="V11" s="55">
        <v>1.9719999999999998E-3</v>
      </c>
      <c r="W11" s="58">
        <v>-6.8499999999999995E-4</v>
      </c>
      <c r="X11" s="55">
        <v>3.9309999999999996E-3</v>
      </c>
      <c r="Y11" s="55">
        <v>2.4949999999999998E-3</v>
      </c>
      <c r="Z11" s="50">
        <v>-1.7874999999999999E-2</v>
      </c>
      <c r="AA11" s="51">
        <v>8.4030000000000007E-3</v>
      </c>
      <c r="AB11" s="54">
        <v>-1.4189E-2</v>
      </c>
      <c r="AC11" s="48"/>
      <c r="AD11" s="48"/>
      <c r="AE11" s="49"/>
      <c r="AF11" s="48"/>
      <c r="AG11" s="48"/>
      <c r="AH11" s="48"/>
      <c r="AI11" s="48"/>
      <c r="AJ11" s="49"/>
      <c r="AK11" s="48"/>
      <c r="AL11" s="48"/>
      <c r="AM11" s="48"/>
      <c r="AN11" s="49"/>
      <c r="AO11" s="48"/>
      <c r="AP11" s="48"/>
      <c r="AQ11" s="48"/>
      <c r="AR11" s="48"/>
      <c r="AS11" s="49"/>
      <c r="AT11" s="48"/>
      <c r="AU11" s="48"/>
      <c r="AV11" s="48"/>
      <c r="AW11" s="49"/>
      <c r="AX11" s="48"/>
      <c r="AY11" s="48"/>
      <c r="AZ11" s="48"/>
      <c r="BA11" s="48"/>
      <c r="BB11" s="49"/>
      <c r="BC11" s="62">
        <v>6.1149000000000002E-2</v>
      </c>
      <c r="BD11" s="60">
        <v>-2.3699999999999999E-2</v>
      </c>
      <c r="BE11" s="60">
        <v>-2.6069999999999999E-2</v>
      </c>
      <c r="BF11" s="63">
        <v>2.58</v>
      </c>
    </row>
    <row r="12" spans="1:58" x14ac:dyDescent="0.25">
      <c r="A12" s="41" t="s">
        <v>173</v>
      </c>
      <c r="BC12" s="64">
        <v>0.45823599999999998</v>
      </c>
      <c r="BD12" s="60">
        <v>-4.2370999999999999E-2</v>
      </c>
      <c r="BE12" s="60">
        <v>-4.6299E-2</v>
      </c>
      <c r="BF12" s="63">
        <v>2.2200000000000002</v>
      </c>
    </row>
    <row r="14" spans="1:58" x14ac:dyDescent="0.25">
      <c r="A14" s="84" t="s">
        <v>528</v>
      </c>
      <c r="B14" s="82"/>
      <c r="C14" s="82"/>
      <c r="D14" s="83"/>
      <c r="F14" s="36" t="s">
        <v>106</v>
      </c>
      <c r="G14" s="36" t="s">
        <v>529</v>
      </c>
      <c r="H14" s="36" t="s">
        <v>108</v>
      </c>
      <c r="I14" s="36" t="s">
        <v>530</v>
      </c>
      <c r="J14" s="36" t="s">
        <v>531</v>
      </c>
      <c r="K14" s="36" t="s">
        <v>105</v>
      </c>
      <c r="L14" s="36" t="s">
        <v>532</v>
      </c>
      <c r="M14" s="36" t="s">
        <v>533</v>
      </c>
      <c r="N14" s="36" t="s">
        <v>534</v>
      </c>
      <c r="O14" s="36" t="s">
        <v>535</v>
      </c>
      <c r="P14" s="36" t="s">
        <v>536</v>
      </c>
      <c r="Q14" s="36" t="s">
        <v>537</v>
      </c>
      <c r="R14" s="36" t="s">
        <v>233</v>
      </c>
    </row>
    <row r="15" spans="1:58" x14ac:dyDescent="0.25">
      <c r="A15" s="81"/>
      <c r="B15" s="82"/>
      <c r="C15" s="82"/>
      <c r="D15" s="83"/>
      <c r="F15" s="37">
        <v>0.62222222222222223</v>
      </c>
      <c r="G15" s="37">
        <v>2.666074999999999E-2</v>
      </c>
      <c r="H15" s="37">
        <v>0.37777777777777782</v>
      </c>
      <c r="I15" s="37">
        <v>-1.6956764705882348E-2</v>
      </c>
      <c r="J15" s="38">
        <v>0.60052860311788714</v>
      </c>
      <c r="K15" s="39">
        <v>281</v>
      </c>
      <c r="L15" s="40">
        <v>0.60718924737317048</v>
      </c>
      <c r="M15" s="40">
        <v>1.675490731676839</v>
      </c>
      <c r="N15" s="38">
        <v>4.2936342704352901</v>
      </c>
      <c r="O15" s="38">
        <v>0.64005720661440157</v>
      </c>
      <c r="P15" s="38">
        <v>10.16059316133836</v>
      </c>
      <c r="Q15" s="40">
        <v>2.3101135453235622</v>
      </c>
      <c r="R15" s="37">
        <v>0.1235802593351663</v>
      </c>
    </row>
    <row r="16" spans="1:58" x14ac:dyDescent="0.25">
      <c r="A16" s="65" t="s">
        <v>160</v>
      </c>
      <c r="B16" s="65" t="s">
        <v>161</v>
      </c>
      <c r="C16" s="65" t="s">
        <v>162</v>
      </c>
      <c r="D16" s="65" t="s">
        <v>163</v>
      </c>
      <c r="E16" s="65" t="s">
        <v>164</v>
      </c>
      <c r="F16" s="65" t="s">
        <v>165</v>
      </c>
      <c r="G16" s="65" t="s">
        <v>166</v>
      </c>
      <c r="H16" s="65" t="s">
        <v>167</v>
      </c>
      <c r="I16" s="65" t="s">
        <v>168</v>
      </c>
      <c r="J16" s="65" t="s">
        <v>169</v>
      </c>
      <c r="K16" s="65" t="s">
        <v>170</v>
      </c>
      <c r="L16" s="65" t="s">
        <v>171</v>
      </c>
      <c r="M16" s="65" t="s">
        <v>172</v>
      </c>
      <c r="N16" s="65" t="s">
        <v>173</v>
      </c>
      <c r="O16" s="65" t="s">
        <v>174</v>
      </c>
      <c r="P16" s="65" t="s">
        <v>591</v>
      </c>
      <c r="Q16" s="65" t="s">
        <v>175</v>
      </c>
    </row>
    <row r="17" spans="1:17" x14ac:dyDescent="0.25">
      <c r="A17" s="47">
        <v>2019</v>
      </c>
      <c r="B17" s="66"/>
      <c r="C17" s="66"/>
      <c r="D17" s="66"/>
      <c r="E17" s="60">
        <v>-3.7583999999999999E-2</v>
      </c>
      <c r="F17" s="60">
        <v>-4.0900000000000002E-4</v>
      </c>
      <c r="G17" s="66"/>
      <c r="H17" s="66"/>
      <c r="I17" s="66"/>
      <c r="J17" s="66"/>
      <c r="K17" s="64">
        <v>9.7099999999999999E-3</v>
      </c>
      <c r="L17" s="60">
        <v>-3.4259999999999998E-3</v>
      </c>
      <c r="M17" s="60">
        <v>-1.9761000000000001E-2</v>
      </c>
      <c r="N17" s="60">
        <v>-5.1470000000000002E-2</v>
      </c>
      <c r="O17" s="60">
        <v>-4.8298000000000001E-2</v>
      </c>
      <c r="P17" s="60">
        <v>-4.8946000000000003E-2</v>
      </c>
      <c r="Q17" s="61">
        <v>-1.07</v>
      </c>
    </row>
    <row r="18" spans="1:17" x14ac:dyDescent="0.25">
      <c r="A18" s="47">
        <v>2020</v>
      </c>
      <c r="B18" s="64">
        <v>9.4214000000000006E-2</v>
      </c>
      <c r="C18" s="60">
        <v>-1.6919E-2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4">
        <v>7.7295000000000003E-2</v>
      </c>
      <c r="O18" s="60">
        <v>-1.6839E-2</v>
      </c>
      <c r="P18" s="60">
        <v>-2.9401E-2</v>
      </c>
      <c r="Q18" s="63">
        <v>4.59</v>
      </c>
    </row>
    <row r="19" spans="1:17" x14ac:dyDescent="0.25">
      <c r="A19" s="47">
        <v>2022</v>
      </c>
      <c r="B19" s="66"/>
      <c r="C19" s="66"/>
      <c r="D19" s="66"/>
      <c r="E19" s="66"/>
      <c r="F19" s="66"/>
      <c r="G19" s="66"/>
      <c r="H19" s="66"/>
      <c r="I19" s="64">
        <v>3.3694000000000002E-2</v>
      </c>
      <c r="J19" s="64">
        <v>1.9200999999999999E-2</v>
      </c>
      <c r="K19" s="60">
        <v>-3.2052999999999998E-2</v>
      </c>
      <c r="L19" s="60">
        <v>-1.1109000000000001E-2</v>
      </c>
      <c r="M19" s="64">
        <v>7.8499999999999993E-3</v>
      </c>
      <c r="N19" s="64">
        <v>1.7583000000000001E-2</v>
      </c>
      <c r="O19" s="60">
        <v>-5.8886000000000001E-2</v>
      </c>
      <c r="P19" s="60">
        <v>-6.0007999999999999E-2</v>
      </c>
      <c r="Q19" s="63">
        <v>0.3</v>
      </c>
    </row>
    <row r="20" spans="1:17" x14ac:dyDescent="0.25">
      <c r="A20" s="47">
        <v>2023</v>
      </c>
      <c r="B20" s="66"/>
      <c r="C20" s="66"/>
      <c r="D20" s="66"/>
      <c r="E20" s="66"/>
      <c r="F20" s="64">
        <v>3.7274000000000002E-2</v>
      </c>
      <c r="G20" s="64">
        <v>2.7741999999999999E-2</v>
      </c>
      <c r="H20" s="64">
        <v>8.6739999999999994E-3</v>
      </c>
      <c r="I20" s="64">
        <v>8.6833999999999995E-2</v>
      </c>
      <c r="J20" s="64">
        <v>1.9369000000000001E-2</v>
      </c>
      <c r="K20" s="60">
        <v>-3.4537999999999999E-2</v>
      </c>
      <c r="L20" s="64">
        <v>5.2863E-2</v>
      </c>
      <c r="M20" s="60">
        <v>-7.7929999999999996E-3</v>
      </c>
      <c r="N20" s="64">
        <v>0.19042500000000001</v>
      </c>
      <c r="O20" s="60">
        <v>-3.8613000000000001E-2</v>
      </c>
      <c r="P20" s="60">
        <v>-4.6706999999999999E-2</v>
      </c>
      <c r="Q20" s="63">
        <v>4.93</v>
      </c>
    </row>
    <row r="21" spans="1:17" x14ac:dyDescent="0.25">
      <c r="A21" s="47">
        <v>2024</v>
      </c>
      <c r="B21" s="64">
        <v>7.5441999999999995E-2</v>
      </c>
      <c r="C21" s="60">
        <v>-1.0578000000000001E-2</v>
      </c>
      <c r="D21" s="60">
        <v>-2.4615999999999999E-2</v>
      </c>
      <c r="E21" s="66"/>
      <c r="F21" s="64">
        <v>2.0905E-2</v>
      </c>
      <c r="G21" s="64">
        <v>2.1320000000000002E-3</v>
      </c>
      <c r="H21" s="64">
        <v>2.8568E-2</v>
      </c>
      <c r="I21" s="60">
        <v>-1.7794999999999998E-2</v>
      </c>
      <c r="J21" s="60">
        <v>-2.1180999999999998E-2</v>
      </c>
      <c r="K21" s="64">
        <v>9.8279999999999999E-3</v>
      </c>
      <c r="L21" s="60">
        <v>-1.1438E-2</v>
      </c>
      <c r="M21" s="64">
        <v>5.3370000000000001E-2</v>
      </c>
      <c r="N21" s="64">
        <v>0.10463699999999999</v>
      </c>
      <c r="O21" s="60">
        <v>-6.9499000000000005E-2</v>
      </c>
      <c r="P21" s="60">
        <v>-7.2894E-2</v>
      </c>
      <c r="Q21" s="63">
        <v>1.51</v>
      </c>
    </row>
    <row r="22" spans="1:17" x14ac:dyDescent="0.25">
      <c r="A22" s="47">
        <v>2025</v>
      </c>
      <c r="B22" s="66"/>
      <c r="C22" s="66"/>
      <c r="D22" s="66"/>
      <c r="E22" s="64">
        <v>1.5817000000000001E-2</v>
      </c>
      <c r="F22" s="64">
        <v>2.8624E-2</v>
      </c>
      <c r="G22" s="64">
        <v>2.9260000000000002E-3</v>
      </c>
      <c r="H22" s="64">
        <v>1.0423E-2</v>
      </c>
      <c r="I22" s="60">
        <v>-2.0539999999999999E-2</v>
      </c>
      <c r="J22" s="60">
        <v>-1.2899999999999999E-3</v>
      </c>
      <c r="K22" s="64">
        <v>6.5500000000000003E-3</v>
      </c>
      <c r="L22" s="64">
        <v>6.5909999999999996E-3</v>
      </c>
      <c r="M22" s="64">
        <v>2.7599999999999999E-4</v>
      </c>
      <c r="N22" s="64">
        <v>4.9376999999999997E-2</v>
      </c>
      <c r="O22" s="60">
        <v>-3.1982999999999998E-2</v>
      </c>
      <c r="P22" s="60">
        <v>-4.0067999999999999E-2</v>
      </c>
      <c r="Q22" s="63">
        <v>1.54</v>
      </c>
    </row>
    <row r="23" spans="1:17" x14ac:dyDescent="0.25">
      <c r="A23" s="47">
        <v>2026</v>
      </c>
      <c r="B23" s="64">
        <v>1.0493000000000001E-2</v>
      </c>
      <c r="C23" s="64">
        <v>8.9130000000000008E-3</v>
      </c>
      <c r="D23" s="64">
        <v>3.1960000000000002E-2</v>
      </c>
      <c r="E23" s="66"/>
      <c r="F23" s="64">
        <v>3.6257999999999999E-2</v>
      </c>
      <c r="G23" s="60">
        <v>-1.7235E-2</v>
      </c>
      <c r="H23" s="66"/>
      <c r="I23" s="66"/>
      <c r="J23" s="66"/>
      <c r="K23" s="66"/>
      <c r="L23" s="66"/>
      <c r="M23" s="66"/>
      <c r="N23" s="64">
        <v>7.0388999999999993E-2</v>
      </c>
      <c r="O23" s="60">
        <v>-2.3675999999999999E-2</v>
      </c>
      <c r="P23" s="60">
        <v>-2.6069999999999999E-2</v>
      </c>
      <c r="Q23" s="63">
        <v>2.97</v>
      </c>
    </row>
    <row r="24" spans="1:17" x14ac:dyDescent="0.25">
      <c r="A24" s="41" t="s">
        <v>173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64">
        <v>0.45823599999999998</v>
      </c>
      <c r="O24" s="60">
        <v>-4.1112999999999997E-2</v>
      </c>
      <c r="P24" s="60">
        <v>-4.6299E-2</v>
      </c>
      <c r="Q24" s="63">
        <v>2.11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AFF115</cp:lastModifiedBy>
  <dcterms:created xsi:type="dcterms:W3CDTF">2026-07-29T09:32:29Z</dcterms:created>
  <dcterms:modified xsi:type="dcterms:W3CDTF">2026-07-29T10:19:45Z</dcterms:modified>
</cp:coreProperties>
</file>