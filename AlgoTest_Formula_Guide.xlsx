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de Data" sheetId="2" state="visible" r:id="rId2"/>
    <sheet xmlns:r="http://schemas.openxmlformats.org/officeDocument/2006/relationships" name="Summary Dashboard" sheetId="3" state="visible" r:id="rId3"/>
    <sheet xmlns:r="http://schemas.openxmlformats.org/officeDocument/2006/relationships" name="MAE Logic" sheetId="4" state="visible" r:id="rId4"/>
    <sheet xmlns:r="http://schemas.openxmlformats.org/officeDocument/2006/relationships" name="Equity Curve" sheetId="5" state="visible" r:id="rId5"/>
    <sheet xmlns:r="http://schemas.openxmlformats.org/officeDocument/2006/relationships" name="Quick 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000"/>
  </numFmts>
  <fonts count="3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2C3E50"/>
      <sz val="9"/>
    </font>
    <font>
      <name val="Calibri"/>
      <b val="1"/>
      <color rgb="00FFFFFF"/>
      <sz val="7"/>
    </font>
    <font>
      <name val="Calibri"/>
      <b val="1"/>
      <color rgb="00FFFFFF"/>
      <sz val="9"/>
    </font>
    <font>
      <name val="Calibri"/>
      <color rgb="000000FF"/>
      <sz val="10"/>
    </font>
    <font>
      <name val="Calibri"/>
      <color rgb="00000000"/>
      <sz val="10"/>
    </font>
    <font>
      <name val="Calibri"/>
      <b val="1"/>
      <color rgb="001E7E34"/>
      <sz val="10"/>
    </font>
    <font>
      <name val="Calibri"/>
      <b val="1"/>
      <color rgb="00C0392B"/>
      <sz val="10"/>
    </font>
    <font>
      <name val="Calibri"/>
      <b val="1"/>
      <color rgb="00FFFFFF"/>
      <sz val="10"/>
    </font>
    <font>
      <name val="Calibri"/>
      <color rgb="00444444"/>
      <sz val="8"/>
    </font>
    <font>
      <name val="Calibri"/>
      <b val="1"/>
      <color rgb="002C3E50"/>
      <sz val="10"/>
    </font>
    <font>
      <name val="Calibri"/>
      <color rgb="001E7E34"/>
      <sz val="9"/>
    </font>
    <font>
      <name val="Calibri"/>
      <b val="1"/>
      <color rgb="00000000"/>
      <sz val="10"/>
    </font>
    <font>
      <name val="Calibri"/>
      <color rgb="00444444"/>
      <sz val="9"/>
    </font>
    <font>
      <name val="Calibri"/>
      <b val="1"/>
      <color rgb="001F3864"/>
      <sz val="10"/>
    </font>
    <font>
      <name val="Calibri"/>
      <color rgb="001E7E34"/>
      <sz val="10"/>
    </font>
    <font>
      <name val="Calibri"/>
      <color rgb="00333333"/>
      <sz val="9"/>
    </font>
    <font>
      <name val="Calibri"/>
      <b val="1"/>
      <color rgb="00FFFFFF"/>
      <sz val="14"/>
    </font>
    <font>
      <name val="Calibri"/>
      <b val="1"/>
      <color rgb="001A5276"/>
      <sz val="10"/>
    </font>
    <font>
      <name val="Calibri"/>
      <b val="1"/>
      <color rgb="004A235A"/>
      <sz val="10"/>
    </font>
    <font>
      <name val="Calibri"/>
      <b val="1"/>
      <color rgb="00145A32"/>
      <sz val="10"/>
    </font>
    <font>
      <name val="Calibri"/>
      <b val="1"/>
      <color rgb="007B241C"/>
      <sz val="10"/>
    </font>
    <font>
      <name val="Calibri"/>
      <b val="1"/>
      <color rgb="001F618D"/>
      <sz val="10"/>
    </font>
    <font>
      <name val="Calibri"/>
      <b val="1"/>
      <color rgb="005D4037"/>
      <sz val="10"/>
    </font>
    <font>
      <name val="Calibri"/>
      <b val="1"/>
      <color rgb="00117A65"/>
      <sz val="10"/>
    </font>
    <font>
      <name val="Calibri"/>
      <b val="1"/>
      <color rgb="00FFFFFF"/>
      <sz val="16"/>
    </font>
    <font>
      <name val="Calibri"/>
      <color rgb="002C3E50"/>
      <sz val="11"/>
    </font>
    <font>
      <name val="Calibri"/>
      <b val="1"/>
      <color rgb="000000FF"/>
      <sz val="10"/>
    </font>
    <font>
      <name val="Calibri"/>
      <color rgb="002C3E50"/>
      <sz val="10"/>
    </font>
    <font>
      <name val="Calibri"/>
      <color rgb="00444444"/>
      <sz val="10"/>
    </font>
    <font>
      <name val="Calibri"/>
      <b val="1"/>
      <color rgb="00856404"/>
      <sz val="10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0000BB"/>
      </patternFill>
    </fill>
    <fill>
      <patternFill patternType="solid">
        <fgColor rgb="00006600"/>
      </patternFill>
    </fill>
    <fill>
      <patternFill patternType="solid">
        <fgColor rgb="008B4513"/>
      </patternFill>
    </fill>
    <fill>
      <patternFill patternType="solid">
        <fgColor rgb="0034495E"/>
      </patternFill>
    </fill>
    <fill>
      <patternFill patternType="solid">
        <fgColor rgb="001D6A4A"/>
      </patternFill>
    </fill>
    <fill>
      <patternFill patternType="solid">
        <fgColor rgb="006E2F0A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FFFBF0"/>
      </patternFill>
    </fill>
    <fill>
      <patternFill patternType="solid">
        <fgColor rgb="00D4EFDF"/>
      </patternFill>
    </fill>
    <fill>
      <patternFill patternType="solid">
        <fgColor rgb="00FDE8E8"/>
      </patternFill>
    </fill>
    <fill>
      <patternFill patternType="solid">
        <fgColor rgb="002C5F8A"/>
      </patternFill>
    </fill>
    <fill>
      <patternFill patternType="solid">
        <fgColor rgb="00F2F6FA"/>
      </patternFill>
    </fill>
    <fill>
      <patternFill patternType="solid">
        <fgColor rgb="00F9FBFD"/>
      </patternFill>
    </fill>
    <fill>
      <patternFill patternType="solid">
        <fgColor rgb="00E8F4FD"/>
      </patternFill>
    </fill>
    <fill>
      <patternFill patternType="solid">
        <fgColor rgb="00FFFF99"/>
      </patternFill>
    </fill>
  </fills>
  <borders count="6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  <border>
      <left/>
      <right/>
      <top style="thin">
        <color rgb="00B0C4D8"/>
      </top>
      <bottom/>
      <diagonal/>
    </border>
    <border>
      <left/>
      <right style="thin">
        <color rgb="00B0C4D8"/>
      </right>
      <top style="thin">
        <color rgb="00B0C4D8"/>
      </top>
      <bottom/>
      <diagonal/>
    </border>
    <border>
      <left/>
      <right/>
      <top style="thin">
        <color rgb="00B0C4D8"/>
      </top>
      <bottom style="thin">
        <color rgb="00B0C4D8"/>
      </bottom>
      <diagonal/>
    </border>
    <border>
      <left/>
      <right style="thin">
        <color rgb="00B0C4D8"/>
      </right>
      <top style="thin">
        <color rgb="00B0C4D8"/>
      </top>
      <bottom style="thin">
        <color rgb="00B0C4D8"/>
      </bottom>
      <diagonal/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26" fillId="2" borderId="0" applyAlignment="1" pivotButton="0" quotePrefix="0" xfId="0">
      <alignment horizontal="center" vertical="center" wrapText="1"/>
    </xf>
    <xf numFmtId="0" fontId="27" fillId="3" borderId="0" applyAlignment="1" pivotButton="0" quotePrefix="0" xfId="0">
      <alignment horizontal="center" vertical="center" wrapText="1"/>
    </xf>
    <xf numFmtId="0" fontId="9" fillId="15" borderId="0" applyAlignment="1" pivotButton="0" quotePrefix="0" xfId="0">
      <alignment horizontal="left" vertical="center" wrapText="1"/>
    </xf>
    <xf numFmtId="0" fontId="0" fillId="11" borderId="1" pivotButton="0" quotePrefix="0" xfId="0"/>
    <xf numFmtId="0" fontId="28" fillId="16" borderId="1" applyAlignment="1" pivotButton="0" quotePrefix="0" xfId="0">
      <alignment horizontal="left" vertical="center" wrapText="1"/>
    </xf>
    <xf numFmtId="0" fontId="29" fillId="17" borderId="1" applyAlignment="1" pivotButton="0" quotePrefix="0" xfId="0">
      <alignment horizontal="left" vertical="center" wrapText="1"/>
    </xf>
    <xf numFmtId="0" fontId="30" fillId="17" borderId="1" applyAlignment="1" pivotButton="0" quotePrefix="0" xfId="0">
      <alignment horizontal="left" vertical="center" wrapText="1"/>
    </xf>
    <xf numFmtId="0" fontId="13" fillId="16" borderId="1" applyAlignment="1" pivotButton="0" quotePrefix="0" xfId="0">
      <alignment horizontal="left" vertical="center" wrapText="1"/>
    </xf>
    <xf numFmtId="0" fontId="29" fillId="11" borderId="1" applyAlignment="1" pivotButton="0" quotePrefix="0" xfId="0">
      <alignment horizontal="left" vertical="center" wrapText="1"/>
    </xf>
    <xf numFmtId="0" fontId="30" fillId="11" borderId="1" applyAlignment="1" pivotButton="0" quotePrefix="0" xfId="0">
      <alignment horizontal="left" vertical="center" wrapText="1"/>
    </xf>
    <xf numFmtId="0" fontId="7" fillId="16" borderId="1" applyAlignment="1" pivotButton="0" quotePrefix="0" xfId="0">
      <alignment horizontal="left" vertical="center" wrapText="1"/>
    </xf>
    <xf numFmtId="0" fontId="31" fillId="16" borderId="1" applyAlignment="1" pivotButton="0" quotePrefix="0" xfId="0">
      <alignment horizontal="left" vertical="center" wrapText="1"/>
    </xf>
    <xf numFmtId="0" fontId="0" fillId="19" borderId="1" pivotButton="0" quotePrefix="0" xfId="0"/>
    <xf numFmtId="0" fontId="11" fillId="16" borderId="1" applyAlignment="1" pivotButton="0" quotePrefix="0" xfId="0">
      <alignment horizontal="left" vertical="center" wrapText="1"/>
    </xf>
    <xf numFmtId="0" fontId="0" fillId="10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8" fillId="16" borderId="1" applyAlignment="1" pivotButton="0" quotePrefix="0" xfId="0">
      <alignment horizontal="left" vertical="center" wrapText="1"/>
    </xf>
    <xf numFmtId="0" fontId="15" fillId="16" borderId="1" applyAlignment="1" pivotButton="0" quotePrefix="0" xfId="0">
      <alignment horizontal="left" vertical="center" wrapText="1"/>
    </xf>
    <xf numFmtId="0" fontId="5" fillId="19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1" fontId="5" fillId="10" borderId="1" applyAlignment="1" pivotButton="0" quotePrefix="0" xfId="0">
      <alignment horizontal="center" vertical="center" wrapText="1"/>
    </xf>
    <xf numFmtId="165" fontId="5" fillId="10" borderId="1" applyAlignment="1" pivotButton="0" quotePrefix="0" xfId="0">
      <alignment horizontal="right" vertical="center"/>
    </xf>
    <xf numFmtId="3" fontId="5" fillId="10" borderId="1" applyAlignment="1" pivotButton="0" quotePrefix="0" xfId="0">
      <alignment horizontal="right" vertical="center"/>
    </xf>
    <xf numFmtId="3" fontId="7" fillId="13" borderId="1" applyAlignment="1" pivotButton="0" quotePrefix="0" xfId="0">
      <alignment horizontal="right" vertical="center"/>
    </xf>
    <xf numFmtId="3" fontId="6" fillId="11" borderId="1" applyAlignment="1" pivotButton="0" quotePrefix="0" xfId="0">
      <alignment horizontal="right" vertical="center"/>
    </xf>
    <xf numFmtId="166" fontId="7" fillId="13" borderId="1" applyAlignment="1" pivotButton="0" quotePrefix="0" xfId="0">
      <alignment horizontal="right" vertical="center"/>
    </xf>
    <xf numFmtId="166" fontId="6" fillId="11" borderId="1" applyAlignment="1" pivotButton="0" quotePrefix="0" xfId="0">
      <alignment horizontal="right" vertical="center"/>
    </xf>
    <xf numFmtId="166" fontId="5" fillId="10" borderId="1" applyAlignment="1" pivotButton="0" quotePrefix="0" xfId="0">
      <alignment horizontal="right" vertical="center"/>
    </xf>
    <xf numFmtId="4" fontId="6" fillId="12" borderId="1" applyAlignment="1" pivotButton="0" quotePrefix="0" xfId="0">
      <alignment horizontal="right" vertical="center"/>
    </xf>
    <xf numFmtId="10" fontId="6" fillId="12" borderId="1" applyAlignment="1" pivotButton="0" quotePrefix="0" xfId="0">
      <alignment horizontal="right" vertical="center"/>
    </xf>
    <xf numFmtId="2" fontId="6" fillId="12" borderId="1" applyAlignment="1" pivotButton="0" quotePrefix="0" xfId="0">
      <alignment horizontal="right" vertical="center"/>
    </xf>
    <xf numFmtId="3" fontId="8" fillId="14" borderId="1" applyAlignment="1" pivotButton="0" quotePrefix="0" xfId="0">
      <alignment horizontal="right" vertical="center"/>
    </xf>
    <xf numFmtId="166" fontId="8" fillId="14" borderId="1" applyAlignment="1" pivotButton="0" quotePrefix="0" xfId="0">
      <alignment horizontal="right" vertical="center"/>
    </xf>
    <xf numFmtId="0" fontId="10" fillId="16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left" vertical="top" wrapText="1"/>
    </xf>
    <xf numFmtId="0" fontId="13" fillId="11" borderId="1" applyAlignment="1" pivotButton="0" quotePrefix="0" xfId="0">
      <alignment horizontal="right" vertical="center"/>
    </xf>
    <xf numFmtId="0" fontId="14" fillId="11" borderId="1" applyAlignment="1" pivotButton="0" quotePrefix="0" xfId="0">
      <alignment horizontal="left" vertical="top" wrapText="1"/>
    </xf>
    <xf numFmtId="0" fontId="11" fillId="17" borderId="1" applyAlignment="1" pivotButton="0" quotePrefix="0" xfId="0">
      <alignment horizontal="left" vertical="center" wrapText="1"/>
    </xf>
    <xf numFmtId="0" fontId="12" fillId="18" borderId="1" applyAlignment="1" pivotButton="0" quotePrefix="0" xfId="0">
      <alignment horizontal="left" vertical="top" wrapText="1"/>
    </xf>
    <xf numFmtId="0" fontId="13" fillId="17" borderId="1" applyAlignment="1" pivotButton="0" quotePrefix="0" xfId="0">
      <alignment horizontal="right" vertical="center"/>
    </xf>
    <xf numFmtId="0" fontId="14" fillId="17" borderId="1" applyAlignment="1" pivotButton="0" quotePrefix="0" xfId="0">
      <alignment horizontal="left" vertical="top" wrapText="1"/>
    </xf>
    <xf numFmtId="2" fontId="13" fillId="17" borderId="1" applyAlignment="1" pivotButton="0" quotePrefix="0" xfId="0">
      <alignment horizontal="right" vertical="center"/>
    </xf>
    <xf numFmtId="2" fontId="13" fillId="11" borderId="1" applyAlignment="1" pivotButton="0" quotePrefix="0" xfId="0">
      <alignment horizontal="right" vertical="center"/>
    </xf>
    <xf numFmtId="166" fontId="13" fillId="11" borderId="1" applyAlignment="1" pivotButton="0" quotePrefix="0" xfId="0">
      <alignment horizontal="right" vertical="center"/>
    </xf>
    <xf numFmtId="166" fontId="13" fillId="17" borderId="1" applyAlignment="1" pivotButton="0" quotePrefix="0" xfId="0">
      <alignment horizontal="right" vertical="center"/>
    </xf>
    <xf numFmtId="4" fontId="13" fillId="11" borderId="1" applyAlignment="1" pivotButton="0" quotePrefix="0" xfId="0">
      <alignment horizontal="right" vertical="center"/>
    </xf>
    <xf numFmtId="3" fontId="13" fillId="11" borderId="1" applyAlignment="1" pivotButton="0" quotePrefix="0" xfId="0">
      <alignment horizontal="right" vertical="center"/>
    </xf>
    <xf numFmtId="3" fontId="13" fillId="17" borderId="1" applyAlignment="1" pivotButton="0" quotePrefix="0" xfId="0">
      <alignment horizontal="right" vertical="center"/>
    </xf>
    <xf numFmtId="165" fontId="0" fillId="0" borderId="0" pivotButton="0" quotePrefix="0" xfId="0"/>
    <xf numFmtId="4" fontId="13" fillId="17" borderId="1" applyAlignment="1" pivotButton="0" quotePrefix="0" xfId="0">
      <alignment horizontal="right" vertical="center"/>
    </xf>
    <xf numFmtId="10" fontId="13" fillId="11" borderId="1" applyAlignment="1" pivotButton="0" quotePrefix="0" xfId="0">
      <alignment horizontal="right" vertical="center"/>
    </xf>
    <xf numFmtId="10" fontId="13" fillId="17" borderId="1" applyAlignment="1" pivotButton="0" quotePrefix="0" xfId="0">
      <alignment horizontal="right" vertical="center"/>
    </xf>
    <xf numFmtId="0" fontId="15" fillId="17" borderId="1" applyAlignment="1" pivotButton="0" quotePrefix="0" xfId="0">
      <alignment horizontal="left" vertical="top" wrapText="1"/>
    </xf>
    <xf numFmtId="166" fontId="13" fillId="10" borderId="1" applyAlignment="1" pivotButton="0" quotePrefix="0" xfId="0">
      <alignment horizontal="left" vertical="top" wrapText="1"/>
    </xf>
    <xf numFmtId="0" fontId="12" fillId="17" borderId="1" applyAlignment="1" pivotButton="0" quotePrefix="0" xfId="0">
      <alignment horizontal="left" vertical="top" wrapText="1"/>
    </xf>
    <xf numFmtId="0" fontId="15" fillId="11" borderId="1" applyAlignment="1" pivotButton="0" quotePrefix="0" xfId="0">
      <alignment horizontal="left" vertical="top" wrapText="1"/>
    </xf>
    <xf numFmtId="0" fontId="12" fillId="11" borderId="1" applyAlignment="1" pivotButton="0" quotePrefix="0" xfId="0">
      <alignment horizontal="left" vertical="top" wrapText="1"/>
    </xf>
    <xf numFmtId="0" fontId="11" fillId="16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4" fontId="13" fillId="17" borderId="1" applyAlignment="1" pivotButton="0" quotePrefix="0" xfId="0">
      <alignment horizontal="left" vertical="top" wrapText="1"/>
    </xf>
    <xf numFmtId="10" fontId="13" fillId="17" borderId="1" applyAlignment="1" pivotButton="0" quotePrefix="0" xfId="0">
      <alignment horizontal="left" vertical="top" wrapText="1"/>
    </xf>
    <xf numFmtId="166" fontId="5" fillId="10" borderId="1" applyAlignment="1" pivotButton="0" quotePrefix="0" xfId="0">
      <alignment horizontal="left" vertical="top" wrapText="1"/>
    </xf>
    <xf numFmtId="2" fontId="13" fillId="17" borderId="1" applyAlignment="1" pivotButton="0" quotePrefix="0" xfId="0">
      <alignment horizontal="left" vertical="top" wrapText="1"/>
    </xf>
    <xf numFmtId="4" fontId="13" fillId="11" borderId="1" applyAlignment="1" pivotButton="0" quotePrefix="0" xfId="0">
      <alignment horizontal="left" vertical="top" wrapText="1"/>
    </xf>
    <xf numFmtId="10" fontId="13" fillId="11" borderId="1" applyAlignment="1" pivotButton="0" quotePrefix="0" xfId="0">
      <alignment horizontal="left" vertical="top" wrapText="1"/>
    </xf>
    <xf numFmtId="2" fontId="13" fillId="11" borderId="1" applyAlignment="1" pivotButton="0" quotePrefix="0" xfId="0">
      <alignment horizontal="left" vertical="top" wrapText="1"/>
    </xf>
    <xf numFmtId="0" fontId="15" fillId="16" borderId="1" applyAlignment="1" pivotButton="0" quotePrefix="0" xfId="0">
      <alignment horizontal="left" vertical="top" wrapText="1"/>
    </xf>
    <xf numFmtId="0" fontId="16" fillId="11" borderId="1" applyAlignment="1" pivotButton="0" quotePrefix="0" xfId="0">
      <alignment horizontal="left" vertical="top" wrapText="1"/>
    </xf>
    <xf numFmtId="0" fontId="17" fillId="11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16" fillId="17" borderId="1" applyAlignment="1" pivotButton="0" quotePrefix="0" xfId="0">
      <alignment horizontal="left" vertical="top" wrapText="1"/>
    </xf>
    <xf numFmtId="0" fontId="17" fillId="17" borderId="1" applyAlignment="1" pivotButton="0" quotePrefix="0" xfId="0">
      <alignment horizontal="left" vertical="top" wrapText="1"/>
    </xf>
    <xf numFmtId="0" fontId="18" fillId="2" borderId="0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right" vertical="center"/>
    </xf>
    <xf numFmtId="0" fontId="19" fillId="16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right" vertical="center"/>
    </xf>
    <xf numFmtId="0" fontId="7" fillId="17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right" vertical="center"/>
    </xf>
    <xf numFmtId="0" fontId="20" fillId="16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right" vertical="center"/>
    </xf>
    <xf numFmtId="0" fontId="21" fillId="16" borderId="1" applyAlignment="1" pivotButton="0" quotePrefix="0" xfId="0">
      <alignment horizontal="center" vertical="center" wrapText="1"/>
    </xf>
    <xf numFmtId="0" fontId="22" fillId="16" borderId="1" applyAlignment="1" pivotButton="0" quotePrefix="0" xfId="0">
      <alignment horizontal="center" vertical="center" wrapText="1"/>
    </xf>
    <xf numFmtId="0" fontId="15" fillId="16" borderId="1" applyAlignment="1" pivotButton="0" quotePrefix="0" xfId="0">
      <alignment horizontal="center" vertical="center" wrapText="1"/>
    </xf>
    <xf numFmtId="0" fontId="23" fillId="16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 wrapText="1"/>
    </xf>
    <xf numFmtId="0" fontId="24" fillId="16" borderId="1" applyAlignment="1" pivotButton="0" quotePrefix="0" xfId="0">
      <alignment horizontal="center" vertical="center" wrapText="1"/>
    </xf>
    <xf numFmtId="0" fontId="25" fillId="1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44" customWidth="1" min="3" max="3"/>
    <col width="20" customWidth="1" min="4" max="4"/>
  </cols>
  <sheetData>
    <row r="1" ht="40" customHeight="1">
      <c r="A1" s="1" t="inlineStr">
        <is>
          <t>AlgoTest  ·  Tradesheet Formula Reference Guide  ·  Research Analyst Edition</t>
        </is>
      </c>
    </row>
    <row r="2" ht="20" customHeight="1">
      <c r="A2" s="2" t="inlineStr">
        <is>
          <t>Working Excel financial model — change sample data in Trade Data sheet and all metrics auto-recalculate</t>
        </is>
      </c>
    </row>
    <row r="4" ht="18" customHeight="1">
      <c r="A4" s="3" t="inlineStr">
        <is>
          <t xml:space="preserve">  COLOR CODING CONVENTION  (financial modeling standard)</t>
        </is>
      </c>
    </row>
    <row r="5" ht="20" customHeight="1">
      <c r="A5" s="4" t="inlineStr">
        <is>
          <t xml:space="preserve">  </t>
        </is>
      </c>
      <c r="B5" s="5" t="inlineStr">
        <is>
          <t>BLUE TEXT</t>
        </is>
      </c>
      <c r="C5" s="6" t="inlineStr">
        <is>
          <t>Hardcoded input</t>
        </is>
      </c>
      <c r="D5" s="7" t="inlineStr">
        <is>
          <t>Values you enter manually. Safe to change — updates all dependent formulas.</t>
        </is>
      </c>
    </row>
    <row r="6" ht="20" customHeight="1">
      <c r="A6" s="4" t="inlineStr">
        <is>
          <t xml:space="preserve">  </t>
        </is>
      </c>
      <c r="B6" s="8" t="inlineStr">
        <is>
          <t>BLACK TEXT</t>
        </is>
      </c>
      <c r="C6" s="9" t="inlineStr">
        <is>
          <t>Excel formula</t>
        </is>
      </c>
      <c r="D6" s="10" t="inlineStr">
        <is>
          <t>Calculated cell. Do NOT type a value here — it will overwrite the formula.</t>
        </is>
      </c>
    </row>
    <row r="7" ht="20" customHeight="1">
      <c r="A7" s="4" t="inlineStr">
        <is>
          <t xml:space="preserve">  </t>
        </is>
      </c>
      <c r="B7" s="11" t="inlineStr">
        <is>
          <t>GREEN TEXT</t>
        </is>
      </c>
      <c r="C7" s="6" t="inlineStr">
        <is>
          <t>Cross-sheet formula</t>
        </is>
      </c>
      <c r="D7" s="7" t="inlineStr">
        <is>
          <t>Formula references another sheet (e.g. 'Trade Data'!J5). Click to navigate.</t>
        </is>
      </c>
    </row>
    <row r="8" ht="20" customHeight="1">
      <c r="A8" s="4" t="inlineStr">
        <is>
          <t xml:space="preserve">  </t>
        </is>
      </c>
      <c r="B8" s="12" t="inlineStr">
        <is>
          <t>ORANGE TEXT</t>
        </is>
      </c>
      <c r="C8" s="9" t="inlineStr">
        <is>
          <t>Key assumption</t>
        </is>
      </c>
      <c r="D8" s="10" t="inlineStr">
        <is>
          <t>Parameter that drives multiple metrics. Change carefully.</t>
        </is>
      </c>
    </row>
    <row r="9" ht="20" customHeight="1">
      <c r="A9" s="13" t="inlineStr">
        <is>
          <t xml:space="preserve">  </t>
        </is>
      </c>
      <c r="B9" s="14" t="inlineStr">
        <is>
          <t>YELLOW BG</t>
        </is>
      </c>
      <c r="C9" s="6" t="inlineStr">
        <is>
          <t>Editable assumption</t>
        </is>
      </c>
      <c r="D9" s="7" t="inlineStr">
        <is>
          <t>Cell is meant to be changed by the analyst for scenario analysis.</t>
        </is>
      </c>
    </row>
    <row r="10" ht="20" customHeight="1">
      <c r="A10" s="15" t="inlineStr">
        <is>
          <t xml:space="preserve">  </t>
        </is>
      </c>
      <c r="B10" s="14" t="inlineStr">
        <is>
          <t>LIGHT BLUE BG</t>
        </is>
      </c>
      <c r="C10" s="9" t="inlineStr">
        <is>
          <t>Input column</t>
        </is>
      </c>
      <c r="D10" s="10" t="inlineStr">
        <is>
          <t>Entire column contains hardcoded inputs (editable).</t>
        </is>
      </c>
    </row>
    <row r="11" ht="20" customHeight="1">
      <c r="A11" s="16" t="inlineStr">
        <is>
          <t xml:space="preserve">  </t>
        </is>
      </c>
      <c r="B11" s="11" t="inlineStr">
        <is>
          <t>GREEN BG</t>
        </is>
      </c>
      <c r="C11" s="6" t="inlineStr">
        <is>
          <t>Positive value</t>
        </is>
      </c>
      <c r="D11" s="7" t="inlineStr">
        <is>
          <t>Profit / favorable metric.</t>
        </is>
      </c>
    </row>
    <row r="12" ht="20" customHeight="1">
      <c r="A12" s="17" t="inlineStr">
        <is>
          <t xml:space="preserve">  </t>
        </is>
      </c>
      <c r="B12" s="18" t="inlineStr">
        <is>
          <t>RED BG</t>
        </is>
      </c>
      <c r="C12" s="9" t="inlineStr">
        <is>
          <t>Negative value</t>
        </is>
      </c>
      <c r="D12" s="10" t="inlineStr">
        <is>
          <t>Loss / unfavorable metric.</t>
        </is>
      </c>
    </row>
    <row r="14" ht="8" customHeight="1"/>
    <row r="15" ht="18" customHeight="1">
      <c r="A15" s="3" t="inlineStr">
        <is>
          <t xml:space="preserve">  SHEET GUIDE</t>
        </is>
      </c>
    </row>
    <row r="16" ht="22" customHeight="1">
      <c r="B16" s="19" t="inlineStr">
        <is>
          <t>Trade Data</t>
        </is>
      </c>
      <c r="C16" s="9" t="inlineStr">
        <is>
          <t>Core data + all 26 formula columns</t>
        </is>
      </c>
      <c r="D16" s="10" t="inlineStr">
        <is>
          <t>Edit blue cells to update the entire model. All A–AA columns.</t>
        </is>
      </c>
    </row>
    <row r="17" ht="22" customHeight="1">
      <c r="B17" s="19" t="inlineStr">
        <is>
          <t>Summary Dashboard</t>
        </is>
      </c>
      <c r="C17" s="6" t="inlineStr">
        <is>
          <t>Live summary metrics with formula text</t>
        </is>
      </c>
      <c r="D17" s="7" t="inlineStr">
        <is>
          <t>Column B shows the exact Excel formula; Column C calculates it live.</t>
        </is>
      </c>
    </row>
    <row r="18" ht="22" customHeight="1">
      <c r="B18" s="19" t="inlineStr">
        <is>
          <t>MAE Logic</t>
        </is>
      </c>
      <c r="C18" s="9" t="inlineStr">
        <is>
          <t>Net MAE 1/2, Final MAE, Lowest NAV</t>
        </is>
      </c>
      <c r="D18" s="10" t="inlineStr">
        <is>
          <t>Worked example for all 4 MAE/MFE-derived columns across sample trades.</t>
        </is>
      </c>
    </row>
    <row r="19" ht="22" customHeight="1">
      <c r="B19" s="19" t="inlineStr">
        <is>
          <t>Equity Curve</t>
        </is>
      </c>
      <c r="C19" s="6" t="inlineStr">
        <is>
          <t>Cumulative · Peak · DD · %DD steps</t>
        </is>
      </c>
      <c r="D19" s="7" t="inlineStr">
        <is>
          <t>Step-by-step walk through the first 4 trades with full formula tracing.</t>
        </is>
      </c>
    </row>
    <row r="20" ht="22" customHeight="1">
      <c r="B20" s="19" t="inlineStr">
        <is>
          <t>Quick Reference</t>
        </is>
      </c>
      <c r="C20" s="9" t="inlineStr">
        <is>
          <t>One-page formula cheat sheet</t>
        </is>
      </c>
      <c r="D20" s="10" t="inlineStr">
        <is>
          <t>All 40+ formulas in a single printable view with examples.</t>
        </is>
      </c>
    </row>
    <row r="22" ht="8" customHeight="1"/>
    <row r="23" ht="18" customHeight="1">
      <c r="A23" s="3" t="inlineStr">
        <is>
          <t xml:space="preserve">  KEY FORMULA CONSTANTS  (fixed across all sheets)</t>
        </is>
      </c>
    </row>
    <row r="24" ht="20" customHeight="1">
      <c r="B24" s="19" t="inlineStr">
        <is>
          <t>Starting NAV</t>
        </is>
      </c>
      <c r="C24" s="20" t="inlineStr">
        <is>
          <t>100</t>
        </is>
      </c>
      <c r="D24" s="10" t="inlineStr">
        <is>
          <t>Equity curve baseline. All trades compound from this value.</t>
        </is>
      </c>
    </row>
    <row r="25" ht="20" customHeight="1">
      <c r="B25" s="19" t="inlineStr">
        <is>
          <t>Data Range (Trade Data)</t>
        </is>
      </c>
      <c r="C25" s="20" t="inlineStr">
        <is>
          <t>Rows 5–14</t>
        </is>
      </c>
      <c r="D25" s="7" t="inlineStr">
        <is>
          <t>10 sample trades. Formulas use row 5 = Trade 1, row 14 = Trade 10.</t>
        </is>
      </c>
    </row>
    <row r="26" ht="20" customHeight="1">
      <c r="B26" s="19" t="inlineStr">
        <is>
          <t>Days per Year</t>
        </is>
      </c>
      <c r="C26" s="20" t="inlineStr">
        <is>
          <t>365.25</t>
        </is>
      </c>
      <c r="D26" s="10" t="inlineStr">
        <is>
          <t>Used in CAGR and Years calculations to account for leap years.</t>
        </is>
      </c>
    </row>
    <row r="27" ht="20" customHeight="1">
      <c r="B27" s="19" t="inlineStr">
        <is>
          <t>MAE/MFE Unit</t>
        </is>
      </c>
      <c r="C27" s="20" t="inlineStr">
        <is>
          <t>% of Spot</t>
        </is>
      </c>
      <c r="D27" s="7" t="inlineStr">
        <is>
          <t>All MAE and MFE values are stored as % of Entry Spot (e.g. −8.26 = −8.26%).</t>
        </is>
      </c>
    </row>
    <row r="28" ht="20" customHeight="1">
      <c r="B28" s="19" t="inlineStr">
        <is>
          <t>Cumulative format</t>
        </is>
      </c>
      <c r="C28" s="20" t="inlineStr">
        <is>
          <t>#,##0.00</t>
        </is>
      </c>
      <c r="D28" s="10" t="inlineStr">
        <is>
          <t>Two decimal places on all NAV / equity curve values.</t>
        </is>
      </c>
    </row>
    <row r="29" ht="20" customHeight="1">
      <c r="B29" s="19" t="inlineStr">
        <is>
          <t>%DD format</t>
        </is>
      </c>
      <c r="C29" s="20" t="inlineStr">
        <is>
          <t>0.00%</t>
        </is>
      </c>
      <c r="D29" s="7" t="inlineStr">
        <is>
          <t>Stored as decimal (e.g. −0.0959), displayed as −9.59% by Excel.</t>
        </is>
      </c>
    </row>
    <row r="30" ht="20" customHeight="1">
      <c r="B30" s="19" t="inlineStr">
        <is>
          <t>Actual Live DD format</t>
        </is>
      </c>
      <c r="C30" s="20" t="inlineStr">
        <is>
          <t>0.00</t>
        </is>
      </c>
      <c r="D30" s="10" t="inlineStr">
        <is>
          <t>Stored as percentage number (e.g. −7.62), NOT a decimal fraction.</t>
        </is>
      </c>
    </row>
  </sheetData>
  <mergeCells count="5">
    <mergeCell ref="A1:D1"/>
    <mergeCell ref="A23:D23"/>
    <mergeCell ref="A4:D4"/>
    <mergeCell ref="A15:D15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1" customWidth="1" min="18" max="18"/>
    <col width="11" customWidth="1" min="19" max="19"/>
    <col width="11" customWidth="1" min="20" max="20"/>
    <col width="12" customWidth="1" min="21" max="21"/>
    <col width="12" customWidth="1" min="22" max="22"/>
    <col width="11" customWidth="1" min="23" max="23"/>
    <col width="9" customWidth="1" min="24" max="24"/>
    <col width="12" customWidth="1" min="25" max="25"/>
    <col width="14" customWidth="1" min="26" max="26"/>
    <col width="12" customWidth="1" min="27" max="27"/>
  </cols>
  <sheetData>
    <row r="1" ht="28" customHeight="1">
      <c r="A1" s="21" t="inlineStr">
        <is>
          <t>AlgoTest  ·  Sample Trade Data  —  NIFTY Short Straddle  ·  Jan–May 2024  (10 Weekly Trades)</t>
        </is>
      </c>
    </row>
    <row r="2" ht="16" customHeight="1">
      <c r="A2" s="22" t="inlineStr">
        <is>
          <t>🔵  BLUE TEXT = Hardcoded input  |  ⚫  BLACK TEXT = Excel formula  |  ✅  GREEN TEXT = Cross-sheet link</t>
        </is>
      </c>
    </row>
    <row r="3" ht="14" customHeight="1">
      <c r="A3" s="23" t="inlineStr">
        <is>
          <t>INPUT</t>
        </is>
      </c>
      <c r="B3" s="23" t="inlineStr">
        <is>
          <t>INPUT</t>
        </is>
      </c>
      <c r="C3" s="23" t="inlineStr">
        <is>
          <t>INPUT</t>
        </is>
      </c>
      <c r="D3" s="23" t="inlineStr">
        <is>
          <t>INPUT</t>
        </is>
      </c>
      <c r="E3" s="23" t="inlineStr">
        <is>
          <t>INPUT</t>
        </is>
      </c>
      <c r="F3" s="23" t="inlineStr">
        <is>
          <t>INPUT</t>
        </is>
      </c>
      <c r="G3" s="23" t="inlineStr">
        <is>
          <t>INPUT</t>
        </is>
      </c>
      <c r="H3" s="24" t="inlineStr">
        <is>
          <t>FORMULA</t>
        </is>
      </c>
      <c r="I3" s="24" t="inlineStr">
        <is>
          <t>FORMULA</t>
        </is>
      </c>
      <c r="J3" s="24" t="inlineStr">
        <is>
          <t>FORMULA</t>
        </is>
      </c>
      <c r="K3" s="24" t="inlineStr">
        <is>
          <t>FORMULA</t>
        </is>
      </c>
      <c r="L3" s="24" t="inlineStr">
        <is>
          <t>FORMULA</t>
        </is>
      </c>
      <c r="M3" s="24" t="inlineStr">
        <is>
          <t>FORMULA</t>
        </is>
      </c>
      <c r="N3" s="23" t="inlineStr">
        <is>
          <t>INPUT</t>
        </is>
      </c>
      <c r="O3" s="23" t="inlineStr">
        <is>
          <t>INPUT</t>
        </is>
      </c>
      <c r="P3" s="23" t="inlineStr">
        <is>
          <t>INPUT</t>
        </is>
      </c>
      <c r="Q3" s="23" t="inlineStr">
        <is>
          <t>INPUT</t>
        </is>
      </c>
      <c r="R3" s="24" t="inlineStr">
        <is>
          <t>FORMULA</t>
        </is>
      </c>
      <c r="S3" s="24" t="inlineStr">
        <is>
          <t>FORMULA</t>
        </is>
      </c>
      <c r="T3" s="24" t="inlineStr">
        <is>
          <t>FORMULA</t>
        </is>
      </c>
      <c r="U3" s="25" t="inlineStr">
        <is>
          <t>EQUITY CURVE</t>
        </is>
      </c>
      <c r="V3" s="25" t="inlineStr">
        <is>
          <t>EQUITY CURVE</t>
        </is>
      </c>
      <c r="W3" s="25" t="inlineStr">
        <is>
          <t>EQUITY CURVE</t>
        </is>
      </c>
      <c r="X3" s="25" t="inlineStr">
        <is>
          <t>EQUITY CURVE</t>
        </is>
      </c>
      <c r="Y3" s="25" t="inlineStr">
        <is>
          <t>EQUITY CURVE</t>
        </is>
      </c>
      <c r="Z3" s="25" t="inlineStr">
        <is>
          <t>EQUITY CURVE</t>
        </is>
      </c>
      <c r="AA3" s="25" t="inlineStr">
        <is>
          <t>EQUITY CURVE</t>
        </is>
      </c>
    </row>
    <row r="4" ht="22" customHeight="1">
      <c r="A4" s="26" t="inlineStr">
        <is>
          <t>Trade #</t>
        </is>
      </c>
      <c r="B4" s="26" t="inlineStr">
        <is>
          <t>Entry Date</t>
        </is>
      </c>
      <c r="C4" s="26" t="inlineStr">
        <is>
          <t>Exit Date</t>
        </is>
      </c>
      <c r="D4" s="26" t="inlineStr">
        <is>
          <t>Entry Spot</t>
        </is>
      </c>
      <c r="E4" s="26" t="inlineStr">
        <is>
          <t>Exit Spot</t>
        </is>
      </c>
      <c r="F4" s="26" t="inlineStr">
        <is>
          <t>CE P&amp;L (₹)</t>
        </is>
      </c>
      <c r="G4" s="26" t="inlineStr">
        <is>
          <t>PE P&amp;L (₹)</t>
        </is>
      </c>
      <c r="H4" s="27" t="inlineStr">
        <is>
          <t>Net P&amp;L (₹)</t>
        </is>
      </c>
      <c r="I4" s="27" t="inlineStr">
        <is>
          <t>Spot P&amp;L (₹)</t>
        </is>
      </c>
      <c r="J4" s="27" t="inlineStr">
        <is>
          <t>% P&amp;L</t>
        </is>
      </c>
      <c r="K4" s="27" t="inlineStr">
        <is>
          <t>Spot P&amp;L %</t>
        </is>
      </c>
      <c r="L4" s="27" t="inlineStr">
        <is>
          <t>CE P&amp;L %</t>
        </is>
      </c>
      <c r="M4" s="27" t="inlineStr">
        <is>
          <t>PE P&amp;L %</t>
        </is>
      </c>
      <c r="N4" s="26" t="inlineStr">
        <is>
          <t>MAE CE %</t>
        </is>
      </c>
      <c r="O4" s="26" t="inlineStr">
        <is>
          <t>MFE CE %</t>
        </is>
      </c>
      <c r="P4" s="26" t="inlineStr">
        <is>
          <t>MAE PE %</t>
        </is>
      </c>
      <c r="Q4" s="26" t="inlineStr">
        <is>
          <t>MFE PE %</t>
        </is>
      </c>
      <c r="R4" s="27" t="inlineStr">
        <is>
          <t>Net MAE 1</t>
        </is>
      </c>
      <c r="S4" s="27" t="inlineStr">
        <is>
          <t>Net MAE 2</t>
        </is>
      </c>
      <c r="T4" s="27" t="inlineStr">
        <is>
          <t>Final MAE</t>
        </is>
      </c>
      <c r="U4" s="28" t="inlineStr">
        <is>
          <t>Cumulative</t>
        </is>
      </c>
      <c r="V4" s="28" t="inlineStr">
        <is>
          <t>Peak</t>
        </is>
      </c>
      <c r="W4" s="28" t="inlineStr">
        <is>
          <t>DD (pts)</t>
        </is>
      </c>
      <c r="X4" s="28" t="inlineStr">
        <is>
          <t>%DD</t>
        </is>
      </c>
      <c r="Y4" s="28" t="inlineStr">
        <is>
          <t>Lowest NAV</t>
        </is>
      </c>
      <c r="Z4" s="28" t="inlineStr">
        <is>
          <t>Actual Live DD</t>
        </is>
      </c>
      <c r="AA4" s="28" t="inlineStr">
        <is>
          <t>Spot Cum</t>
        </is>
      </c>
    </row>
    <row r="5" ht="18" customHeight="1">
      <c r="A5" s="29" t="n">
        <v>1</v>
      </c>
      <c r="B5" s="30" t="n">
        <v>45295</v>
      </c>
      <c r="C5" s="30" t="n">
        <v>45302</v>
      </c>
      <c r="D5" s="31" t="n">
        <v>21800</v>
      </c>
      <c r="E5" s="31" t="n">
        <v>22050</v>
      </c>
      <c r="F5" s="31" t="n">
        <v>-1500</v>
      </c>
      <c r="G5" s="31" t="n">
        <v>3200</v>
      </c>
      <c r="H5" s="32">
        <f>F5+G5</f>
        <v/>
      </c>
      <c r="I5" s="33">
        <f>E5-D5</f>
        <v/>
      </c>
      <c r="J5" s="34">
        <f>H5/D5*100</f>
        <v/>
      </c>
      <c r="K5" s="35">
        <f>I5/D5*100</f>
        <v/>
      </c>
      <c r="L5" s="35">
        <f>F5/D5*100</f>
        <v/>
      </c>
      <c r="M5" s="35">
        <f>G5/D5*100</f>
        <v/>
      </c>
      <c r="N5" s="36" t="n">
        <v>-8.26</v>
      </c>
      <c r="O5" s="36" t="n">
        <v>1.5</v>
      </c>
      <c r="P5" s="36" t="n">
        <v>-1.83</v>
      </c>
      <c r="Q5" s="36" t="n">
        <v>4.13</v>
      </c>
      <c r="R5" s="35">
        <f>N5+Q5</f>
        <v/>
      </c>
      <c r="S5" s="35">
        <f>O5+P5</f>
        <v/>
      </c>
      <c r="T5" s="35">
        <f>MIN(R5,S5)</f>
        <v/>
      </c>
      <c r="U5" s="37">
        <f>100*(1+J5/100)</f>
        <v/>
      </c>
      <c r="V5" s="37">
        <f>MAX(100,U5)</f>
        <v/>
      </c>
      <c r="W5" s="37">
        <f>IF(U5&lt;V5,U5-V5,0)</f>
        <v/>
      </c>
      <c r="X5" s="38">
        <f>IF(U5&lt;V5,W5/V5,0)</f>
        <v/>
      </c>
      <c r="Y5" s="37">
        <f>U5</f>
        <v/>
      </c>
      <c r="Z5" s="39">
        <f>(Y5/V5-1)*100</f>
        <v/>
      </c>
      <c r="AA5" s="37">
        <f>100*(E5/D5)</f>
        <v/>
      </c>
    </row>
    <row r="6" ht="18" customHeight="1">
      <c r="A6" s="29" t="n">
        <v>2</v>
      </c>
      <c r="B6" s="30" t="n">
        <v>45309</v>
      </c>
      <c r="C6" s="30" t="n">
        <v>45316</v>
      </c>
      <c r="D6" s="31" t="n">
        <v>22000</v>
      </c>
      <c r="E6" s="31" t="n">
        <v>21800</v>
      </c>
      <c r="F6" s="31" t="n">
        <v>2800</v>
      </c>
      <c r="G6" s="31" t="n">
        <v>-1200</v>
      </c>
      <c r="H6" s="32">
        <f>F6+G6</f>
        <v/>
      </c>
      <c r="I6" s="33">
        <f>E6-D6</f>
        <v/>
      </c>
      <c r="J6" s="34">
        <f>H6/D6*100</f>
        <v/>
      </c>
      <c r="K6" s="35">
        <f>I6/D6*100</f>
        <v/>
      </c>
      <c r="L6" s="35">
        <f>F6/D6*100</f>
        <v/>
      </c>
      <c r="M6" s="35">
        <f>G6/D6*100</f>
        <v/>
      </c>
      <c r="N6" s="36" t="n">
        <v>-1.36</v>
      </c>
      <c r="O6" s="36" t="n">
        <v>5.45</v>
      </c>
      <c r="P6" s="36" t="n">
        <v>-6.36</v>
      </c>
      <c r="Q6" s="36" t="n">
        <v>0.91</v>
      </c>
      <c r="R6" s="35">
        <f>N6+Q6</f>
        <v/>
      </c>
      <c r="S6" s="35">
        <f>O6+P6</f>
        <v/>
      </c>
      <c r="T6" s="35">
        <f>MIN(R6,S6)</f>
        <v/>
      </c>
      <c r="U6" s="37">
        <f>U5*(1+J6/100)</f>
        <v/>
      </c>
      <c r="V6" s="37">
        <f>MAX(V5,U6)</f>
        <v/>
      </c>
      <c r="W6" s="37">
        <f>IF(U6&lt;V6,U6-V6,0)</f>
        <v/>
      </c>
      <c r="X6" s="38">
        <f>IF(U6&lt;V6,W6/V6,0)</f>
        <v/>
      </c>
      <c r="Y6" s="37">
        <f>U5*(1+T6/100)</f>
        <v/>
      </c>
      <c r="Z6" s="39">
        <f>(Y6/V6-1)*100</f>
        <v/>
      </c>
      <c r="AA6" s="37">
        <f>AA5*(E6/D6)</f>
        <v/>
      </c>
    </row>
    <row r="7" ht="18" customHeight="1">
      <c r="A7" s="29" t="n">
        <v>3</v>
      </c>
      <c r="B7" s="30" t="n">
        <v>45323</v>
      </c>
      <c r="C7" s="30" t="n">
        <v>45330</v>
      </c>
      <c r="D7" s="31" t="n">
        <v>21900</v>
      </c>
      <c r="E7" s="31" t="n">
        <v>22300</v>
      </c>
      <c r="F7" s="31" t="n">
        <v>-4200</v>
      </c>
      <c r="G7" s="31" t="n">
        <v>2100</v>
      </c>
      <c r="H7" s="40">
        <f>F7+G7</f>
        <v/>
      </c>
      <c r="I7" s="33">
        <f>E7-D7</f>
        <v/>
      </c>
      <c r="J7" s="41">
        <f>H7/D7*100</f>
        <v/>
      </c>
      <c r="K7" s="35">
        <f>I7/D7*100</f>
        <v/>
      </c>
      <c r="L7" s="35">
        <f>F7/D7*100</f>
        <v/>
      </c>
      <c r="M7" s="35">
        <f>G7/D7*100</f>
        <v/>
      </c>
      <c r="N7" s="36" t="n">
        <v>-12.33</v>
      </c>
      <c r="O7" s="36" t="n">
        <v>0.91</v>
      </c>
      <c r="P7" s="36" t="n">
        <v>-3.65</v>
      </c>
      <c r="Q7" s="36" t="n">
        <v>5.48</v>
      </c>
      <c r="R7" s="35">
        <f>N7+Q7</f>
        <v/>
      </c>
      <c r="S7" s="35">
        <f>O7+P7</f>
        <v/>
      </c>
      <c r="T7" s="35">
        <f>MIN(R7,S7)</f>
        <v/>
      </c>
      <c r="U7" s="37">
        <f>U6*(1+J7/100)</f>
        <v/>
      </c>
      <c r="V7" s="37">
        <f>MAX(V6,U7)</f>
        <v/>
      </c>
      <c r="W7" s="37">
        <f>IF(U7&lt;V7,U7-V7,0)</f>
        <v/>
      </c>
      <c r="X7" s="38">
        <f>IF(U7&lt;V7,W7/V7,0)</f>
        <v/>
      </c>
      <c r="Y7" s="37">
        <f>U6*(1+T7/100)</f>
        <v/>
      </c>
      <c r="Z7" s="39">
        <f>(Y7/V7-1)*100</f>
        <v/>
      </c>
      <c r="AA7" s="37">
        <f>AA6*(E7/D7)</f>
        <v/>
      </c>
    </row>
    <row r="8" ht="18" customHeight="1">
      <c r="A8" s="29" t="n">
        <v>4</v>
      </c>
      <c r="B8" s="30" t="n">
        <v>45337</v>
      </c>
      <c r="C8" s="30" t="n">
        <v>45344</v>
      </c>
      <c r="D8" s="31" t="n">
        <v>22200</v>
      </c>
      <c r="E8" s="31" t="n">
        <v>22100</v>
      </c>
      <c r="F8" s="31" t="n">
        <v>2600</v>
      </c>
      <c r="G8" s="31" t="n">
        <v>2400</v>
      </c>
      <c r="H8" s="32">
        <f>F8+G8</f>
        <v/>
      </c>
      <c r="I8" s="33">
        <f>E8-D8</f>
        <v/>
      </c>
      <c r="J8" s="34">
        <f>H8/D8*100</f>
        <v/>
      </c>
      <c r="K8" s="35">
        <f>I8/D8*100</f>
        <v/>
      </c>
      <c r="L8" s="35">
        <f>F8/D8*100</f>
        <v/>
      </c>
      <c r="M8" s="35">
        <f>G8/D8*100</f>
        <v/>
      </c>
      <c r="N8" s="36" t="n">
        <v>-2.25</v>
      </c>
      <c r="O8" s="36" t="n">
        <v>5.86</v>
      </c>
      <c r="P8" s="36" t="n">
        <v>-1.8</v>
      </c>
      <c r="Q8" s="36" t="n">
        <v>5.41</v>
      </c>
      <c r="R8" s="35">
        <f>N8+Q8</f>
        <v/>
      </c>
      <c r="S8" s="35">
        <f>O8+P8</f>
        <v/>
      </c>
      <c r="T8" s="35">
        <f>MIN(R8,S8)</f>
        <v/>
      </c>
      <c r="U8" s="37">
        <f>U7*(1+J8/100)</f>
        <v/>
      </c>
      <c r="V8" s="37">
        <f>MAX(V7,U8)</f>
        <v/>
      </c>
      <c r="W8" s="37">
        <f>IF(U8&lt;V8,U8-V8,0)</f>
        <v/>
      </c>
      <c r="X8" s="38">
        <f>IF(U8&lt;V8,W8/V8,0)</f>
        <v/>
      </c>
      <c r="Y8" s="37">
        <f>U7*(1+T8/100)</f>
        <v/>
      </c>
      <c r="Z8" s="39">
        <f>(Y8/V8-1)*100</f>
        <v/>
      </c>
      <c r="AA8" s="37">
        <f>AA7*(E8/D8)</f>
        <v/>
      </c>
    </row>
    <row r="9" ht="18" customHeight="1">
      <c r="A9" s="29" t="n">
        <v>5</v>
      </c>
      <c r="B9" s="30" t="n">
        <v>45358</v>
      </c>
      <c r="C9" s="30" t="n">
        <v>45365</v>
      </c>
      <c r="D9" s="31" t="n">
        <v>22100</v>
      </c>
      <c r="E9" s="31" t="n">
        <v>21700</v>
      </c>
      <c r="F9" s="31" t="n">
        <v>3100</v>
      </c>
      <c r="G9" s="31" t="n">
        <v>-2800</v>
      </c>
      <c r="H9" s="32">
        <f>F9+G9</f>
        <v/>
      </c>
      <c r="I9" s="33">
        <f>E9-D9</f>
        <v/>
      </c>
      <c r="J9" s="34">
        <f>H9/D9*100</f>
        <v/>
      </c>
      <c r="K9" s="35">
        <f>I9/D9*100</f>
        <v/>
      </c>
      <c r="L9" s="35">
        <f>F9/D9*100</f>
        <v/>
      </c>
      <c r="M9" s="35">
        <f>G9/D9*100</f>
        <v/>
      </c>
      <c r="N9" s="36" t="n">
        <v>-1.36</v>
      </c>
      <c r="O9" s="36" t="n">
        <v>6.33</v>
      </c>
      <c r="P9" s="36" t="n">
        <v>-8.140000000000001</v>
      </c>
      <c r="Q9" s="36" t="n">
        <v>1.36</v>
      </c>
      <c r="R9" s="35">
        <f>N9+Q9</f>
        <v/>
      </c>
      <c r="S9" s="35">
        <f>O9+P9</f>
        <v/>
      </c>
      <c r="T9" s="35">
        <f>MIN(R9,S9)</f>
        <v/>
      </c>
      <c r="U9" s="37">
        <f>U8*(1+J9/100)</f>
        <v/>
      </c>
      <c r="V9" s="37">
        <f>MAX(V8,U9)</f>
        <v/>
      </c>
      <c r="W9" s="37">
        <f>IF(U9&lt;V9,U9-V9,0)</f>
        <v/>
      </c>
      <c r="X9" s="38">
        <f>IF(U9&lt;V9,W9/V9,0)</f>
        <v/>
      </c>
      <c r="Y9" s="37">
        <f>U8*(1+T9/100)</f>
        <v/>
      </c>
      <c r="Z9" s="39">
        <f>(Y9/V9-1)*100</f>
        <v/>
      </c>
      <c r="AA9" s="37">
        <f>AA8*(E9/D9)</f>
        <v/>
      </c>
    </row>
    <row r="10" ht="18" customHeight="1">
      <c r="A10" s="29" t="n">
        <v>6</v>
      </c>
      <c r="B10" s="30" t="n">
        <v>45372</v>
      </c>
      <c r="C10" s="30" t="n">
        <v>45379</v>
      </c>
      <c r="D10" s="31" t="n">
        <v>21700</v>
      </c>
      <c r="E10" s="31" t="n">
        <v>22400</v>
      </c>
      <c r="F10" s="31" t="n">
        <v>-5600</v>
      </c>
      <c r="G10" s="31" t="n">
        <v>3800</v>
      </c>
      <c r="H10" s="40">
        <f>F10+G10</f>
        <v/>
      </c>
      <c r="I10" s="33">
        <f>E10-D10</f>
        <v/>
      </c>
      <c r="J10" s="41">
        <f>H10/D10*100</f>
        <v/>
      </c>
      <c r="K10" s="35">
        <f>I10/D10*100</f>
        <v/>
      </c>
      <c r="L10" s="35">
        <f>F10/D10*100</f>
        <v/>
      </c>
      <c r="M10" s="35">
        <f>G10/D10*100</f>
        <v/>
      </c>
      <c r="N10" s="36" t="n">
        <v>-15.21</v>
      </c>
      <c r="O10" s="36" t="n">
        <v>1.38</v>
      </c>
      <c r="P10" s="36" t="n">
        <v>-2.76</v>
      </c>
      <c r="Q10" s="36" t="n">
        <v>7.37</v>
      </c>
      <c r="R10" s="35">
        <f>N10+Q10</f>
        <v/>
      </c>
      <c r="S10" s="35">
        <f>O10+P10</f>
        <v/>
      </c>
      <c r="T10" s="35">
        <f>MIN(R10,S10)</f>
        <v/>
      </c>
      <c r="U10" s="37">
        <f>U9*(1+J10/100)</f>
        <v/>
      </c>
      <c r="V10" s="37">
        <f>MAX(V9,U10)</f>
        <v/>
      </c>
      <c r="W10" s="37">
        <f>IF(U10&lt;V10,U10-V10,0)</f>
        <v/>
      </c>
      <c r="X10" s="38">
        <f>IF(U10&lt;V10,W10/V10,0)</f>
        <v/>
      </c>
      <c r="Y10" s="37">
        <f>U9*(1+T10/100)</f>
        <v/>
      </c>
      <c r="Z10" s="39">
        <f>(Y10/V10-1)*100</f>
        <v/>
      </c>
      <c r="AA10" s="37">
        <f>AA9*(E10/D10)</f>
        <v/>
      </c>
    </row>
    <row r="11" ht="18" customHeight="1">
      <c r="A11" s="29" t="n">
        <v>7</v>
      </c>
      <c r="B11" s="30" t="n">
        <v>45386</v>
      </c>
      <c r="C11" s="30" t="n">
        <v>45393</v>
      </c>
      <c r="D11" s="31" t="n">
        <v>22400</v>
      </c>
      <c r="E11" s="31" t="n">
        <v>22600</v>
      </c>
      <c r="F11" s="31" t="n">
        <v>-1200</v>
      </c>
      <c r="G11" s="31" t="n">
        <v>3600</v>
      </c>
      <c r="H11" s="32">
        <f>F11+G11</f>
        <v/>
      </c>
      <c r="I11" s="33">
        <f>E11-D11</f>
        <v/>
      </c>
      <c r="J11" s="34">
        <f>H11/D11*100</f>
        <v/>
      </c>
      <c r="K11" s="35">
        <f>I11/D11*100</f>
        <v/>
      </c>
      <c r="L11" s="35">
        <f>F11/D11*100</f>
        <v/>
      </c>
      <c r="M11" s="35">
        <f>G11/D11*100</f>
        <v/>
      </c>
      <c r="N11" s="36" t="n">
        <v>-7.59</v>
      </c>
      <c r="O11" s="36" t="n">
        <v>1.79</v>
      </c>
      <c r="P11" s="36" t="n">
        <v>-1.34</v>
      </c>
      <c r="Q11" s="36" t="n">
        <v>5.8</v>
      </c>
      <c r="R11" s="35">
        <f>N11+Q11</f>
        <v/>
      </c>
      <c r="S11" s="35">
        <f>O11+P11</f>
        <v/>
      </c>
      <c r="T11" s="35">
        <f>MIN(R11,S11)</f>
        <v/>
      </c>
      <c r="U11" s="37">
        <f>U10*(1+J11/100)</f>
        <v/>
      </c>
      <c r="V11" s="37">
        <f>MAX(V10,U11)</f>
        <v/>
      </c>
      <c r="W11" s="37">
        <f>IF(U11&lt;V11,U11-V11,0)</f>
        <v/>
      </c>
      <c r="X11" s="38">
        <f>IF(U11&lt;V11,W11/V11,0)</f>
        <v/>
      </c>
      <c r="Y11" s="37">
        <f>U10*(1+T11/100)</f>
        <v/>
      </c>
      <c r="Z11" s="39">
        <f>(Y11/V11-1)*100</f>
        <v/>
      </c>
      <c r="AA11" s="37">
        <f>AA10*(E11/D11)</f>
        <v/>
      </c>
    </row>
    <row r="12" ht="18" customHeight="1">
      <c r="A12" s="29" t="n">
        <v>8</v>
      </c>
      <c r="B12" s="30" t="n">
        <v>45400</v>
      </c>
      <c r="C12" s="30" t="n">
        <v>45407</v>
      </c>
      <c r="D12" s="31" t="n">
        <v>22500</v>
      </c>
      <c r="E12" s="31" t="n">
        <v>22300</v>
      </c>
      <c r="F12" s="31" t="n">
        <v>3400</v>
      </c>
      <c r="G12" s="31" t="n">
        <v>2100</v>
      </c>
      <c r="H12" s="32">
        <f>F12+G12</f>
        <v/>
      </c>
      <c r="I12" s="33">
        <f>E12-D12</f>
        <v/>
      </c>
      <c r="J12" s="34">
        <f>H12/D12*100</f>
        <v/>
      </c>
      <c r="K12" s="35">
        <f>I12/D12*100</f>
        <v/>
      </c>
      <c r="L12" s="35">
        <f>F12/D12*100</f>
        <v/>
      </c>
      <c r="M12" s="35">
        <f>G12/D12*100</f>
        <v/>
      </c>
      <c r="N12" s="36" t="n">
        <v>-1.78</v>
      </c>
      <c r="O12" s="36" t="n">
        <v>7.56</v>
      </c>
      <c r="P12" s="36" t="n">
        <v>-1.6</v>
      </c>
      <c r="Q12" s="36" t="n">
        <v>4.89</v>
      </c>
      <c r="R12" s="35">
        <f>N12+Q12</f>
        <v/>
      </c>
      <c r="S12" s="35">
        <f>O12+P12</f>
        <v/>
      </c>
      <c r="T12" s="35">
        <f>MIN(R12,S12)</f>
        <v/>
      </c>
      <c r="U12" s="37">
        <f>U11*(1+J12/100)</f>
        <v/>
      </c>
      <c r="V12" s="37">
        <f>MAX(V11,U12)</f>
        <v/>
      </c>
      <c r="W12" s="37">
        <f>IF(U12&lt;V12,U12-V12,0)</f>
        <v/>
      </c>
      <c r="X12" s="38">
        <f>IF(U12&lt;V12,W12/V12,0)</f>
        <v/>
      </c>
      <c r="Y12" s="37">
        <f>U11*(1+T12/100)</f>
        <v/>
      </c>
      <c r="Z12" s="39">
        <f>(Y12/V12-1)*100</f>
        <v/>
      </c>
      <c r="AA12" s="37">
        <f>AA11*(E12/D12)</f>
        <v/>
      </c>
    </row>
    <row r="13" ht="18" customHeight="1">
      <c r="A13" s="29" t="n">
        <v>9</v>
      </c>
      <c r="B13" s="30" t="n">
        <v>45414</v>
      </c>
      <c r="C13" s="30" t="n">
        <v>45421</v>
      </c>
      <c r="D13" s="31" t="n">
        <v>22300</v>
      </c>
      <c r="E13" s="31" t="n">
        <v>22800</v>
      </c>
      <c r="F13" s="31" t="n">
        <v>-3800</v>
      </c>
      <c r="G13" s="31" t="n">
        <v>4200</v>
      </c>
      <c r="H13" s="32">
        <f>F13+G13</f>
        <v/>
      </c>
      <c r="I13" s="33">
        <f>E13-D13</f>
        <v/>
      </c>
      <c r="J13" s="34">
        <f>H13/D13*100</f>
        <v/>
      </c>
      <c r="K13" s="35">
        <f>I13/D13*100</f>
        <v/>
      </c>
      <c r="L13" s="35">
        <f>F13/D13*100</f>
        <v/>
      </c>
      <c r="M13" s="35">
        <f>G13/D13*100</f>
        <v/>
      </c>
      <c r="N13" s="36" t="n">
        <v>-11.21</v>
      </c>
      <c r="O13" s="36" t="n">
        <v>1.35</v>
      </c>
      <c r="P13" s="36" t="n">
        <v>-1.79</v>
      </c>
      <c r="Q13" s="36" t="n">
        <v>7.17</v>
      </c>
      <c r="R13" s="35">
        <f>N13+Q13</f>
        <v/>
      </c>
      <c r="S13" s="35">
        <f>O13+P13</f>
        <v/>
      </c>
      <c r="T13" s="35">
        <f>MIN(R13,S13)</f>
        <v/>
      </c>
      <c r="U13" s="37">
        <f>U12*(1+J13/100)</f>
        <v/>
      </c>
      <c r="V13" s="37">
        <f>MAX(V12,U13)</f>
        <v/>
      </c>
      <c r="W13" s="37">
        <f>IF(U13&lt;V13,U13-V13,0)</f>
        <v/>
      </c>
      <c r="X13" s="38">
        <f>IF(U13&lt;V13,W13/V13,0)</f>
        <v/>
      </c>
      <c r="Y13" s="37">
        <f>U12*(1+T13/100)</f>
        <v/>
      </c>
      <c r="Z13" s="39">
        <f>(Y13/V13-1)*100</f>
        <v/>
      </c>
      <c r="AA13" s="37">
        <f>AA12*(E13/D13)</f>
        <v/>
      </c>
    </row>
    <row r="14" ht="18" customHeight="1">
      <c r="A14" s="29" t="n">
        <v>10</v>
      </c>
      <c r="B14" s="30" t="n">
        <v>45428</v>
      </c>
      <c r="C14" s="30" t="n">
        <v>45435</v>
      </c>
      <c r="D14" s="31" t="n">
        <v>22800</v>
      </c>
      <c r="E14" s="31" t="n">
        <v>22500</v>
      </c>
      <c r="F14" s="31" t="n">
        <v>4100</v>
      </c>
      <c r="G14" s="31" t="n">
        <v>2600</v>
      </c>
      <c r="H14" s="32">
        <f>F14+G14</f>
        <v/>
      </c>
      <c r="I14" s="33">
        <f>E14-D14</f>
        <v/>
      </c>
      <c r="J14" s="34">
        <f>H14/D14*100</f>
        <v/>
      </c>
      <c r="K14" s="35">
        <f>I14/D14*100</f>
        <v/>
      </c>
      <c r="L14" s="35">
        <f>F14/D14*100</f>
        <v/>
      </c>
      <c r="M14" s="35">
        <f>G14/D14*100</f>
        <v/>
      </c>
      <c r="N14" s="36" t="n">
        <v>-1.32</v>
      </c>
      <c r="O14" s="36" t="n">
        <v>8.77</v>
      </c>
      <c r="P14" s="36" t="n">
        <v>-1.58</v>
      </c>
      <c r="Q14" s="36" t="n">
        <v>6.14</v>
      </c>
      <c r="R14" s="35">
        <f>N14+Q14</f>
        <v/>
      </c>
      <c r="S14" s="35">
        <f>O14+P14</f>
        <v/>
      </c>
      <c r="T14" s="35">
        <f>MIN(R14,S14)</f>
        <v/>
      </c>
      <c r="U14" s="37">
        <f>U13*(1+J14/100)</f>
        <v/>
      </c>
      <c r="V14" s="37">
        <f>MAX(V13,U14)</f>
        <v/>
      </c>
      <c r="W14" s="37">
        <f>IF(U14&lt;V14,U14-V14,0)</f>
        <v/>
      </c>
      <c r="X14" s="38">
        <f>IF(U14&lt;V14,W14/V14,0)</f>
        <v/>
      </c>
      <c r="Y14" s="37">
        <f>U13*(1+T14/100)</f>
        <v/>
      </c>
      <c r="Z14" s="39">
        <f>(Y14/V14-1)*100</f>
        <v/>
      </c>
      <c r="AA14" s="37">
        <f>AA13*(E14/D14)</f>
        <v/>
      </c>
    </row>
    <row r="16" ht="18" customHeight="1">
      <c r="A16" s="3" t="inlineStr">
        <is>
          <t xml:space="preserve">  FORMULA TEMPLATES  (generic row = n,  previous row = n−1)</t>
        </is>
      </c>
    </row>
    <row r="17" ht="28" customHeight="1">
      <c r="A17" s="42">
        <f>1,2,3…</f>
        <v/>
      </c>
      <c r="B17" s="42" t="inlineStr">
        <is>
          <t>[date input]</t>
        </is>
      </c>
      <c r="C17" s="42" t="inlineStr">
        <is>
          <t>[date input]</t>
        </is>
      </c>
      <c r="D17" s="42" t="inlineStr">
        <is>
          <t>[spot input]</t>
        </is>
      </c>
      <c r="E17" s="42" t="inlineStr">
        <is>
          <t>[spot input]</t>
        </is>
      </c>
      <c r="F17" s="42" t="inlineStr">
        <is>
          <t>[CE P&amp;L input]</t>
        </is>
      </c>
      <c r="G17" s="42" t="inlineStr">
        <is>
          <t>[PE P&amp;L input]</t>
        </is>
      </c>
      <c r="H17" s="42">
        <f>F+G</f>
        <v/>
      </c>
      <c r="I17" s="42">
        <f>E−D</f>
        <v/>
      </c>
      <c r="J17" s="42">
        <f>H/D×100</f>
        <v/>
      </c>
      <c r="K17" s="42">
        <f>I/D×100</f>
        <v/>
      </c>
      <c r="L17" s="42">
        <f>F/D×100</f>
        <v/>
      </c>
      <c r="M17" s="42">
        <f>G/D×100</f>
        <v/>
      </c>
      <c r="N17" s="42" t="inlineStr">
        <is>
          <t>[MAE CE input]</t>
        </is>
      </c>
      <c r="O17" s="42" t="inlineStr">
        <is>
          <t>[MFE CE input]</t>
        </is>
      </c>
      <c r="P17" s="42" t="inlineStr">
        <is>
          <t>[MAE PE input]</t>
        </is>
      </c>
      <c r="Q17" s="42" t="inlineStr">
        <is>
          <t>[MFE PE input]</t>
        </is>
      </c>
      <c r="R17" s="42">
        <f>N+Q  (CE_MAE + PE_MFE)</f>
        <v/>
      </c>
      <c r="S17" s="42">
        <f>O+P  (CE_MFE + PE_MAE)</f>
        <v/>
      </c>
      <c r="T17" s="42">
        <f>MIN(R,S)</f>
        <v/>
      </c>
      <c r="U17" s="42" t="inlineStr">
        <is>
          <t>n=1: =100×(1+J/100)  |  n&gt;1: =U(n−1)×(1+J/100)</t>
        </is>
      </c>
      <c r="V17" s="42" t="inlineStr">
        <is>
          <t>n=1: =MAX(100,U)  |  n&gt;1: =MAX(V(n−1),U)</t>
        </is>
      </c>
      <c r="W17" s="42">
        <f>IF(U&lt;V, U−V, 0)</f>
        <v/>
      </c>
      <c r="X17" s="42">
        <f>IF(U&lt;V, W/V, 0)</f>
        <v/>
      </c>
      <c r="Y17" s="42" t="inlineStr">
        <is>
          <t>n=1: =U  |  n&gt;1: =U(n−1)×(1+T/100)</t>
        </is>
      </c>
      <c r="Z17" s="42">
        <f>(Y/V−1)×100</f>
        <v/>
      </c>
      <c r="AA17" s="42" t="inlineStr">
        <is>
          <t>n=1: =100×(E/D)  |  n&gt;1: =AA(n−1)×(E/D)</t>
        </is>
      </c>
    </row>
  </sheetData>
  <mergeCells count="3">
    <mergeCell ref="A1:AA1"/>
    <mergeCell ref="A2:G2"/>
    <mergeCell ref="A16:AA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18" customWidth="1" min="3" max="3"/>
    <col width="22" customWidth="1" min="4" max="4"/>
  </cols>
  <sheetData>
    <row r="1" ht="28" customHeight="1">
      <c r="A1" s="21" t="inlineStr">
        <is>
          <t>AlgoTest  ·  Summary Dashboard  —  Live Formulas (referencing 'Trade Data' sheet)</t>
        </is>
      </c>
    </row>
    <row r="2" ht="16" customHeight="1">
      <c r="A2" s="22" t="inlineStr">
        <is>
          <t>Column B = exact Excel formula to type  |  Column C = live calculated result  |  Green formula text = cross-sheet reference</t>
        </is>
      </c>
    </row>
    <row r="3" ht="6" customHeight="1"/>
    <row r="4" ht="20" customHeight="1">
      <c r="A4" s="43" t="inlineStr">
        <is>
          <t>Metric</t>
        </is>
      </c>
      <c r="B4" s="43" t="inlineStr">
        <is>
          <t>Excel Formula (type exactly as shown)</t>
        </is>
      </c>
      <c r="C4" s="43" t="inlineStr">
        <is>
          <t>Live Result</t>
        </is>
      </c>
      <c r="D4" s="43" t="inlineStr">
        <is>
          <t>What It Tells You</t>
        </is>
      </c>
    </row>
    <row r="5" ht="18" customHeight="1">
      <c r="A5" s="44" t="inlineStr">
        <is>
          <t xml:space="preserve">  PERFORMANCE OVERVIEW</t>
        </is>
      </c>
    </row>
    <row r="6" ht="28" customHeight="1">
      <c r="A6" s="14" t="inlineStr">
        <is>
          <t>Total Trades</t>
        </is>
      </c>
      <c r="B6" s="45">
        <f>COUNTA('Trade Data'!H5:H14)</f>
        <v/>
      </c>
      <c r="C6" s="46">
        <f>COUNTA('Trade Data'!H5:H14)</f>
        <v/>
      </c>
      <c r="D6" s="47" t="inlineStr">
        <is>
          <t>Count of rows with a Net P&amp;L value</t>
        </is>
      </c>
    </row>
    <row r="7" ht="28" customHeight="1">
      <c r="A7" s="48" t="inlineStr">
        <is>
          <t>Win Count</t>
        </is>
      </c>
      <c r="B7" s="49">
        <f>COUNTIF('Trade Data'!J5:J14,"&gt;0")</f>
        <v/>
      </c>
      <c r="C7" s="50">
        <f>COUNTIF('Trade Data'!J5:J14,"&gt;0")</f>
        <v/>
      </c>
      <c r="D7" s="51" t="inlineStr">
        <is>
          <t>Trades where % P&amp;L &gt; 0</t>
        </is>
      </c>
    </row>
    <row r="8" ht="28" customHeight="1">
      <c r="A8" s="14" t="inlineStr">
        <is>
          <t>Loss Count</t>
        </is>
      </c>
      <c r="B8" s="45">
        <f>COUNTIF('Trade Data'!J5:J14,"&lt;0")</f>
        <v/>
      </c>
      <c r="C8" s="46">
        <f>COUNTIF('Trade Data'!J5:J14,"&lt;0")</f>
        <v/>
      </c>
      <c r="D8" s="47" t="inlineStr">
        <is>
          <t>Trades where % P&amp;L &lt; 0</t>
        </is>
      </c>
    </row>
    <row r="9" ht="28" customHeight="1">
      <c r="A9" s="48" t="inlineStr">
        <is>
          <t>Win %</t>
        </is>
      </c>
      <c r="B9" s="49">
        <f>COUNTIF('Trade Data'!J5:J14,"&gt;0")/COUNTA('Trade Data'!H5:H14)*100</f>
        <v/>
      </c>
      <c r="C9" s="52">
        <f>COUNTIF('Trade Data'!J5:J14,"&gt;0")/COUNTA('Trade Data'!H5:H14)*100</f>
        <v/>
      </c>
      <c r="D9" s="51" t="inlineStr">
        <is>
          <t>Win trades ÷ Total trades × 100</t>
        </is>
      </c>
    </row>
    <row r="10" ht="28" customHeight="1">
      <c r="A10" s="14" t="inlineStr">
        <is>
          <t>Loss %</t>
        </is>
      </c>
      <c r="B10" s="45">
        <f>COUNTIF('Trade Data'!J5:J14,"&lt;0")/COUNTA('Trade Data'!H5:H14)*100</f>
        <v/>
      </c>
      <c r="C10" s="53">
        <f>COUNTIF('Trade Data'!J5:J14,"&lt;0")/COUNTA('Trade Data'!H5:H14)*100</f>
        <v/>
      </c>
      <c r="D10" s="47" t="inlineStr">
        <is>
          <t>Loss trades ÷ Total trades × 100</t>
        </is>
      </c>
    </row>
    <row r="11" ht="28" customHeight="1">
      <c r="A11" s="48" t="inlineStr">
        <is>
          <t>Overall Profit (sum % P&amp;L)</t>
        </is>
      </c>
      <c r="B11" s="49">
        <f>SUM('Trade Data'!J5:J14)</f>
        <v/>
      </c>
      <c r="C11" s="52">
        <f>SUM('Trade Data'!J5:J14)</f>
        <v/>
      </c>
      <c r="D11" s="51" t="inlineStr">
        <is>
          <t>Simple sum of all % P&amp;L  (NOT compounded)</t>
        </is>
      </c>
    </row>
    <row r="12" ht="28" customHeight="1">
      <c r="A12" s="14" t="inlineStr">
        <is>
          <t>Avg Win %</t>
        </is>
      </c>
      <c r="B12" s="45">
        <f>AVERAGEIF('Trade Data'!J5:J14,"&gt;0",'Trade Data'!J5:J14)</f>
        <v/>
      </c>
      <c r="C12" s="54">
        <f>AVERAGEIF('Trade Data'!J5:J14,"&gt;0",'Trade Data'!J5:J14)</f>
        <v/>
      </c>
      <c r="D12" s="47" t="inlineStr">
        <is>
          <t>Average % P&amp;L of winning trades only</t>
        </is>
      </c>
    </row>
    <row r="13" ht="28" customHeight="1">
      <c r="A13" s="48" t="inlineStr">
        <is>
          <t>Avg Loss %</t>
        </is>
      </c>
      <c r="B13" s="49">
        <f>AVERAGEIF('Trade Data'!J5:J14,"&lt;0",'Trade Data'!J5:J14)</f>
        <v/>
      </c>
      <c r="C13" s="55">
        <f>AVERAGEIF('Trade Data'!J5:J14,"&lt;0",'Trade Data'!J5:J14)</f>
        <v/>
      </c>
      <c r="D13" s="51" t="inlineStr">
        <is>
          <t>Average % P&amp;L of losing trades only</t>
        </is>
      </c>
    </row>
    <row r="14" ht="28" customHeight="1">
      <c r="A14" s="14" t="inlineStr">
        <is>
          <t>Avg Net P&amp;L per Trade (₹)</t>
        </is>
      </c>
      <c r="B14" s="45">
        <f>AVERAGE('Trade Data'!H5:H14)</f>
        <v/>
      </c>
      <c r="C14" s="56">
        <f>AVERAGE('Trade Data'!H5:H14)</f>
        <v/>
      </c>
      <c r="D14" s="47" t="inlineStr">
        <is>
          <t>Mean ₹ profit across all trades</t>
        </is>
      </c>
    </row>
    <row r="15" ht="28" customHeight="1">
      <c r="A15" s="48" t="inlineStr">
        <is>
          <t>Expectancy Ratio</t>
        </is>
      </c>
      <c r="B15" s="49">
        <f>(COUNTIF('Trade Data'!J5:J14,"&gt;0")/COUNTA('Trade Data'!H5:H14)*AVERAGEIF('Trade Data'!J5:J14,"&gt;0",'Trade Data'!J5:J14))/ABS(AVERAGEIF('Trade Data'!J5:J14,"&lt;0",'Trade Data'!J5:J14))-(1-COUNTIF('Trade Data'!J5:J14,"&gt;0")/COUNTA('Trade Data'!H5:H14))</f>
        <v/>
      </c>
      <c r="C15" s="55">
        <f>(COUNTIF('Trade Data'!J5:J14,"&gt;0")/COUNTA('Trade Data'!H5:H14)*AVERAGEIF('Trade Data'!J5:J14,"&gt;0",'Trade Data'!J5:J14))/ABS(AVERAGEIF('Trade Data'!J5:J14,"&lt;0",'Trade Data'!J5:J14))-(1-COUNTIF('Trade Data'!J5:J14,"&gt;0")/COUNTA('Trade Data'!H5:H14))</f>
        <v/>
      </c>
      <c r="D15" s="51">
        <f> (WinRate × AvgWin%) / |AvgLoss%|  −  (1 − WinRate)</f>
        <v/>
      </c>
    </row>
    <row r="16" ht="28" customHeight="1">
      <c r="A16" s="14" t="inlineStr">
        <is>
          <t>Max Win — Single Trade (₹)</t>
        </is>
      </c>
      <c r="B16" s="45">
        <f>MAX('Trade Data'!H5:H14)</f>
        <v/>
      </c>
      <c r="C16" s="57">
        <f>MAX('Trade Data'!H5:H14)</f>
        <v/>
      </c>
      <c r="D16" s="47" t="inlineStr">
        <is>
          <t>Largest single trade profit in ₹</t>
        </is>
      </c>
    </row>
    <row r="17" ht="28" customHeight="1">
      <c r="A17" s="48" t="inlineStr">
        <is>
          <t>Max Loss — Single Trade (₹)</t>
        </is>
      </c>
      <c r="B17" s="49">
        <f>MIN('Trade Data'!H5:H14)</f>
        <v/>
      </c>
      <c r="C17" s="58">
        <f>MIN('Trade Data'!H5:H14)</f>
        <v/>
      </c>
      <c r="D17" s="51" t="inlineStr">
        <is>
          <t>Largest single trade loss in ₹</t>
        </is>
      </c>
      <c r="E17" s="59">
        <f>MIN('Trade Data'!B5:B14)</f>
        <v/>
      </c>
    </row>
    <row r="18" ht="28" customHeight="1">
      <c r="A18" s="14" t="inlineStr">
        <is>
          <t>First Entry Date</t>
        </is>
      </c>
      <c r="B18" s="45">
        <f>TEXT(MIN('Trade Data'!B5:B14),"DD-MMM-YYYY")</f>
        <v/>
      </c>
      <c r="C18" s="46">
        <f>TEXT(MIN('Trade Data'!B5:B14),"DD-MMM-YYYY")</f>
        <v/>
      </c>
      <c r="D18" s="47" t="inlineStr">
        <is>
          <t>Earliest trade entry date</t>
        </is>
      </c>
      <c r="E18" s="59">
        <f>MAX('Trade Data'!C5:C14)</f>
        <v/>
      </c>
    </row>
    <row r="19" ht="28" customHeight="1">
      <c r="A19" s="48" t="inlineStr">
        <is>
          <t>Last Exit Date</t>
        </is>
      </c>
      <c r="B19" s="49">
        <f>TEXT(MAX('Trade Data'!C5:C14),"DD-MMM-YYYY")</f>
        <v/>
      </c>
      <c r="C19" s="50">
        <f>TEXT(MAX('Trade Data'!C5:C14),"DD-MMM-YYYY")</f>
        <v/>
      </c>
      <c r="D19" s="51" t="inlineStr">
        <is>
          <t>Latest trade exit date</t>
        </is>
      </c>
    </row>
    <row r="20" ht="28" customHeight="1">
      <c r="A20" s="14" t="inlineStr">
        <is>
          <t>Years in Sample</t>
        </is>
      </c>
      <c r="B20" s="45">
        <f>(MAX('Trade Data'!C5:C14)-MIN('Trade Data'!B5:B14))/365.25</f>
        <v/>
      </c>
      <c r="C20" s="53">
        <f>(MAX('Trade Data'!C5:C14)-MIN('Trade Data'!B5:B14))/365.25</f>
        <v/>
      </c>
      <c r="D20" s="47" t="inlineStr">
        <is>
          <t>(Last Exit − First Entry) ÷ 365.25</t>
        </is>
      </c>
    </row>
    <row r="21" ht="28" customHeight="1">
      <c r="A21" s="48" t="inlineStr">
        <is>
          <t>Final Cumulative NAV</t>
        </is>
      </c>
      <c r="B21" s="49">
        <f>'Trade Data'!U14</f>
        <v/>
      </c>
      <c r="C21" s="60">
        <f>'Trade Data'!U14</f>
        <v/>
      </c>
      <c r="D21" s="51" t="inlineStr">
        <is>
          <t>Last row of Cumulative column (100-base NAV)</t>
        </is>
      </c>
    </row>
    <row r="22" ht="28" customHeight="1">
      <c r="A22" s="14" t="inlineStr">
        <is>
          <t>CAGR — Options Strategy</t>
        </is>
      </c>
      <c r="B22" s="45">
        <f>('Trade Data'!U14/100)^(1/C20)-1</f>
        <v/>
      </c>
      <c r="C22" s="61">
        <f>('Trade Data'!U14/100)^(1/C20)-1</f>
        <v/>
      </c>
      <c r="D22" s="47" t="inlineStr">
        <is>
          <t>(Final Cum ÷ 100)^(1/Years) − 1</t>
        </is>
      </c>
    </row>
    <row r="23" ht="28" customHeight="1">
      <c r="A23" s="48" t="inlineStr">
        <is>
          <t>CAGR — Spot (Buy &amp; Hold)</t>
        </is>
      </c>
      <c r="B23" s="49">
        <f>('Trade Data'!AA14/100)^(1/C20)-1</f>
        <v/>
      </c>
      <c r="C23" s="62">
        <f>('Trade Data'!AA14/100)^(1/C20)-1</f>
        <v/>
      </c>
      <c r="D23" s="51" t="inlineStr">
        <is>
          <t>(Spot Cum ÷ 100)^(1/Years) − 1  — benchmark</t>
        </is>
      </c>
    </row>
    <row r="25" ht="18" customHeight="1">
      <c r="A25" s="44" t="inlineStr">
        <is>
          <t xml:space="preserve">  RISK METRICS</t>
        </is>
      </c>
    </row>
    <row r="26" ht="28" customHeight="1">
      <c r="A26" s="14" t="inlineStr">
        <is>
          <t>Max Drawdown %</t>
        </is>
      </c>
      <c r="B26" s="45">
        <f>MIN('Trade Data'!X5:X14)*100</f>
        <v/>
      </c>
      <c r="C26" s="53">
        <f>MIN('Trade Data'!X5:X14)*100</f>
        <v/>
      </c>
      <c r="D26" s="47" t="inlineStr">
        <is>
          <t>Most negative %DD value × 100  (e.g. −9.59 = −9.59% from peak)</t>
        </is>
      </c>
    </row>
    <row r="27" ht="28" customHeight="1">
      <c r="A27" s="48" t="inlineStr">
        <is>
          <t>Max Drawdown Period Start</t>
        </is>
      </c>
      <c r="B27" s="49">
        <f>TEXT(INDEX('Trade Data'!B5:B14,MATCH(MIN('Trade Data'!X5:X14),'Trade Data'!X5:X14,0)),"DD-MMM-YYYY")</f>
        <v/>
      </c>
      <c r="C27" s="50">
        <f>TEXT(INDEX('Trade Data'!B5:B14,MATCH(MIN('Trade Data'!X5:X14),'Trade Data'!X5:X14,0)),"DD-MMM-YYYY")</f>
        <v/>
      </c>
      <c r="D27" s="51" t="inlineStr">
        <is>
          <t>Entry date of the deepest drawdown trade</t>
        </is>
      </c>
    </row>
    <row r="28" ht="28" customHeight="1">
      <c r="A28" s="14" t="inlineStr">
        <is>
          <t>CAR / MDD  (Booked)</t>
        </is>
      </c>
      <c r="B28" s="45">
        <f>C22/ABS(C26/100)</f>
        <v/>
      </c>
      <c r="C28" s="54">
        <f>C22/ABS(C26/100)</f>
        <v/>
      </c>
      <c r="D28" s="47" t="inlineStr">
        <is>
          <t>CAGR ÷ |Max DD|  —  Calmar Ratio. &gt;2 = excellent</t>
        </is>
      </c>
    </row>
    <row r="29" ht="28" customHeight="1">
      <c r="A29" s="48" t="inlineStr">
        <is>
          <t>Total Net P&amp;L (₹)</t>
        </is>
      </c>
      <c r="B29" s="49">
        <f>SUM('Trade Data'!H5:H14)</f>
        <v/>
      </c>
      <c r="C29" s="58">
        <f>SUM('Trade Data'!H5:H14)</f>
        <v/>
      </c>
      <c r="D29" s="51" t="inlineStr">
        <is>
          <t>Sum of all trade Net P&amp;L in ₹</t>
        </is>
      </c>
    </row>
    <row r="30" ht="28" customHeight="1">
      <c r="A30" s="14" t="inlineStr">
        <is>
          <t>Recovery Factor</t>
        </is>
      </c>
      <c r="B30" s="45">
        <f>SUM('Trade Data'!H5:H14)/ABS(MIN('Trade Data'!H5:H14))</f>
        <v/>
      </c>
      <c r="C30" s="53">
        <f>SUM('Trade Data'!H5:H14)/ABS(MIN('Trade Data'!H5:H14))</f>
        <v/>
      </c>
      <c r="D30" s="47" t="inlineStr">
        <is>
          <t>Total ₹ P&amp;L ÷ |Worst single loss|  (not same as DD pts)</t>
        </is>
      </c>
    </row>
    <row r="32" ht="18" customHeight="1">
      <c r="A32" s="44" t="inlineStr">
        <is>
          <t xml:space="preserve">  LIVE DD ANALYSIS  (intra-trade risk)</t>
        </is>
      </c>
    </row>
    <row r="33" ht="28" customHeight="1">
      <c r="A33" s="14" t="inlineStr">
        <is>
          <t>Actual Live DD — Minimum</t>
        </is>
      </c>
      <c r="B33" s="45">
        <f>MIN('Trade Data'!Z5:Z14)</f>
        <v/>
      </c>
      <c r="C33" s="53">
        <f>MIN('Trade Data'!Z5:Z14)</f>
        <v/>
      </c>
      <c r="D33" s="47" t="inlineStr">
        <is>
          <t>Worst intra-trade NAV vs Peak. More conservative than booked Max DD.</t>
        </is>
      </c>
    </row>
    <row r="34" ht="28" customHeight="1">
      <c r="A34" s="48" t="inlineStr">
        <is>
          <t>Actual Live DD — Average</t>
        </is>
      </c>
      <c r="B34" s="49">
        <f>AVERAGE('Trade Data'!Z5:Z14)</f>
        <v/>
      </c>
      <c r="C34" s="52">
        <f>AVERAGE('Trade Data'!Z5:Z14)</f>
        <v/>
      </c>
      <c r="D34" s="51" t="inlineStr">
        <is>
          <t>Mean of Actual Live DD across all trades  (typical exposure)</t>
        </is>
      </c>
    </row>
    <row r="35" ht="28" customHeight="1">
      <c r="A35" s="14" t="inlineStr">
        <is>
          <t>CAR / MDD  (Live)</t>
        </is>
      </c>
      <c r="B35" s="45">
        <f>C22/ABS(C33/100)</f>
        <v/>
      </c>
      <c r="C35" s="54">
        <f>C22/ABS(C33/100)</f>
        <v/>
      </c>
      <c r="D35" s="47" t="inlineStr">
        <is>
          <t>CAGR ÷ |Live DD min|  —  more conservative than Booked CAR/MDD</t>
        </is>
      </c>
    </row>
    <row r="37" ht="18" customHeight="1">
      <c r="A37" s="44" t="inlineStr">
        <is>
          <t xml:space="preserve">  OUTLIER ANALYSIS  (impact of exceptional trades)</t>
        </is>
      </c>
    </row>
    <row r="38" ht="28" customHeight="1">
      <c r="A38" s="14" t="inlineStr">
        <is>
          <t>+ve Outlier 1  (best trade % P&amp;L)</t>
        </is>
      </c>
      <c r="B38" s="45">
        <f>LARGE('Trade Data'!J5:J14,1)</f>
        <v/>
      </c>
      <c r="C38" s="54">
        <f>LARGE('Trade Data'!J5:J14,1)</f>
        <v/>
      </c>
      <c r="D38" s="47" t="inlineStr">
        <is>
          <t>Single best trade. LARGE({J},1) = 1st largest.</t>
        </is>
      </c>
    </row>
    <row r="39" ht="28" customHeight="1">
      <c r="A39" s="48" t="inlineStr">
        <is>
          <t>+ve Outlier 2  (sum of top 2 trades)</t>
        </is>
      </c>
      <c r="B39" s="49">
        <f>LARGE('Trade Data'!J5:J14,1)+LARGE('Trade Data'!J5:J14,2)</f>
        <v/>
      </c>
      <c r="C39" s="55">
        <f>LARGE('Trade Data'!J5:J14,1)+LARGE('Trade Data'!J5:J14,2)</f>
        <v/>
      </c>
      <c r="D39" s="51" t="inlineStr">
        <is>
          <t>Combined impact of the 2 best trades.</t>
        </is>
      </c>
    </row>
    <row r="40" ht="28" customHeight="1">
      <c r="A40" s="14" t="inlineStr">
        <is>
          <t>+ve Outlier 3  (sum of top 3 trades)</t>
        </is>
      </c>
      <c r="B40" s="45">
        <f>LARGE('Trade Data'!J5:J14,1)+LARGE('Trade Data'!J5:J14,2)+LARGE('Trade Data'!J5:J14,3)</f>
        <v/>
      </c>
      <c r="C40" s="54">
        <f>LARGE('Trade Data'!J5:J14,1)+LARGE('Trade Data'!J5:J14,2)+LARGE('Trade Data'!J5:J14,3)</f>
        <v/>
      </c>
      <c r="D40" s="47" t="inlineStr">
        <is>
          <t>Combined impact of the 3 best trades.</t>
        </is>
      </c>
    </row>
    <row r="41" ht="28" customHeight="1">
      <c r="A41" s="48" t="inlineStr">
        <is>
          <t>−ve Outlier 1  (worst trade % P&amp;L)</t>
        </is>
      </c>
      <c r="B41" s="49">
        <f>SMALL('Trade Data'!J5:J14,1)</f>
        <v/>
      </c>
      <c r="C41" s="55">
        <f>SMALL('Trade Data'!J5:J14,1)</f>
        <v/>
      </c>
      <c r="D41" s="51" t="inlineStr">
        <is>
          <t>Single worst trade. SMALL({J},1) = 1st smallest.</t>
        </is>
      </c>
    </row>
    <row r="42" ht="28" customHeight="1">
      <c r="A42" s="14" t="inlineStr">
        <is>
          <t>−ve Outlier 2  (sum of bottom 2 trades)</t>
        </is>
      </c>
      <c r="B42" s="45">
        <f>SMALL('Trade Data'!J5:J14,1)+SMALL('Trade Data'!J5:J14,2)</f>
        <v/>
      </c>
      <c r="C42" s="54">
        <f>SMALL('Trade Data'!J5:J14,1)+SMALL('Trade Data'!J5:J14,2)</f>
        <v/>
      </c>
      <c r="D42" s="47" t="inlineStr">
        <is>
          <t>Combined impact of the 2 worst trades.</t>
        </is>
      </c>
    </row>
    <row r="43" ht="28" customHeight="1">
      <c r="A43" s="48" t="inlineStr">
        <is>
          <t>−ve Outlier 3  (sum of bottom 3 trades)</t>
        </is>
      </c>
      <c r="B43" s="49">
        <f>SMALL('Trade Data'!J5:J14,1)+SMALL('Trade Data'!J5:J14,2)+SMALL('Trade Data'!J5:J14,3)</f>
        <v/>
      </c>
      <c r="C43" s="55">
        <f>SMALL('Trade Data'!J5:J14,1)+SMALL('Trade Data'!J5:J14,2)+SMALL('Trade Data'!J5:J14,3)</f>
        <v/>
      </c>
      <c r="D43" s="51" t="inlineStr">
        <is>
          <t>Combined impact of the 3 worst trades.</t>
        </is>
      </c>
    </row>
    <row r="44" ht="28" customHeight="1">
      <c r="A44" s="14" t="inlineStr">
        <is>
          <t>P&amp;L Without Outlier 1  (remove top + bottom 1)</t>
        </is>
      </c>
      <c r="B44" s="45">
        <f>SUM('Trade Data'!J5:J14)-LARGE('Trade Data'!J5:J14,1)-SMALL('Trade Data'!J5:J14,1)</f>
        <v/>
      </c>
      <c r="C44" s="54">
        <f>SUM('Trade Data'!J5:J14)-LARGE('Trade Data'!J5:J14,1)-SMALL('Trade Data'!J5:J14,1)</f>
        <v/>
      </c>
      <c r="D44" s="47" t="inlineStr">
        <is>
          <t>Total P&amp;L minus best AND worst trade.</t>
        </is>
      </c>
    </row>
    <row r="45" ht="28" customHeight="1">
      <c r="A45" s="48" t="inlineStr">
        <is>
          <t>P&amp;L Without Outlier 2  (remove top + bottom 2)</t>
        </is>
      </c>
      <c r="B45" s="49">
        <f>SUM('Trade Data'!J5:J14)-(LARGE('Trade Data'!J5:J14,1)+LARGE('Trade Data'!J5:J14,2))-(SMALL('Trade Data'!J5:J14,1)+SMALL('Trade Data'!J5:J14,2))</f>
        <v/>
      </c>
      <c r="C45" s="55">
        <f>SUM('Trade Data'!J5:J14)-(LARGE('Trade Data'!J5:J14,1)+LARGE('Trade Data'!J5:J14,2))-(SMALL('Trade Data'!J5:J14,1)+SMALL('Trade Data'!J5:J14,2))</f>
        <v/>
      </c>
      <c r="D45" s="51" t="inlineStr">
        <is>
          <t>Total P&amp;L minus best 2 AND worst 2 trades.</t>
        </is>
      </c>
    </row>
    <row r="46" ht="28" customHeight="1">
      <c r="A46" s="14" t="inlineStr">
        <is>
          <t>P&amp;L Without Outlier 3  (remove top + bottom 3)</t>
        </is>
      </c>
      <c r="B46" s="45">
        <f>SUM('Trade Data'!J5:J14)-(LARGE('Trade Data'!J5:J14,1)+LARGE('Trade Data'!J5:J14,2)+LARGE('Trade Data'!J5:J14,3))-(SMALL('Trade Data'!J5:J14,1)+SMALL('Trade Data'!J5:J14,2)+SMALL('Trade Data'!J5:J14,3))</f>
        <v/>
      </c>
      <c r="C46" s="54">
        <f>SUM('Trade Data'!J5:J14)-(LARGE('Trade Data'!J5:J14,1)+LARGE('Trade Data'!J5:J14,2)+LARGE('Trade Data'!J5:J14,3))-(SMALL('Trade Data'!J5:J14,1)+SMALL('Trade Data'!J5:J14,2)+SMALL('Trade Data'!J5:J14,3))</f>
        <v/>
      </c>
      <c r="D46" s="47" t="inlineStr">
        <is>
          <t>Total P&amp;L minus best 3 AND worst 3 trades.</t>
        </is>
      </c>
    </row>
    <row r="48" ht="18" customHeight="1">
      <c r="A48" s="44" t="inlineStr">
        <is>
          <t xml:space="preserve">  MONTHLY RETURNS  (by Exit Date)</t>
        </is>
      </c>
    </row>
    <row r="49" ht="28" customHeight="1">
      <c r="A49" s="14" t="inlineStr">
        <is>
          <t>Monthly Net P&amp;L (₹)</t>
        </is>
      </c>
      <c r="B49" s="45">
        <f>SUMPRODUCT((TEXT('Trade Data'!C5:C14,"YYYY-MM")="2024-01")*'Trade Data'!H5:H14)</f>
        <v/>
      </c>
      <c r="C49" s="57">
        <f>SUMPRODUCT((TEXT('Trade Data'!C5:C14,"YYYY-MM")="2024-01")*'Trade Data'!H5:H14)</f>
        <v/>
      </c>
      <c r="D49" s="47" t="inlineStr">
        <is>
          <t>Sums Net P&amp;L for all trades exiting in Jan-2024. Change "2024-01" for any month.</t>
        </is>
      </c>
    </row>
    <row r="50" ht="28" customHeight="1">
      <c r="A50" s="48" t="inlineStr">
        <is>
          <t>Monthly % P&amp;L</t>
        </is>
      </c>
      <c r="B50" s="49">
        <f>SUMPRODUCT((TEXT('Trade Data'!C5:C14,"YYYY-MM")="2024-01")*'Trade Data'!J5:J14)</f>
        <v/>
      </c>
      <c r="C50" s="55">
        <f>SUMPRODUCT((TEXT('Trade Data'!C5:C14,"YYYY-MM")="2024-01")*'Trade Data'!J5:J14)</f>
        <v/>
      </c>
      <c r="D50" s="51" t="inlineStr">
        <is>
          <t>Sums % P&amp;L for all trades exiting in Jan-2024.</t>
        </is>
      </c>
    </row>
    <row r="51" ht="28" customHeight="1">
      <c r="A51" s="14" t="inlineStr">
        <is>
          <t>Annual Total (Jan–May 2024)</t>
        </is>
      </c>
      <c r="B51" s="45">
        <f>SUM('Trade Data'!J5:J14)</f>
        <v/>
      </c>
      <c r="C51" s="54">
        <f>SUM('Trade Data'!J5:J14)</f>
        <v/>
      </c>
      <c r="D51" s="47" t="inlineStr">
        <is>
          <t>Sum of all monthly % P&amp;Ls = Overall Profit</t>
        </is>
      </c>
    </row>
    <row r="52" ht="28" customHeight="1">
      <c r="A52" s="48" t="inlineStr">
        <is>
          <t>Annual Max DD (worst %DD in year)</t>
        </is>
      </c>
      <c r="B52" s="49">
        <f>MIN('Trade Data'!X5:X14)*100</f>
        <v/>
      </c>
      <c r="C52" s="52">
        <f>MIN('Trade Data'!X5:X14)*100</f>
        <v/>
      </c>
      <c r="D52" s="51" t="inlineStr">
        <is>
          <t>Most negative %DD among trades in this period (= global Max DD here)</t>
        </is>
      </c>
    </row>
    <row r="53" ht="28" customHeight="1">
      <c r="A53" s="14" t="inlineStr">
        <is>
          <t>R/MDD  (Annual Total ÷ |Max DD|)</t>
        </is>
      </c>
      <c r="B53" s="45">
        <f>ABS(SUM('Trade Data'!J5:J14))/ABS(C52/100)</f>
        <v/>
      </c>
      <c r="C53" s="53">
        <f>ABS(SUM('Trade Data'!J5:J14))/ABS(C52/100)</f>
        <v/>
      </c>
      <c r="D53" s="47" t="inlineStr">
        <is>
          <t>|Annual Total %| ÷ |Max DD %|  —  monthly risk-return ratio</t>
        </is>
      </c>
    </row>
  </sheetData>
  <mergeCells count="7">
    <mergeCell ref="A1:D1"/>
    <mergeCell ref="A5:D5"/>
    <mergeCell ref="A37:D37"/>
    <mergeCell ref="A48:D48"/>
    <mergeCell ref="A25:D25"/>
    <mergeCell ref="A2:D2"/>
    <mergeCell ref="A32:D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40" customWidth="1" min="9" max="9"/>
  </cols>
  <sheetData>
    <row r="1" ht="28" customHeight="1">
      <c r="A1" s="21" t="inlineStr">
        <is>
          <t>MAE / MFE  →  Net MAE 1 / 2  →  Final MAE  →  Lowest NAV  →  Actual Live DD   |   Full Derivation</t>
        </is>
      </c>
    </row>
    <row r="2" ht="16" customHeight="1">
      <c r="A2" s="22" t="inlineStr">
        <is>
          <t>MAE = Max Adverse Excursion  |  MFE = Max Favorable Excursion  |  Both stored as % of Entry Spot (4dp)  |  Negative % = adverse move  |  Positive % = favorable move</t>
        </is>
      </c>
    </row>
    <row r="4" ht="20" customHeight="1">
      <c r="A4" s="43" t="inlineStr">
        <is>
          <t>Column</t>
        </is>
      </c>
      <c r="B4" s="43" t="inlineStr">
        <is>
          <t>Trade 1</t>
        </is>
      </c>
      <c r="C4" s="43" t="inlineStr">
        <is>
          <t>Trade 3</t>
        </is>
      </c>
      <c r="D4" s="43" t="inlineStr">
        <is>
          <t>Trade 6</t>
        </is>
      </c>
      <c r="E4" s="43" t="inlineStr">
        <is>
          <t>Trade 8</t>
        </is>
      </c>
      <c r="F4" s="43" t="inlineStr">
        <is>
          <t>Excel Formula</t>
        </is>
      </c>
      <c r="G4" s="43" t="inlineStr">
        <is>
          <t>Why This Value?</t>
        </is>
      </c>
      <c r="H4" s="43" t="inlineStr">
        <is>
          <t>Interpretation</t>
        </is>
      </c>
      <c r="I4" s="43" t="inlineStr">
        <is>
          <t>Notes</t>
        </is>
      </c>
    </row>
    <row r="5" ht="50" customHeight="1">
      <c r="A5" s="63" t="inlineStr">
        <is>
          <t>MAE CE %
(adverse excursion)</t>
        </is>
      </c>
      <c r="B5" s="64">
        <f>'Trade Data'!N5</f>
        <v/>
      </c>
      <c r="C5" s="64">
        <f>'Trade Data'!N7</f>
        <v/>
      </c>
      <c r="D5" s="64">
        <f>'Trade Data'!N10</f>
        <v/>
      </c>
      <c r="E5" s="64">
        <f>'Trade Data'!N12</f>
        <v/>
      </c>
      <c r="F5" s="65" t="inlineStr">
        <is>
          <t>Input — from engine
(per-leg scan)</t>
        </is>
      </c>
      <c r="G5" s="51" t="inlineStr">
        <is>
          <t>Engine scans every 1-min price. For a short CE, price rising is adverse → MAE is negative.</t>
        </is>
      </c>
      <c r="H5" s="51" t="inlineStr">
        <is>
          <t>Negative = CE went against you. −12.33 means CE premium rose by 12.33% of spot intra-day.</t>
        </is>
      </c>
      <c r="I5" s="51" t="inlineStr">
        <is>
          <t>Always ≤ 0 for a short leg. 0 means premium never rose above entry.</t>
        </is>
      </c>
    </row>
    <row r="6" ht="50" customHeight="1">
      <c r="A6" s="66" t="inlineStr">
        <is>
          <t>MFE CE %
(favorable excursion)</t>
        </is>
      </c>
      <c r="B6" s="64">
        <f>'Trade Data'!O5</f>
        <v/>
      </c>
      <c r="C6" s="64">
        <f>'Trade Data'!O7</f>
        <v/>
      </c>
      <c r="D6" s="64">
        <f>'Trade Data'!O10</f>
        <v/>
      </c>
      <c r="E6" s="64">
        <f>'Trade Data'!O12</f>
        <v/>
      </c>
      <c r="F6" s="67" t="inlineStr">
        <is>
          <t>Input — from engine</t>
        </is>
      </c>
      <c r="G6" s="47" t="inlineStr">
        <is>
          <t>For a short CE, price falling is favorable → MFE is positive.</t>
        </is>
      </c>
      <c r="H6" s="47" t="inlineStr">
        <is>
          <t>Positive = CE moved in your favour. +5.86 means CE dropped by 5.86% of spot at its best.</t>
        </is>
      </c>
      <c r="I6" s="47" t="inlineStr">
        <is>
          <t>Always ≥ 0 for a short leg.</t>
        </is>
      </c>
    </row>
    <row r="7" ht="50" customHeight="1">
      <c r="A7" s="63" t="inlineStr">
        <is>
          <t>MAE PE %
(adverse excursion)</t>
        </is>
      </c>
      <c r="B7" s="64">
        <f>'Trade Data'!P5</f>
        <v/>
      </c>
      <c r="C7" s="64">
        <f>'Trade Data'!P7</f>
        <v/>
      </c>
      <c r="D7" s="64">
        <f>'Trade Data'!P10</f>
        <v/>
      </c>
      <c r="E7" s="64">
        <f>'Trade Data'!P12</f>
        <v/>
      </c>
      <c r="F7" s="65" t="inlineStr">
        <is>
          <t>Input — from engine</t>
        </is>
      </c>
      <c r="G7" s="51" t="inlineStr">
        <is>
          <t>For a short PE, price falling is adverse → MAE is negative.</t>
        </is>
      </c>
      <c r="H7" s="51" t="inlineStr">
        <is>
          <t>Negative = PE went against you.</t>
        </is>
      </c>
      <c r="I7" s="51" t="inlineStr">
        <is>
          <t>Symmetric to CE MAE but for PE leg.</t>
        </is>
      </c>
    </row>
    <row r="8" ht="50" customHeight="1">
      <c r="A8" s="66" t="inlineStr">
        <is>
          <t>MFE PE %
(favorable excursion)</t>
        </is>
      </c>
      <c r="B8" s="64">
        <f>'Trade Data'!Q5</f>
        <v/>
      </c>
      <c r="C8" s="64">
        <f>'Trade Data'!Q7</f>
        <v/>
      </c>
      <c r="D8" s="64">
        <f>'Trade Data'!Q10</f>
        <v/>
      </c>
      <c r="E8" s="64">
        <f>'Trade Data'!Q12</f>
        <v/>
      </c>
      <c r="F8" s="67" t="inlineStr">
        <is>
          <t>Input — from engine</t>
        </is>
      </c>
      <c r="G8" s="47" t="inlineStr">
        <is>
          <t>For a short PE, price rising is favorable → MFE is positive.</t>
        </is>
      </c>
      <c r="H8" s="47" t="inlineStr">
        <is>
          <t>Positive = PE moved in your favour.</t>
        </is>
      </c>
      <c r="I8" s="47" t="inlineStr"/>
    </row>
    <row r="9" ht="50" customHeight="1">
      <c r="A9" s="63" t="inlineStr">
        <is>
          <t>Net MAE 1
=CE_MAE + PE_MFE</t>
        </is>
      </c>
      <c r="B9" s="64">
        <f>'Trade Data'!R5</f>
        <v/>
      </c>
      <c r="C9" s="64">
        <f>'Trade Data'!R7</f>
        <v/>
      </c>
      <c r="D9" s="64">
        <f>'Trade Data'!R10</f>
        <v/>
      </c>
      <c r="E9" s="64">
        <f>'Trade Data'!R12</f>
        <v/>
      </c>
      <c r="F9" s="65">
        <f>N+Q
(CE MAE + PE MFE)</f>
        <v/>
      </c>
      <c r="G9" s="51" t="inlineStr">
        <is>
          <t>Scenario 1: CE is at its WORST while PE is at its BEST. Assumes adverse moves are NOT simultaneous.</t>
        </is>
      </c>
      <c r="H9" s="51" t="inlineStr">
        <is>
          <t>Most negative = CE and PE moved against each other maximally. This is the 'split-risk' scenario.</t>
        </is>
      </c>
      <c r="I9" s="51" t="inlineStr">
        <is>
          <t>For a straddle, if CE is worst when market moves UP, PE MFE partly offsets it.</t>
        </is>
      </c>
    </row>
    <row r="10" ht="50" customHeight="1">
      <c r="A10" s="66" t="inlineStr">
        <is>
          <t>Net MAE 2
=CE_MFE + PE_MAE</t>
        </is>
      </c>
      <c r="B10" s="64">
        <f>'Trade Data'!S5</f>
        <v/>
      </c>
      <c r="C10" s="64">
        <f>'Trade Data'!S7</f>
        <v/>
      </c>
      <c r="D10" s="64">
        <f>'Trade Data'!S10</f>
        <v/>
      </c>
      <c r="E10" s="64">
        <f>'Trade Data'!S12</f>
        <v/>
      </c>
      <c r="F10" s="67">
        <f>O+P
(CE MFE + PE MAE)</f>
        <v/>
      </c>
      <c r="G10" s="47" t="inlineStr">
        <is>
          <t>Scenario 2: CE is at its BEST while PE is at its WORST. Opposite of Scenario 1.</t>
        </is>
      </c>
      <c r="H10" s="47" t="inlineStr">
        <is>
          <t>Captures the downside move scenario where PE gets crushed while CE is fine.</t>
        </is>
      </c>
      <c r="I10" s="47" t="inlineStr"/>
    </row>
    <row r="11" ht="50" customHeight="1">
      <c r="A11" s="63" t="inlineStr">
        <is>
          <t>Final MAE
=MIN(NM1, NM2)</t>
        </is>
      </c>
      <c r="B11" s="64">
        <f>'Trade Data'!T5</f>
        <v/>
      </c>
      <c r="C11" s="64">
        <f>'Trade Data'!T7</f>
        <v/>
      </c>
      <c r="D11" s="64">
        <f>'Trade Data'!T10</f>
        <v/>
      </c>
      <c r="E11" s="64">
        <f>'Trade Data'!T12</f>
        <v/>
      </c>
      <c r="F11" s="65">
        <f>MIN(R,S)
worst of two scenarios</f>
        <v/>
      </c>
      <c r="G11" s="51" t="inlineStr">
        <is>
          <t>Takes the MORE CONSERVATIVE of Net MAE 1 and Net MAE 2. This is the best estimate of real live drawdown.</t>
        </is>
      </c>
      <c r="H11" s="51" t="inlineStr">
        <is>
          <t>Used as input to Lowest NAV. Negative = NAV dipped this many % from entry NAV. Positive = position was always profitable.</t>
        </is>
      </c>
      <c r="I11" s="51" t="inlineStr">
        <is>
          <t>If Final MAE &gt; 0, the strategy was always in profit intra-day → very favorable.</t>
        </is>
      </c>
    </row>
    <row r="12" ht="50" customHeight="1">
      <c r="A12" s="66" t="inlineStr">
        <is>
          <t>Lowest NAV
(Trade 1: =Cum)
(Trade N: =Prev×(1+T%))</t>
        </is>
      </c>
      <c r="B12" s="64">
        <f>'Trade Data'!Y5</f>
        <v/>
      </c>
      <c r="C12" s="64">
        <f>'Trade Data'!Y7</f>
        <v/>
      </c>
      <c r="D12" s="64">
        <f>'Trade Data'!Y10</f>
        <v/>
      </c>
      <c r="E12" s="64">
        <f>'Trade Data'!Y12</f>
        <v/>
      </c>
      <c r="F12" s="67" t="inlineStr">
        <is>
          <t>Trade 1: =U5
Trade N:
=U(n-1)*(1+T/100)</t>
        </is>
      </c>
      <c r="G12" s="47" t="inlineStr">
        <is>
          <t>Projects the LOWEST the portfolio NAV would reach during the trade window, using Final MAE as the % dip from the prior NAV.</t>
        </is>
      </c>
      <c r="H12" s="47" t="inlineStr">
        <is>
          <t>100-base value. If Trade 1 cumulative = 107.80, Lowest NAV of Trade 2 = 107.80 × (1 + Final MAE).</t>
        </is>
      </c>
      <c r="I12" s="47" t="inlineStr">
        <is>
          <t>This is NOT the booked exit — it is the worst intra-trade estimate.</t>
        </is>
      </c>
    </row>
    <row r="13" ht="50" customHeight="1">
      <c r="A13" s="63" t="inlineStr">
        <is>
          <t>Actual Live DD
=(Lowest NAV/Peak−1)×100</t>
        </is>
      </c>
      <c r="B13" s="64">
        <f>'Trade Data'!Z5</f>
        <v/>
      </c>
      <c r="C13" s="64">
        <f>'Trade Data'!Z7</f>
        <v/>
      </c>
      <c r="D13" s="64">
        <f>'Trade Data'!Z10</f>
        <v/>
      </c>
      <c r="E13" s="64">
        <f>'Trade Data'!Z12</f>
        <v/>
      </c>
      <c r="F13" s="65">
        <f>(Y/V−1)*100</f>
        <v/>
      </c>
      <c r="G13" s="51" t="inlineStr">
        <is>
          <t>How deep the NAV went vs the running peak DURING the trade. More conservative than booked %DD.</t>
        </is>
      </c>
      <c r="H13" s="51" t="inlineStr">
        <is>
          <t>Negative % = how far below peak the portfolio dipped live. E.g. −7.62 means at worst, NAV was 7.62% below its peak.</t>
        </is>
      </c>
      <c r="I13" s="51" t="inlineStr">
        <is>
          <t>Lower (more negative) = higher live risk. Used for CAR/MDD Live.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40" customWidth="1" min="10" max="10"/>
  </cols>
  <sheetData>
    <row r="1" ht="28" customHeight="1">
      <c r="A1" s="21" t="inlineStr">
        <is>
          <t>Equity Curve  —  Step-by-Step Walkthrough  (Cumulative NAV · Peak · DD · %DD · Lowest NAV · Actual Live DD)</t>
        </is>
      </c>
    </row>
    <row r="2" ht="16" customHeight="1">
      <c r="A2" s="22" t="inlineStr">
        <is>
          <t>Starting NAV = 100.  Cumulative compounds each trade.  Peak is a running maximum.  Drawdown = how far below the peak.</t>
        </is>
      </c>
    </row>
    <row r="4" ht="30" customHeight="1">
      <c r="A4" s="43" t="inlineStr">
        <is>
          <t>Trade #</t>
        </is>
      </c>
      <c r="B4" s="43" t="inlineStr">
        <is>
          <t>% P&amp;L
(input)</t>
        </is>
      </c>
      <c r="C4" s="43" t="inlineStr">
        <is>
          <t>Cumulative
(U)</t>
        </is>
      </c>
      <c r="D4" s="43" t="inlineStr">
        <is>
          <t>Peak
(V)</t>
        </is>
      </c>
      <c r="E4" s="43" t="inlineStr">
        <is>
          <t>DD pts
(W)</t>
        </is>
      </c>
      <c r="F4" s="43" t="inlineStr">
        <is>
          <t>%DD
(X)</t>
        </is>
      </c>
      <c r="G4" s="43" t="inlineStr">
        <is>
          <t>Final MAE
(T)</t>
        </is>
      </c>
      <c r="H4" s="43" t="inlineStr">
        <is>
          <t>Lowest NAV
(Y)</t>
        </is>
      </c>
      <c r="I4" s="43" t="inlineStr">
        <is>
          <t>Actual Live DD
(Z)</t>
        </is>
      </c>
      <c r="J4" s="43" t="inlineStr">
        <is>
          <t>Formula Applied</t>
        </is>
      </c>
    </row>
    <row r="5" ht="38" customHeight="1">
      <c r="A5" s="68" t="n">
        <v>1</v>
      </c>
      <c r="B5" s="69">
        <f>'Trade Data'!J5</f>
        <v/>
      </c>
      <c r="C5" s="70">
        <f>100*(1+'Trade Data'!J5/100)</f>
        <v/>
      </c>
      <c r="D5" s="70">
        <f>MAX(100,C5)</f>
        <v/>
      </c>
      <c r="E5" s="70">
        <f>IF(C5&lt;D5,C5-D5,0)</f>
        <v/>
      </c>
      <c r="F5" s="71">
        <f>IF(C5&lt;D5,E5/D5,0)</f>
        <v/>
      </c>
      <c r="G5" s="72">
        <f>'Trade Data'!T5</f>
        <v/>
      </c>
      <c r="H5" s="70">
        <f>C5</f>
        <v/>
      </c>
      <c r="I5" s="73">
        <f>(H5/D5-1)*100</f>
        <v/>
      </c>
      <c r="J5" s="51" t="inlineStr">
        <is>
          <t>Trade 1: Cum starts at 100. Peak = MAX(100, Cum). Lowest NAV = Cum (no prior trade).</t>
        </is>
      </c>
    </row>
    <row r="6" ht="38" customHeight="1">
      <c r="A6" s="68" t="n">
        <v>2</v>
      </c>
      <c r="B6" s="69">
        <f>'Trade Data'!J6</f>
        <v/>
      </c>
      <c r="C6" s="74">
        <f>C5*(1+'Trade Data'!J6/100)</f>
        <v/>
      </c>
      <c r="D6" s="74">
        <f>MAX(D5,C6)</f>
        <v/>
      </c>
      <c r="E6" s="74">
        <f>IF(C6&lt;D6,C6-D6,0)</f>
        <v/>
      </c>
      <c r="F6" s="75">
        <f>IF(C6&lt;D6,E6/D6,0)</f>
        <v/>
      </c>
      <c r="G6" s="72">
        <f>'Trade Data'!T6</f>
        <v/>
      </c>
      <c r="H6" s="74">
        <f>C5*(1+G6/100)</f>
        <v/>
      </c>
      <c r="I6" s="76">
        <f>(H6/D6-1)*100</f>
        <v/>
      </c>
      <c r="J6" s="47" t="inlineStr">
        <is>
          <t>Trade 2: Cum = prior Cum × growth. Lowest NAV = prior Cum × (1 + Final MAE %).</t>
        </is>
      </c>
    </row>
    <row r="7" ht="38" customHeight="1">
      <c r="A7" s="68" t="n">
        <v>3</v>
      </c>
      <c r="B7" s="69">
        <f>'Trade Data'!J7</f>
        <v/>
      </c>
      <c r="C7" s="70">
        <f>C6*(1+'Trade Data'!J7/100)</f>
        <v/>
      </c>
      <c r="D7" s="70">
        <f>MAX(D6,C7)</f>
        <v/>
      </c>
      <c r="E7" s="70">
        <f>IF(C7&lt;D7,C7-D7,0)</f>
        <v/>
      </c>
      <c r="F7" s="71">
        <f>IF(C7&lt;D7,E7/D7,0)</f>
        <v/>
      </c>
      <c r="G7" s="72">
        <f>'Trade Data'!T7</f>
        <v/>
      </c>
      <c r="H7" s="70">
        <f>C6*(1+G7/100)</f>
        <v/>
      </c>
      <c r="I7" s="73">
        <f>(H7/D7-1)*100</f>
        <v/>
      </c>
      <c r="J7" s="51" t="inlineStr">
        <is>
          <t>Trade 3 is a LOSS → Cum &lt; Peak → DD and %DD become negative. Peak stays at prior high.</t>
        </is>
      </c>
    </row>
    <row r="8" ht="38" customHeight="1">
      <c r="A8" s="68" t="n">
        <v>4</v>
      </c>
      <c r="B8" s="69">
        <f>'Trade Data'!J8</f>
        <v/>
      </c>
      <c r="C8" s="74">
        <f>C7*(1+'Trade Data'!J8/100)</f>
        <v/>
      </c>
      <c r="D8" s="74">
        <f>MAX(D7,C8)</f>
        <v/>
      </c>
      <c r="E8" s="74">
        <f>IF(C8&lt;D8,C8-D8,0)</f>
        <v/>
      </c>
      <c r="F8" s="75">
        <f>IF(C8&lt;D8,E8/D8,0)</f>
        <v/>
      </c>
      <c r="G8" s="72">
        <f>'Trade Data'!T8</f>
        <v/>
      </c>
      <c r="H8" s="74">
        <f>C7*(1+G8/100)</f>
        <v/>
      </c>
      <c r="I8" s="76">
        <f>(H8/D8-1)*100</f>
        <v/>
      </c>
      <c r="J8" s="47" t="inlineStr">
        <is>
          <t>Trade 4: Strong win. New equity high → Peak updates → DD resets to 0.</t>
        </is>
      </c>
    </row>
    <row r="11" ht="18" customHeight="1">
      <c r="A11" s="44" t="inlineStr">
        <is>
          <t xml:space="preserve">  KEY FORMULAS  (reference row n, previous row n−1)</t>
        </is>
      </c>
    </row>
    <row r="12" ht="22" customHeight="1">
      <c r="A12" s="77" t="inlineStr">
        <is>
          <t>Cumulative (n=1)</t>
        </is>
      </c>
      <c r="B12" s="78">
        <f>100 × (1 + %P&amp;L/100)</f>
        <v/>
      </c>
      <c r="C12" s="79" t="inlineStr">
        <is>
          <t>Starts at 100. Each trade multiplies the running NAV.</t>
        </is>
      </c>
      <c r="D12" s="80" t="n"/>
      <c r="E12" s="80" t="n"/>
      <c r="F12" s="80" t="n"/>
      <c r="G12" s="80" t="n"/>
      <c r="H12" s="80" t="n"/>
      <c r="I12" s="80" t="n"/>
      <c r="J12" s="81" t="n"/>
    </row>
    <row r="13" ht="22" customHeight="1">
      <c r="A13" s="77" t="inlineStr">
        <is>
          <t>Cumulative (n&gt;1)</t>
        </is>
      </c>
      <c r="B13" s="82">
        <f>Cum(n−1) × (1 + %P&amp;L/100)</f>
        <v/>
      </c>
      <c r="C13" s="83" t="inlineStr">
        <is>
          <t>Compounded: a +5% trade on NAV 107.80 → 107.80 × 1.05 = 113.19</t>
        </is>
      </c>
      <c r="D13" s="80" t="n"/>
      <c r="E13" s="80" t="n"/>
      <c r="F13" s="80" t="n"/>
      <c r="G13" s="80" t="n"/>
      <c r="H13" s="80" t="n"/>
      <c r="I13" s="80" t="n"/>
      <c r="J13" s="81" t="n"/>
    </row>
    <row r="14" ht="22" customHeight="1">
      <c r="A14" s="77" t="inlineStr">
        <is>
          <t>Peak (n=1)</t>
        </is>
      </c>
      <c r="B14" s="78">
        <f>MAX(100, Cum)</f>
        <v/>
      </c>
      <c r="C14" s="79" t="inlineStr">
        <is>
          <t>First trade: peak is max of starting 100 and post-trade NAV.</t>
        </is>
      </c>
      <c r="D14" s="80" t="n"/>
      <c r="E14" s="80" t="n"/>
      <c r="F14" s="80" t="n"/>
      <c r="G14" s="80" t="n"/>
      <c r="H14" s="80" t="n"/>
      <c r="I14" s="80" t="n"/>
      <c r="J14" s="81" t="n"/>
    </row>
    <row r="15" ht="22" customHeight="1">
      <c r="A15" s="77" t="inlineStr">
        <is>
          <t>Peak (n&gt;1)</t>
        </is>
      </c>
      <c r="B15" s="82">
        <f>MAX(Peak(n−1), Cum)</f>
        <v/>
      </c>
      <c r="C15" s="83" t="inlineStr">
        <is>
          <t>Running maximum — never decreases. New high → Peak = Cum.</t>
        </is>
      </c>
      <c r="D15" s="80" t="n"/>
      <c r="E15" s="80" t="n"/>
      <c r="F15" s="80" t="n"/>
      <c r="G15" s="80" t="n"/>
      <c r="H15" s="80" t="n"/>
      <c r="I15" s="80" t="n"/>
      <c r="J15" s="81" t="n"/>
    </row>
    <row r="16" ht="22" customHeight="1">
      <c r="A16" s="77" t="inlineStr">
        <is>
          <t>DD Points</t>
        </is>
      </c>
      <c r="B16" s="78">
        <f>IF(Cum &lt; Peak, Cum−Peak, 0)</f>
        <v/>
      </c>
      <c r="C16" s="79" t="inlineStr">
        <is>
          <t>Zero at equity highs. Negative below peak.</t>
        </is>
      </c>
      <c r="D16" s="80" t="n"/>
      <c r="E16" s="80" t="n"/>
      <c r="F16" s="80" t="n"/>
      <c r="G16" s="80" t="n"/>
      <c r="H16" s="80" t="n"/>
      <c r="I16" s="80" t="n"/>
      <c r="J16" s="81" t="n"/>
    </row>
    <row r="17" ht="22" customHeight="1">
      <c r="A17" s="77" t="inlineStr">
        <is>
          <t>%DD</t>
        </is>
      </c>
      <c r="B17" s="82">
        <f>IF(Cum &lt; Peak, DD/Peak, 0)</f>
        <v/>
      </c>
      <c r="C17" s="83" t="inlineStr">
        <is>
          <t>Fraction of peak lost. Format as 0.00% to display correctly.</t>
        </is>
      </c>
      <c r="D17" s="80" t="n"/>
      <c r="E17" s="80" t="n"/>
      <c r="F17" s="80" t="n"/>
      <c r="G17" s="80" t="n"/>
      <c r="H17" s="80" t="n"/>
      <c r="I17" s="80" t="n"/>
      <c r="J17" s="81" t="n"/>
    </row>
    <row r="18" ht="22" customHeight="1">
      <c r="A18" s="77" t="inlineStr">
        <is>
          <t>Lowest NAV (n=1)</t>
        </is>
      </c>
      <c r="B18" s="78">
        <f>Cum</f>
        <v/>
      </c>
      <c r="C18" s="79" t="inlineStr">
        <is>
          <t>First trade: we assume no dip below cumulative.</t>
        </is>
      </c>
      <c r="D18" s="80" t="n"/>
      <c r="E18" s="80" t="n"/>
      <c r="F18" s="80" t="n"/>
      <c r="G18" s="80" t="n"/>
      <c r="H18" s="80" t="n"/>
      <c r="I18" s="80" t="n"/>
      <c r="J18" s="81" t="n"/>
    </row>
    <row r="19" ht="22" customHeight="1">
      <c r="A19" s="77" t="inlineStr">
        <is>
          <t>Lowest NAV (n&gt;1)</t>
        </is>
      </c>
      <c r="B19" s="82">
        <f>Cum(n−1) × (1 + FinalMAE/100)</f>
        <v/>
      </c>
      <c r="C19" s="83" t="inlineStr">
        <is>
          <t>Where FinalMAE is already in % (e.g. −4.13 = −4.13%).</t>
        </is>
      </c>
      <c r="D19" s="80" t="n"/>
      <c r="E19" s="80" t="n"/>
      <c r="F19" s="80" t="n"/>
      <c r="G19" s="80" t="n"/>
      <c r="H19" s="80" t="n"/>
      <c r="I19" s="80" t="n"/>
      <c r="J19" s="81" t="n"/>
    </row>
    <row r="20" ht="22" customHeight="1">
      <c r="A20" s="77" t="inlineStr">
        <is>
          <t>Actual Live DD</t>
        </is>
      </c>
      <c r="B20" s="78">
        <f>(Lowest NAV / Peak − 1) × 100</f>
        <v/>
      </c>
      <c r="C20" s="79" t="inlineStr">
        <is>
          <t>Negative % = how deep below peak the portfolio dipped intra-trade.</t>
        </is>
      </c>
      <c r="D20" s="80" t="n"/>
      <c r="E20" s="80" t="n"/>
      <c r="F20" s="80" t="n"/>
      <c r="G20" s="80" t="n"/>
      <c r="H20" s="80" t="n"/>
      <c r="I20" s="80" t="n"/>
      <c r="J20" s="81" t="n"/>
    </row>
    <row r="21" ht="22" customHeight="1">
      <c r="A21" s="77" t="inlineStr">
        <is>
          <t>Spot Cumulative (n=1)</t>
        </is>
      </c>
      <c r="B21" s="82">
        <f>100 × (Exit Spot / Entry Spot)</f>
        <v/>
      </c>
      <c r="C21" s="83" t="inlineStr">
        <is>
          <t>Tracks what a buy-and-hold investor would have.</t>
        </is>
      </c>
      <c r="D21" s="80" t="n"/>
      <c r="E21" s="80" t="n"/>
      <c r="F21" s="80" t="n"/>
      <c r="G21" s="80" t="n"/>
      <c r="H21" s="80" t="n"/>
      <c r="I21" s="80" t="n"/>
      <c r="J21" s="81" t="n"/>
    </row>
    <row r="22" ht="22" customHeight="1">
      <c r="A22" s="77" t="inlineStr">
        <is>
          <t>Spot Cumulative (n&gt;1)</t>
        </is>
      </c>
      <c r="B22" s="78">
        <f>SpotCum(n−1) × (Exit Spot / Entry Spot)</f>
        <v/>
      </c>
      <c r="C22" s="79" t="inlineStr">
        <is>
          <t>Compounded across all trade windows.</t>
        </is>
      </c>
      <c r="D22" s="80" t="n"/>
      <c r="E22" s="80" t="n"/>
      <c r="F22" s="80" t="n"/>
      <c r="G22" s="80" t="n"/>
      <c r="H22" s="80" t="n"/>
      <c r="I22" s="80" t="n"/>
      <c r="J22" s="81" t="n"/>
    </row>
    <row r="23" ht="22" customHeight="1">
      <c r="A23" s="77" t="inlineStr">
        <is>
          <t>CAGR Options</t>
        </is>
      </c>
      <c r="B23" s="82">
        <f>(Final Cum / 100)^(1/Years) − 1</f>
        <v/>
      </c>
      <c r="C23" s="83" t="inlineStr">
        <is>
          <t>Years = (Last Exit − First Entry) / 365.25. Result is a decimal — format as %.</t>
        </is>
      </c>
      <c r="D23" s="80" t="n"/>
      <c r="E23" s="80" t="n"/>
      <c r="F23" s="80" t="n"/>
      <c r="G23" s="80" t="n"/>
      <c r="H23" s="80" t="n"/>
      <c r="I23" s="80" t="n"/>
      <c r="J23" s="81" t="n"/>
    </row>
  </sheetData>
  <mergeCells count="15">
    <mergeCell ref="A1:J1"/>
    <mergeCell ref="C12:J12"/>
    <mergeCell ref="C17:J17"/>
    <mergeCell ref="C23:J23"/>
    <mergeCell ref="C21:J21"/>
    <mergeCell ref="C20:J20"/>
    <mergeCell ref="C15:J15"/>
    <mergeCell ref="C16:J16"/>
    <mergeCell ref="C14:J14"/>
    <mergeCell ref="C13:J13"/>
    <mergeCell ref="A2:J2"/>
    <mergeCell ref="C19:J19"/>
    <mergeCell ref="C22:J22"/>
    <mergeCell ref="C18:J18"/>
    <mergeCell ref="A11:J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22" customWidth="1" min="3" max="3"/>
    <col width="16" customWidth="1" min="4" max="4"/>
  </cols>
  <sheetData>
    <row r="1" ht="30" customHeight="1">
      <c r="A1" s="84" t="inlineStr">
        <is>
          <t>AlgoTest  ·  Formula Cheat Sheet  —  All Metrics in One View</t>
        </is>
      </c>
    </row>
    <row r="2" ht="16" customHeight="1">
      <c r="A2" s="22" t="inlineStr">
        <is>
          <t>Blue text = input  ·  Green text = Excel formula  ·  All formulas assume: data in rows 5:14, columns as per Trade Data sheet</t>
        </is>
      </c>
    </row>
    <row r="4" ht="20" customHeight="1">
      <c r="A4" s="43" t="inlineStr">
        <is>
          <t>Metric / Column</t>
        </is>
      </c>
      <c r="B4" s="43" t="inlineStr">
        <is>
          <t>Excel Formula (generic row = n)</t>
        </is>
      </c>
      <c r="C4" s="43" t="inlineStr">
        <is>
          <t>Example Result</t>
        </is>
      </c>
      <c r="D4" s="43" t="inlineStr">
        <is>
          <t>Category</t>
        </is>
      </c>
    </row>
    <row r="5" ht="18" customHeight="1">
      <c r="A5" s="44" t="inlineStr">
        <is>
          <t>TRADE DATA COLUMNS</t>
        </is>
      </c>
    </row>
    <row r="6" ht="22" customHeight="1">
      <c r="A6" s="68" t="inlineStr">
        <is>
          <t>Net P&amp;L (₹)</t>
        </is>
      </c>
      <c r="B6" s="67">
        <f>F+G  (CE P&amp;L + PE P&amp;L)</f>
        <v/>
      </c>
      <c r="C6" s="85" t="inlineStr">
        <is>
          <t>₹1,700</t>
        </is>
      </c>
      <c r="D6" s="86" t="inlineStr">
        <is>
          <t>P&amp;L</t>
        </is>
      </c>
    </row>
    <row r="7" ht="22" customHeight="1">
      <c r="A7" s="68" t="inlineStr">
        <is>
          <t>Spot P&amp;L (₹)</t>
        </is>
      </c>
      <c r="B7" s="65">
        <f>E−D  (Exit Spot − Entry Spot)</f>
        <v/>
      </c>
      <c r="C7" s="87" t="inlineStr">
        <is>
          <t>₹250</t>
        </is>
      </c>
      <c r="D7" s="86" t="inlineStr">
        <is>
          <t>Spot</t>
        </is>
      </c>
    </row>
    <row r="8" ht="22" customHeight="1">
      <c r="A8" s="68" t="inlineStr">
        <is>
          <t>% P&amp;L</t>
        </is>
      </c>
      <c r="B8" s="67">
        <f>H/D*100  (Net P&amp;L ÷ Entry Spot × 100)</f>
        <v/>
      </c>
      <c r="C8" s="88" t="inlineStr">
        <is>
          <t>+7.7982</t>
        </is>
      </c>
      <c r="D8" s="86" t="inlineStr">
        <is>
          <t>P&amp;L</t>
        </is>
      </c>
    </row>
    <row r="9" ht="22" customHeight="1">
      <c r="A9" s="68" t="inlineStr">
        <is>
          <t>Spot P&amp;L %</t>
        </is>
      </c>
      <c r="B9" s="65">
        <f>I/D*100  (Spot P&amp;L ÷ Entry Spot × 100)</f>
        <v/>
      </c>
      <c r="C9" s="89" t="inlineStr">
        <is>
          <t>+1.1468</t>
        </is>
      </c>
      <c r="D9" s="86" t="inlineStr">
        <is>
          <t>Spot</t>
        </is>
      </c>
    </row>
    <row r="10" ht="22" customHeight="1">
      <c r="A10" s="68" t="inlineStr">
        <is>
          <t>CE P&amp;L %</t>
        </is>
      </c>
      <c r="B10" s="67">
        <f>F/D*100</f>
        <v/>
      </c>
      <c r="C10" s="90" t="inlineStr">
        <is>
          <t>−6.8807</t>
        </is>
      </c>
      <c r="D10" s="86" t="inlineStr">
        <is>
          <t>P&amp;L</t>
        </is>
      </c>
    </row>
    <row r="11" ht="22" customHeight="1">
      <c r="A11" s="68" t="inlineStr">
        <is>
          <t>PE P&amp;L %</t>
        </is>
      </c>
      <c r="B11" s="65">
        <f>G/D*100</f>
        <v/>
      </c>
      <c r="C11" s="89" t="inlineStr">
        <is>
          <t>+14.6789</t>
        </is>
      </c>
      <c r="D11" s="86" t="inlineStr">
        <is>
          <t>P&amp;L</t>
        </is>
      </c>
    </row>
    <row r="12" ht="22" customHeight="1">
      <c r="A12" s="68" t="inlineStr">
        <is>
          <t>Net MAE 1</t>
        </is>
      </c>
      <c r="B12" s="67">
        <f>N+Q  (CE_MAE% + PE_MFE%)</f>
        <v/>
      </c>
      <c r="C12" s="90" t="inlineStr">
        <is>
          <t>−4.1300</t>
        </is>
      </c>
      <c r="D12" s="91" t="inlineStr">
        <is>
          <t>MAE</t>
        </is>
      </c>
    </row>
    <row r="13" ht="22" customHeight="1">
      <c r="A13" s="68" t="inlineStr">
        <is>
          <t>Net MAE 2</t>
        </is>
      </c>
      <c r="B13" s="65">
        <f>O+P  (CE_MFE% + PE_MAE%)</f>
        <v/>
      </c>
      <c r="C13" s="92" t="inlineStr">
        <is>
          <t>−0.3300</t>
        </is>
      </c>
      <c r="D13" s="91" t="inlineStr">
        <is>
          <t>MAE</t>
        </is>
      </c>
    </row>
    <row r="14" ht="22" customHeight="1">
      <c r="A14" s="68" t="inlineStr">
        <is>
          <t>Final MAE</t>
        </is>
      </c>
      <c r="B14" s="67">
        <f>MIN(R,S)  → worst scenario</f>
        <v/>
      </c>
      <c r="C14" s="90" t="inlineStr">
        <is>
          <t>−4.1300</t>
        </is>
      </c>
      <c r="D14" s="91" t="inlineStr">
        <is>
          <t>MAE</t>
        </is>
      </c>
    </row>
    <row r="15" ht="22" customHeight="1">
      <c r="A15" s="68" t="inlineStr">
        <is>
          <t>Cumulative NAV (n=1)</t>
        </is>
      </c>
      <c r="B15" s="65">
        <f>100*(1+J/100)</f>
        <v/>
      </c>
      <c r="C15" s="87" t="inlineStr">
        <is>
          <t>107.80</t>
        </is>
      </c>
      <c r="D15" s="93" t="inlineStr">
        <is>
          <t>NAV</t>
        </is>
      </c>
    </row>
    <row r="16" ht="22" customHeight="1">
      <c r="A16" s="68" t="inlineStr">
        <is>
          <t>Cumulative NAV (n&gt;1)</t>
        </is>
      </c>
      <c r="B16" s="67">
        <f>U(n−1)*(1+J/100)</f>
        <v/>
      </c>
      <c r="C16" s="85" t="inlineStr">
        <is>
          <t>115.63</t>
        </is>
      </c>
      <c r="D16" s="93" t="inlineStr">
        <is>
          <t>NAV</t>
        </is>
      </c>
    </row>
    <row r="17" ht="22" customHeight="1">
      <c r="A17" s="68" t="inlineStr">
        <is>
          <t>Peak NAV (n=1)</t>
        </is>
      </c>
      <c r="B17" s="65">
        <f>MAX(100,U)</f>
        <v/>
      </c>
      <c r="C17" s="87" t="inlineStr">
        <is>
          <t>107.80</t>
        </is>
      </c>
      <c r="D17" s="93" t="inlineStr">
        <is>
          <t>NAV</t>
        </is>
      </c>
    </row>
    <row r="18" ht="22" customHeight="1">
      <c r="A18" s="68" t="inlineStr">
        <is>
          <t>Peak NAV (n&gt;1)</t>
        </is>
      </c>
      <c r="B18" s="67">
        <f>MAX(V(n−1),U)</f>
        <v/>
      </c>
      <c r="C18" s="85" t="inlineStr">
        <is>
          <t>115.63</t>
        </is>
      </c>
      <c r="D18" s="93" t="inlineStr">
        <is>
          <t>NAV</t>
        </is>
      </c>
    </row>
    <row r="19" ht="22" customHeight="1">
      <c r="A19" s="68" t="inlineStr">
        <is>
          <t>DD Points</t>
        </is>
      </c>
      <c r="B19" s="65">
        <f>IF(U&lt;V, U−V, 0)</f>
        <v/>
      </c>
      <c r="C19" s="92" t="inlineStr">
        <is>
          <t>−11.09</t>
        </is>
      </c>
      <c r="D19" s="94" t="inlineStr">
        <is>
          <t>DD</t>
        </is>
      </c>
    </row>
    <row r="20" ht="22" customHeight="1">
      <c r="A20" s="68" t="inlineStr">
        <is>
          <t>%DD</t>
        </is>
      </c>
      <c r="B20" s="67">
        <f>IF(U&lt;V, W/V, 0)   → format as 0.00%</f>
        <v/>
      </c>
      <c r="C20" s="90" t="inlineStr">
        <is>
          <t>−9.59%</t>
        </is>
      </c>
      <c r="D20" s="94" t="inlineStr">
        <is>
          <t>DD</t>
        </is>
      </c>
    </row>
    <row r="21" ht="22" customHeight="1">
      <c r="A21" s="68" t="inlineStr">
        <is>
          <t>Lowest NAV (n=1)</t>
        </is>
      </c>
      <c r="B21" s="65">
        <f>U</f>
        <v/>
      </c>
      <c r="C21" s="87" t="inlineStr">
        <is>
          <t>107.80</t>
        </is>
      </c>
      <c r="D21" s="94" t="inlineStr">
        <is>
          <t>LiveDD</t>
        </is>
      </c>
    </row>
    <row r="22" ht="22" customHeight="1">
      <c r="A22" s="68" t="inlineStr">
        <is>
          <t>Lowest NAV (n&gt;1)</t>
        </is>
      </c>
      <c r="B22" s="67">
        <f>U(n−1)*(1+T/100)</f>
        <v/>
      </c>
      <c r="C22" s="85" t="inlineStr">
        <is>
          <t>106.82</t>
        </is>
      </c>
      <c r="D22" s="94" t="inlineStr">
        <is>
          <t>LiveDD</t>
        </is>
      </c>
    </row>
    <row r="23" ht="22" customHeight="1">
      <c r="A23" s="68" t="inlineStr">
        <is>
          <t>Actual Live DD</t>
        </is>
      </c>
      <c r="B23" s="65">
        <f>(Y/V−1)*100</f>
        <v/>
      </c>
      <c r="C23" s="92" t="inlineStr">
        <is>
          <t>−7.62</t>
        </is>
      </c>
      <c r="D23" s="94" t="inlineStr">
        <is>
          <t>LiveDD</t>
        </is>
      </c>
    </row>
    <row r="24" ht="22" customHeight="1">
      <c r="A24" s="68" t="inlineStr">
        <is>
          <t>Spot Cumulative (n=1)</t>
        </is>
      </c>
      <c r="B24" s="67">
        <f>100*(E/D)</f>
        <v/>
      </c>
      <c r="C24" s="85" t="inlineStr">
        <is>
          <t>101.15</t>
        </is>
      </c>
      <c r="D24" s="86" t="inlineStr">
        <is>
          <t>Spot</t>
        </is>
      </c>
    </row>
    <row r="25" ht="22" customHeight="1">
      <c r="A25" s="68" t="inlineStr">
        <is>
          <t>Spot Cumulative (n&gt;1)</t>
        </is>
      </c>
      <c r="B25" s="65">
        <f>AA(n−1)*(E/D)</f>
        <v/>
      </c>
      <c r="C25" s="87" t="inlineStr">
        <is>
          <t>100.24</t>
        </is>
      </c>
      <c r="D25" s="86" t="inlineStr">
        <is>
          <t>Spot</t>
        </is>
      </c>
    </row>
    <row r="26" ht="18" customHeight="1">
      <c r="A26" s="44" t="inlineStr">
        <is>
          <t>SUMMARY METRICS</t>
        </is>
      </c>
    </row>
    <row r="27" ht="22" customHeight="1">
      <c r="A27" s="68" t="inlineStr">
        <is>
          <t>Total Trades</t>
        </is>
      </c>
      <c r="B27" s="65">
        <f>COUNTA(H5:H14)</f>
        <v/>
      </c>
      <c r="C27" s="87" t="inlineStr">
        <is>
          <t>10</t>
        </is>
      </c>
      <c r="D27" s="95" t="inlineStr">
        <is>
          <t>Summary</t>
        </is>
      </c>
    </row>
    <row r="28" ht="22" customHeight="1">
      <c r="A28" s="68" t="inlineStr">
        <is>
          <t>Win %</t>
        </is>
      </c>
      <c r="B28" s="67">
        <f>COUNTIF(J5:J14,"&gt;0")/COUNTA(H5:H14)*100</f>
        <v/>
      </c>
      <c r="C28" s="85" t="inlineStr">
        <is>
          <t>80.00</t>
        </is>
      </c>
      <c r="D28" s="95" t="inlineStr">
        <is>
          <t>Summary</t>
        </is>
      </c>
    </row>
    <row r="29" ht="22" customHeight="1">
      <c r="A29" s="68" t="inlineStr">
        <is>
          <t>Loss %</t>
        </is>
      </c>
      <c r="B29" s="65">
        <f>COUNTIF(J5:J14,"&lt;0")/COUNTA(H5:H14)*100</f>
        <v/>
      </c>
      <c r="C29" s="87" t="inlineStr">
        <is>
          <t>20.00</t>
        </is>
      </c>
      <c r="D29" s="95" t="inlineStr">
        <is>
          <t>Summary</t>
        </is>
      </c>
    </row>
    <row r="30" ht="22" customHeight="1">
      <c r="A30" s="68" t="inlineStr">
        <is>
          <t>Overall Profit</t>
        </is>
      </c>
      <c r="B30" s="67">
        <f>SUM(J5:J14)</f>
        <v/>
      </c>
      <c r="C30" s="88" t="inlineStr">
        <is>
          <t>+96.39</t>
        </is>
      </c>
      <c r="D30" s="95" t="inlineStr">
        <is>
          <t>Summary</t>
        </is>
      </c>
    </row>
    <row r="31" ht="22" customHeight="1">
      <c r="A31" s="68" t="inlineStr">
        <is>
          <t>Avg Win %</t>
        </is>
      </c>
      <c r="B31" s="65">
        <f>AVERAGEIF(J5:J14,"&gt;0",J5:J14)</f>
        <v/>
      </c>
      <c r="C31" s="89" t="inlineStr">
        <is>
          <t>+11.50</t>
        </is>
      </c>
      <c r="D31" s="95" t="inlineStr">
        <is>
          <t>Summary</t>
        </is>
      </c>
    </row>
    <row r="32" ht="22" customHeight="1">
      <c r="A32" s="68" t="inlineStr">
        <is>
          <t>Avg Loss %</t>
        </is>
      </c>
      <c r="B32" s="67">
        <f>AVERAGEIF(J5:J14,"&lt;0",J5:J14)</f>
        <v/>
      </c>
      <c r="C32" s="90" t="inlineStr">
        <is>
          <t>−8.94</t>
        </is>
      </c>
      <c r="D32" s="95" t="inlineStr">
        <is>
          <t>Summary</t>
        </is>
      </c>
    </row>
    <row r="33" ht="22" customHeight="1">
      <c r="A33" s="68" t="inlineStr">
        <is>
          <t>Expectancy Ratio</t>
        </is>
      </c>
      <c r="B33" s="65">
        <f>(COUNTIF(J,"&gt;0")/COUNTA(H)*AVERAGEIF(J,"&gt;0",J))/ABS(AVERAGEIF(J,"&lt;0",J))−(1−COUNTIF(J,"&gt;0")/COUNTA(H))</f>
        <v/>
      </c>
      <c r="C33" s="89" t="inlineStr">
        <is>
          <t>+1.793</t>
        </is>
      </c>
      <c r="D33" s="95" t="inlineStr">
        <is>
          <t>Summary</t>
        </is>
      </c>
    </row>
    <row r="34" ht="22" customHeight="1">
      <c r="A34" s="68" t="inlineStr">
        <is>
          <t>CAGR Options</t>
        </is>
      </c>
      <c r="B34" s="67">
        <f>(U_last/100)^(1/Years)−1   format as 0.00%</f>
        <v/>
      </c>
      <c r="C34" s="88" t="inlineStr">
        <is>
          <t>+123.4%</t>
        </is>
      </c>
      <c r="D34" s="96" t="inlineStr">
        <is>
          <t>CAGR</t>
        </is>
      </c>
    </row>
    <row r="35" ht="22" customHeight="1">
      <c r="A35" s="68" t="inlineStr">
        <is>
          <t>CAGR Spot</t>
        </is>
      </c>
      <c r="B35" s="65">
        <f>(AA_last/100)^(1/Years)−1  format as 0.00%</f>
        <v/>
      </c>
      <c r="C35" s="89" t="inlineStr">
        <is>
          <t>+1.2%</t>
        </is>
      </c>
      <c r="D35" s="96" t="inlineStr">
        <is>
          <t>CAGR</t>
        </is>
      </c>
    </row>
    <row r="36" ht="22" customHeight="1">
      <c r="A36" s="68" t="inlineStr">
        <is>
          <t>Years</t>
        </is>
      </c>
      <c r="B36" s="67">
        <f>(MAX(C5:C14)−MIN(B5:B14))/365.25</f>
        <v/>
      </c>
      <c r="C36" s="85" t="inlineStr">
        <is>
          <t>0.38</t>
        </is>
      </c>
      <c r="D36" s="96" t="inlineStr">
        <is>
          <t>CAGR</t>
        </is>
      </c>
    </row>
    <row r="37" ht="22" customHeight="1">
      <c r="A37" s="68" t="inlineStr">
        <is>
          <t>Max Drawdown %</t>
        </is>
      </c>
      <c r="B37" s="65">
        <f>MIN(X5:X14)*100</f>
        <v/>
      </c>
      <c r="C37" s="92" t="inlineStr">
        <is>
          <t>−9.59</t>
        </is>
      </c>
      <c r="D37" s="97" t="inlineStr">
        <is>
          <t>Risk</t>
        </is>
      </c>
    </row>
    <row r="38" ht="22" customHeight="1">
      <c r="A38" s="68" t="inlineStr">
        <is>
          <t>CAR/MDD (Booked)</t>
        </is>
      </c>
      <c r="B38" s="67">
        <f>CAGR_pct/ABS(MaxDD_pct)</f>
        <v/>
      </c>
      <c r="C38" s="85" t="inlineStr">
        <is>
          <t>12.88</t>
        </is>
      </c>
      <c r="D38" s="97" t="inlineStr">
        <is>
          <t>Risk</t>
        </is>
      </c>
    </row>
    <row r="39" ht="22" customHeight="1">
      <c r="A39" s="68" t="inlineStr">
        <is>
          <t>CAR/MDD (Live)</t>
        </is>
      </c>
      <c r="B39" s="65">
        <f>CAGR_pct/ABS(LiveDD_min/100)</f>
        <v/>
      </c>
      <c r="C39" s="87" t="inlineStr">
        <is>
          <t>varies</t>
        </is>
      </c>
      <c r="D39" s="97" t="inlineStr">
        <is>
          <t>Risk</t>
        </is>
      </c>
    </row>
    <row r="40" ht="22" customHeight="1">
      <c r="A40" s="68" t="inlineStr">
        <is>
          <t>Recovery Factor</t>
        </is>
      </c>
      <c r="B40" s="67">
        <f>SUM(H5:H14)/ABS(MIN(H5:H14))</f>
        <v/>
      </c>
      <c r="C40" s="85" t="inlineStr">
        <is>
          <t>7.42</t>
        </is>
      </c>
      <c r="D40" s="97" t="inlineStr">
        <is>
          <t>Risk</t>
        </is>
      </c>
    </row>
    <row r="41" ht="18" customHeight="1">
      <c r="A41" s="44" t="inlineStr">
        <is>
          <t>OUTLIER ANALYSIS</t>
        </is>
      </c>
    </row>
    <row r="42" ht="22" customHeight="1">
      <c r="A42" s="68" t="inlineStr">
        <is>
          <t>+ve Outlier 1</t>
        </is>
      </c>
      <c r="B42" s="67">
        <f>LARGE(J5:J14,1)</f>
        <v/>
      </c>
      <c r="C42" s="88" t="inlineStr">
        <is>
          <t>+29.39</t>
        </is>
      </c>
      <c r="D42" s="98" t="inlineStr">
        <is>
          <t>Outlier</t>
        </is>
      </c>
    </row>
    <row r="43" ht="22" customHeight="1">
      <c r="A43" s="68" t="inlineStr">
        <is>
          <t>+ve Outlier 2</t>
        </is>
      </c>
      <c r="B43" s="65">
        <f>LARGE(J5:J14,1)+LARGE(J5:J14,2)</f>
        <v/>
      </c>
      <c r="C43" s="89" t="inlineStr">
        <is>
          <t>+53.83</t>
        </is>
      </c>
      <c r="D43" s="98" t="inlineStr">
        <is>
          <t>Outlier</t>
        </is>
      </c>
    </row>
    <row r="44" ht="22" customHeight="1">
      <c r="A44" s="68" t="inlineStr">
        <is>
          <t>+ve Outlier 3</t>
        </is>
      </c>
      <c r="B44" s="67">
        <f>LARGE(J5:J14,1)+LARGE(J5:J14,2)+LARGE(J5:J14,3)</f>
        <v/>
      </c>
      <c r="C44" s="88" t="inlineStr">
        <is>
          <t>+64.54</t>
        </is>
      </c>
      <c r="D44" s="98" t="inlineStr">
        <is>
          <t>Outlier</t>
        </is>
      </c>
    </row>
    <row r="45" ht="22" customHeight="1">
      <c r="A45" s="68" t="inlineStr">
        <is>
          <t>−ve Outlier 1</t>
        </is>
      </c>
      <c r="B45" s="65">
        <f>SMALL(J5:J14,1)</f>
        <v/>
      </c>
      <c r="C45" s="92" t="inlineStr">
        <is>
          <t>−9.59</t>
        </is>
      </c>
      <c r="D45" s="98" t="inlineStr">
        <is>
          <t>Outlier</t>
        </is>
      </c>
    </row>
    <row r="46" ht="22" customHeight="1">
      <c r="A46" s="68" t="inlineStr">
        <is>
          <t>−ve Outlier 2</t>
        </is>
      </c>
      <c r="B46" s="67">
        <f>SMALL(J5:J14,1)+SMALL(J5:J14,2)</f>
        <v/>
      </c>
      <c r="C46" s="90" t="inlineStr">
        <is>
          <t>−17.88</t>
        </is>
      </c>
      <c r="D46" s="98" t="inlineStr">
        <is>
          <t>Outlier</t>
        </is>
      </c>
    </row>
    <row r="47" ht="22" customHeight="1">
      <c r="A47" s="68" t="inlineStr">
        <is>
          <t>P&amp;L Without Outlier 1</t>
        </is>
      </c>
      <c r="B47" s="65">
        <f>SUM(J5:J14)−LARGE(J,1)−SMALL(J,1)</f>
        <v/>
      </c>
      <c r="C47" s="89" t="inlineStr">
        <is>
          <t>+76.59</t>
        </is>
      </c>
      <c r="D47" s="98" t="inlineStr">
        <is>
          <t>Outlier</t>
        </is>
      </c>
    </row>
    <row r="48" ht="22" customHeight="1">
      <c r="A48" s="68" t="inlineStr">
        <is>
          <t>P&amp;L Without Outlier 2</t>
        </is>
      </c>
      <c r="B48" s="67">
        <f>SUM(J)−(LARGE(J,1)+LARGE(J,2))−(SMALL(J,1)+SMALL(J,2))</f>
        <v/>
      </c>
      <c r="C48" s="85" t="inlineStr">
        <is>
          <t>vars</t>
        </is>
      </c>
      <c r="D48" s="98" t="inlineStr">
        <is>
          <t>Outlier</t>
        </is>
      </c>
    </row>
    <row r="49" ht="18" customHeight="1">
      <c r="A49" s="44" t="inlineStr">
        <is>
          <t>MONTHLY RETURNS</t>
        </is>
      </c>
    </row>
    <row r="50" ht="22" customHeight="1">
      <c r="A50" s="68" t="inlineStr">
        <is>
          <t>Month P&amp;L (₹)</t>
        </is>
      </c>
      <c r="B50" s="67">
        <f>SUMPRODUCT((TEXT(C5:C14,"YYYY-MM")="2024-01")*H5:H14)</f>
        <v/>
      </c>
      <c r="C50" s="85" t="inlineStr">
        <is>
          <t>₹1,700</t>
        </is>
      </c>
      <c r="D50" s="99" t="inlineStr">
        <is>
          <t>Monthly</t>
        </is>
      </c>
    </row>
    <row r="51" ht="22" customHeight="1">
      <c r="A51" s="68" t="inlineStr">
        <is>
          <t>Month P&amp;L (%)</t>
        </is>
      </c>
      <c r="B51" s="65">
        <f>SUMPRODUCT((TEXT(C5:C14,"YYYY-MM")="2024-01")*J5:J14)</f>
        <v/>
      </c>
      <c r="C51" s="89" t="inlineStr">
        <is>
          <t>+7.80</t>
        </is>
      </c>
      <c r="D51" s="99" t="inlineStr">
        <is>
          <t>Monthly</t>
        </is>
      </c>
    </row>
    <row r="52" ht="22" customHeight="1">
      <c r="A52" s="68" t="inlineStr">
        <is>
          <t>R/MDD</t>
        </is>
      </c>
      <c r="B52" s="67">
        <f>ABS(Annual_Total%)/ABS(Year_MaxDD%)</f>
        <v/>
      </c>
      <c r="C52" s="85" t="inlineStr">
        <is>
          <t>10.05</t>
        </is>
      </c>
      <c r="D52" s="99" t="inlineStr">
        <is>
          <t>Monthly</t>
        </is>
      </c>
    </row>
  </sheetData>
  <mergeCells count="6">
    <mergeCell ref="A1:D1"/>
    <mergeCell ref="A5:D5"/>
    <mergeCell ref="A26:D26"/>
    <mergeCell ref="A41:D41"/>
    <mergeCell ref="A2:D2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2026-05-26T06:28:12+00:00Z</dcterms:created>
  <dcterms:modified xmlns:dcterms="http://purl.org/dc/terms/" xmlns:xsi="http://www.w3.org/2001/XMLSchema-instance" xsi:type="dcterms:W3CDTF">2026-05-26T06:28:12+00:00Z</dcterms:modified>
</cp:coreProperties>
</file>